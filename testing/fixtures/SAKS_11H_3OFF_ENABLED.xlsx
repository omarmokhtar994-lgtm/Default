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27" activeTab="33" autoFilterDateGrouping="1"/>
  </bookViews>
  <sheets>
    <sheet name="00 START HERE" sheetId="1" state="visible" r:id="rId1"/>
    <sheet name="SAKS New Test Setup" sheetId="2" state="visible" r:id="rId2"/>
    <sheet name="RC7 Contract Audit" sheetId="3" state="visible" r:id="rId3"/>
    <sheet name="Coverage KPI Rules" sheetId="4" state="visible" r:id="rId4"/>
    <sheet name="Schedule" sheetId="5" state="visible" r:id="rId5"/>
    <sheet name="FT Wise" sheetId="6" state="visible" r:id="rId6"/>
    <sheet name="FT Wise After Breaks" sheetId="7" state="visible" r:id="rId7"/>
    <sheet name="Break Schedule" sheetId="8" state="visible" r:id="rId8"/>
    <sheet name="Compliance Summary" sheetId="9" state="visible" r:id="rId9"/>
    <sheet name="Rule Checks" sheetId="10" state="visible" r:id="rId10"/>
    <sheet name="Rest Gap Audit" sheetId="11" state="visible" r:id="rId11"/>
    <sheet name="Optimization Audit" sheetId="12" state="visible" r:id="rId12"/>
    <sheet name="Scenario Comparison" sheetId="13" state="visible" r:id="rId13"/>
    <sheet name="Language Setup" sheetId="14" state="visible" r:id="rId14"/>
    <sheet name="Validation Log" sheetId="15" state="visible" r:id="rId15"/>
    <sheet name="Prefrence" sheetId="16" state="visible" r:id="rId16"/>
    <sheet name="Preference Mapping" sheetId="17" state="visible" r:id="rId17"/>
    <sheet name="Instructions" sheetId="18" state="visible" r:id="rId18"/>
    <sheet name="Engine Defaults" sheetId="19" state="veryHidden" r:id="rId19"/>
    <sheet name="Previous week scheduled" sheetId="20" state="visible" r:id="rId20"/>
    <sheet name="Shift Library" sheetId="21" state="visible" r:id="rId21"/>
    <sheet name="Scheduler Engine" sheetId="22" state="visible" r:id="rId22"/>
    <sheet name="Previous Engine" sheetId="23" state="visible" r:id="rId23"/>
    <sheet name="Balanced Scenario Schedule" sheetId="24" state="visible" r:id="rId24"/>
    <sheet name="Future Use" sheetId="25" state="visible" r:id="rId25"/>
    <sheet name="Implementation Notes" sheetId="26" state="visible" r:id="rId26"/>
    <sheet name="Formula Fix Notes" sheetId="27" state="visible" r:id="rId27"/>
    <sheet name="Blank Interval Audit" sheetId="28" state="visible" r:id="rId28"/>
    <sheet name="Review Runs" sheetId="29" state="visible" r:id="rId29"/>
    <sheet name="Balance Change Log" sheetId="30" state="visible" r:id="rId30"/>
    <sheet name="Fixed Shift Requests" sheetId="31" state="visible" r:id="rId31"/>
    <sheet name="Fixed Shift Log" sheetId="32" state="visible" r:id="rId32"/>
    <sheet name="Shrinkage" sheetId="33" state="visible" r:id="rId33"/>
    <sheet name="Benchmark Comparison" sheetId="34" state="visible" r:id="rId34"/>
    <sheet name="FT Wise 30 Min" sheetId="35" state="visible" r:id="rId35"/>
    <sheet name="FT Wise Hourly" sheetId="36" state="visible" r:id="rId36"/>
    <sheet name="Shrinkage 30 Min" sheetId="37" state="visible" r:id="rId37"/>
    <sheet name="FT Wise Active" sheetId="38" state="visible" r:id="rId38"/>
    <sheet name="FT Wise After Breaks Active" sheetId="39" state="visible" r:id="rId39"/>
    <sheet name="Break Schedule Active" sheetId="40" state="visible" r:id="rId40"/>
    <sheet name="Dynamic Interval Guide" sheetId="41" state="visible" r:id="rId41"/>
    <sheet name="Validation Lists" sheetId="42" state="veryHidden" r:id="rId42"/>
  </sheets>
  <definedNames>
    <definedName name="_xlnm._FilterDatabase" localSheetId="10" hidden="1">'Rest Gap Audit'!$A$2:$L$1752</definedName>
    <definedName name="_xlnm._FilterDatabase" localSheetId="16" hidden="1">'Preference Mapping'!$A$1:$L$251</definedName>
    <definedName name="_xlnm._FilterDatabase" localSheetId="21" hidden="1">'Scheduler Engine'!$A$1:$Q$1751</definedName>
    <definedName name="_xlnm._FilterDatabase" localSheetId="22" hidden="1">'Previous Engine'!$A$1:$K$251</definedName>
  </definedNames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4">
    <numFmt numFmtId="164" formatCode="hh:mm"/>
    <numFmt numFmtId="165" formatCode="0.0%"/>
    <numFmt numFmtId="166" formatCode="0.0"/>
    <numFmt numFmtId="167" formatCode="#,##0.0"/>
  </numFmts>
  <fonts count="31">
    <font>
      <name val="Aptos Narrow"/>
      <color theme="1"/>
      <sz val="11"/>
    </font>
    <font>
      <name val="Aptos Narrow"/>
      <color theme="1"/>
      <sz val="11"/>
    </font>
    <font>
      <name val="Aptos Narrow"/>
      <color rgb="FF006100"/>
      <sz val="11"/>
    </font>
    <font>
      <name val="Roboto"/>
      <color rgb="FF434343"/>
      <sz val="10"/>
    </font>
    <font>
      <name val="Aptos Narrow"/>
      <b val="1"/>
      <color rgb="FFFFFFFF"/>
      <sz val="11"/>
    </font>
    <font>
      <name val="Aptos Narrow"/>
      <b val="1"/>
      <sz val="11"/>
    </font>
    <font>
      <name val="Aptos Narrow"/>
      <b val="1"/>
      <color rgb="FFFFFFFF"/>
      <sz val="14"/>
    </font>
    <font>
      <name val="Aptos Narrow"/>
      <sz val="9"/>
    </font>
    <font>
      <name val="Aptos Narrow"/>
      <b val="1"/>
      <color rgb="FFFFFFFF"/>
      <sz val="13"/>
    </font>
    <font>
      <name val="Aptos Narrow"/>
      <b val="1"/>
      <color rgb="FF000000"/>
      <sz val="11"/>
    </font>
    <font>
      <name val="Aptos Narrow"/>
      <b val="1"/>
      <color rgb="FF000000"/>
      <sz val="11"/>
    </font>
    <font>
      <name val="Aptos Narrow"/>
      <b val="1"/>
      <color rgb="FFFFFFFF"/>
      <sz val="11"/>
    </font>
    <font>
      <name val="Aptos Narrow"/>
      <b val="1"/>
      <sz val="11"/>
    </font>
    <font>
      <name val="Aptos Narrow"/>
      <b val="1"/>
      <color rgb="FFFFFFFF"/>
      <sz val="11"/>
    </font>
    <font>
      <name val="Aptos Narrow"/>
      <b val="1"/>
      <sz val="11"/>
    </font>
    <font>
      <name val="Aptos Narrow"/>
      <b val="1"/>
      <color rgb="FFFFFFFF"/>
      <sz val="14"/>
    </font>
    <font>
      <b val="1"/>
      <color rgb="00FFFFFF"/>
      <sz val="12"/>
    </font>
    <font>
      <i val="1"/>
      <color rgb="00666666"/>
    </font>
    <font>
      <b val="1"/>
      <color rgb="00FFFFFF"/>
    </font>
    <font>
      <b val="1"/>
      <color rgb="00FFFFFF"/>
      <sz val="13"/>
    </font>
    <font>
      <name val="Aptos Display"/>
      <b val="1"/>
      <color rgb="FFFFFFFF"/>
      <sz val="18"/>
    </font>
    <font>
      <name val="Aptos"/>
      <sz val="10"/>
    </font>
    <font>
      <name val="Aptos"/>
      <i val="1"/>
      <color rgb="FF595959"/>
      <sz val="10"/>
    </font>
    <font>
      <name val="Aptos"/>
      <b val="1"/>
      <color rgb="FFFFFFFF"/>
      <sz val="10"/>
    </font>
    <font>
      <name val="Aptos"/>
      <b val="1"/>
      <color rgb="FF17365D"/>
      <sz val="10"/>
    </font>
    <font>
      <name val="Aptos"/>
      <b val="1"/>
      <sz val="10"/>
    </font>
    <font>
      <b val="1"/>
      <color rgb="00FFFFFF"/>
      <sz val="16"/>
    </font>
    <font>
      <i val="1"/>
      <color rgb="001F2937"/>
    </font>
    <font>
      <b val="1"/>
      <color rgb="001F2937"/>
    </font>
    <font>
      <name val="Carlito"/>
      <sz val="11"/>
    </font>
    <font>
      <color rgb="00666666"/>
    </font>
  </fonts>
  <fills count="2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00203864"/>
      </patternFill>
    </fill>
    <fill>
      <patternFill patternType="solid">
        <fgColor rgb="005B9BD5"/>
      </patternFill>
    </fill>
    <fill>
      <patternFill patternType="solid">
        <fgColor rgb="00FFF2CC"/>
      </patternFill>
    </fill>
    <fill>
      <patternFill patternType="solid">
        <fgColor rgb="FFEAF3F8"/>
      </patternFill>
    </fill>
    <fill>
      <patternFill patternType="solid">
        <fgColor rgb="FF0F6B78"/>
      </patternFill>
    </fill>
    <fill>
      <patternFill patternType="solid">
        <fgColor rgb="FFF3F6F8"/>
      </patternFill>
    </fill>
    <fill>
      <patternFill patternType="solid">
        <fgColor rgb="FFE7E6E6"/>
      </patternFill>
    </fill>
    <fill>
      <patternFill patternType="solid">
        <fgColor rgb="FFFCE4D6"/>
      </patternFill>
    </fill>
    <fill>
      <patternFill patternType="solid">
        <fgColor rgb="00F4F7FB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7C9E2"/>
      </left>
      <right style="thin">
        <color rgb="FFB7C9E2"/>
      </right>
      <top style="thin">
        <color rgb="FFB7C9E2"/>
      </top>
      <bottom style="thin">
        <color rgb="FFB7C9E2"/>
      </bottom>
      <diagonal/>
    </border>
    <border>
      <left style="thin">
        <color rgb="FFB7C9E2"/>
      </left>
      <right style="thin">
        <color rgb="FFB7C9E2"/>
      </right>
      <top style="thin">
        <color rgb="FFB7C9E2"/>
      </top>
      <bottom style="thin">
        <color rgb="FFB7C9E2"/>
      </bottom>
      <diagonal/>
    </border>
    <border>
      <left/>
      <right/>
      <top style="thin">
        <color rgb="FFB7C9E2"/>
      </top>
      <bottom style="thin">
        <color rgb="FFB7C9E2"/>
      </bottom>
      <diagonal/>
    </border>
    <border>
      <left/>
      <right style="thin">
        <color rgb="FFB7C9E2"/>
      </right>
      <top style="thin">
        <color rgb="FFB7C9E2"/>
      </top>
      <bottom style="thin">
        <color rgb="FFB7C9E2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B7C9E2"/>
      </top>
      <bottom/>
      <diagonal/>
    </border>
    <border>
      <left/>
      <right style="thin">
        <color rgb="FFB7C9E2"/>
      </right>
      <top style="thin">
        <color rgb="FFB7C9E2"/>
      </top>
      <bottom/>
      <diagonal/>
    </border>
    <border>
      <bottom style="thin">
        <color rgb="00B4C6E7"/>
      </bottom>
    </border>
    <border/>
    <border>
      <bottom style="thin">
        <color rgb="00B7C9DA"/>
      </bottom>
    </border>
  </borders>
  <cellStyleXfs count="3">
    <xf numFmtId="0" fontId="1" fillId="0" borderId="0"/>
    <xf numFmtId="9" fontId="1" fillId="0" borderId="0"/>
    <xf numFmtId="0" fontId="2" fillId="2" borderId="0"/>
  </cellStyleXfs>
  <cellXfs count="9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5" fillId="6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 wrapText="1"/>
    </xf>
    <xf numFmtId="164" fontId="0" fillId="0" borderId="3" applyAlignment="1" pivotButton="0" quotePrefix="0" xfId="0">
      <alignment vertical="center" wrapText="1"/>
    </xf>
    <xf numFmtId="0" fontId="0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9" fontId="0" fillId="0" borderId="2" applyAlignment="1" pivotButton="0" quotePrefix="0" xfId="0">
      <alignment horizontal="center" vertical="center"/>
    </xf>
    <xf numFmtId="43" fontId="0" fillId="0" borderId="2" applyAlignment="1" pivotButton="0" quotePrefix="0" xfId="0">
      <alignment horizontal="center" vertical="center"/>
    </xf>
    <xf numFmtId="43" fontId="0" fillId="0" borderId="0" pivotButton="0" quotePrefix="0" xfId="0"/>
    <xf numFmtId="0" fontId="11" fillId="12" borderId="4" applyAlignment="1" pivotButton="0" quotePrefix="0" xfId="0">
      <alignment horizontal="center" vertical="center" wrapText="1"/>
    </xf>
    <xf numFmtId="0" fontId="10" fillId="11" borderId="4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12" fillId="11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165" fontId="0" fillId="0" borderId="4" applyAlignment="1" pivotButton="0" quotePrefix="0" xfId="0">
      <alignment horizontal="center" vertical="center" wrapText="1"/>
    </xf>
    <xf numFmtId="167" fontId="0" fillId="0" borderId="0" pivotButton="0" quotePrefix="0" xfId="0"/>
    <xf numFmtId="0" fontId="0" fillId="0" borderId="0" applyAlignment="1" pivotButton="0" quotePrefix="0" xfId="0">
      <alignment wrapText="1"/>
    </xf>
    <xf numFmtId="0" fontId="13" fillId="13" borderId="7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16" fontId="10" fillId="11" borderId="4" applyAlignment="1" pivotButton="0" quotePrefix="0" xfId="0">
      <alignment horizontal="center" vertical="center" wrapText="1"/>
    </xf>
    <xf numFmtId="0" fontId="14" fillId="15" borderId="7" applyAlignment="1" pivotButton="0" quotePrefix="0" xfId="0">
      <alignment vertical="top" wrapText="1"/>
    </xf>
    <xf numFmtId="0" fontId="14" fillId="0" borderId="7" applyAlignment="1" pivotButton="0" quotePrefix="0" xfId="0">
      <alignment vertical="top" wrapText="1"/>
    </xf>
    <xf numFmtId="0" fontId="14" fillId="14" borderId="7" applyAlignment="1" pivotButton="0" quotePrefix="0" xfId="0">
      <alignment vertical="top" wrapText="1"/>
    </xf>
    <xf numFmtId="0" fontId="0" fillId="14" borderId="7" applyAlignment="1" pivotButton="0" quotePrefix="0" xfId="0">
      <alignment vertical="top" wrapText="1"/>
    </xf>
    <xf numFmtId="0" fontId="14" fillId="16" borderId="7" applyAlignment="1" pivotButton="0" quotePrefix="0" xfId="0">
      <alignment vertical="top" wrapText="1"/>
    </xf>
    <xf numFmtId="9" fontId="0" fillId="0" borderId="7" applyAlignment="1" pivotButton="0" quotePrefix="0" xfId="0">
      <alignment vertical="top" wrapText="1"/>
    </xf>
    <xf numFmtId="9" fontId="0" fillId="14" borderId="7" applyAlignment="1" pivotButton="0" quotePrefix="0" xfId="0">
      <alignment vertical="top" wrapText="1"/>
    </xf>
    <xf numFmtId="9" fontId="0" fillId="15" borderId="7" applyAlignment="1" pivotButton="0" quotePrefix="0" xfId="0">
      <alignment vertical="top" wrapText="1"/>
    </xf>
    <xf numFmtId="0" fontId="0" fillId="15" borderId="7" applyAlignment="1" pivotButton="0" quotePrefix="0" xfId="0">
      <alignment vertical="top" wrapText="1"/>
    </xf>
    <xf numFmtId="0" fontId="13" fillId="13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vertical="center" wrapText="1"/>
    </xf>
    <xf numFmtId="0" fontId="15" fillId="13" borderId="0" applyAlignment="1" pivotButton="0" quotePrefix="0" xfId="0">
      <alignment horizontal="center"/>
    </xf>
    <xf numFmtId="0" fontId="0" fillId="0" borderId="0" pivotButton="0" quotePrefix="0" xfId="0"/>
    <xf numFmtId="0" fontId="6" fillId="3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11" fillId="12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4" fillId="7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165" fontId="0" fillId="0" borderId="2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64" fontId="0" fillId="0" borderId="3" applyAlignment="1" pivotButton="0" quotePrefix="0" xfId="0">
      <alignment vertical="center" wrapText="1"/>
    </xf>
    <xf numFmtId="165" fontId="0" fillId="0" borderId="4" applyAlignment="1" pivotButton="0" quotePrefix="0" xfId="0">
      <alignment horizontal="center" vertical="center" wrapText="1"/>
    </xf>
    <xf numFmtId="167" fontId="0" fillId="0" borderId="0" pivotButton="0" quotePrefix="0" xfId="0"/>
    <xf numFmtId="0" fontId="1" fillId="0" borderId="0" pivotButton="0" quotePrefix="0" xfId="0"/>
    <xf numFmtId="9" fontId="1" fillId="0" borderId="0" pivotButton="0" quotePrefix="0" xfId="0"/>
    <xf numFmtId="0" fontId="16" fillId="17" borderId="0" applyAlignment="1" pivotButton="0" quotePrefix="0" xfId="0">
      <alignment horizontal="left"/>
    </xf>
    <xf numFmtId="0" fontId="17" fillId="0" borderId="0" pivotButton="0" quotePrefix="0" xfId="0"/>
    <xf numFmtId="0" fontId="18" fillId="18" borderId="0" applyAlignment="1" pivotButton="0" quotePrefix="0" xfId="0">
      <alignment horizontal="center" vertical="center"/>
    </xf>
    <xf numFmtId="0" fontId="0" fillId="0" borderId="11" applyAlignment="1" pivotButton="0" quotePrefix="0" xfId="0">
      <alignment vertical="top" wrapText="1"/>
    </xf>
    <xf numFmtId="0" fontId="0" fillId="19" borderId="11" applyAlignment="1" pivotButton="0" quotePrefix="0" xfId="0">
      <alignment vertical="top" wrapText="1"/>
    </xf>
    <xf numFmtId="0" fontId="19" fillId="17" borderId="0" pivotButton="0" quotePrefix="0" xfId="0"/>
    <xf numFmtId="0" fontId="18" fillId="18" borderId="0" pivotButton="0" quotePrefix="0" xfId="0"/>
    <xf numFmtId="0" fontId="20" fillId="3" borderId="12" applyAlignment="1" pivotButton="0" quotePrefix="0" xfId="0">
      <alignment horizontal="left" vertical="center"/>
    </xf>
    <xf numFmtId="0" fontId="21" fillId="0" borderId="12" applyAlignment="1" pivotButton="0" quotePrefix="0" xfId="0">
      <alignment vertical="center"/>
    </xf>
    <xf numFmtId="0" fontId="22" fillId="20" borderId="12" applyAlignment="1" pivotButton="0" quotePrefix="0" xfId="0">
      <alignment vertical="center" wrapText="1"/>
    </xf>
    <xf numFmtId="0" fontId="23" fillId="21" borderId="12" applyAlignment="1" pivotButton="0" quotePrefix="0" xfId="0">
      <alignment vertical="center"/>
    </xf>
    <xf numFmtId="0" fontId="23" fillId="3" borderId="12" applyAlignment="1" pivotButton="0" quotePrefix="0" xfId="0">
      <alignment horizontal="center" vertical="center"/>
    </xf>
    <xf numFmtId="0" fontId="24" fillId="6" borderId="12" applyAlignment="1" pivotButton="0" quotePrefix="0" xfId="0">
      <alignment vertical="center"/>
    </xf>
    <xf numFmtId="0" fontId="21" fillId="22" borderId="12" applyAlignment="1" pivotButton="0" quotePrefix="0" xfId="0">
      <alignment vertical="center" wrapText="1"/>
    </xf>
    <xf numFmtId="0" fontId="25" fillId="14" borderId="12" applyAlignment="1" pivotButton="0" quotePrefix="0" xfId="0">
      <alignment vertical="center"/>
    </xf>
    <xf numFmtId="0" fontId="21" fillId="0" borderId="12" applyAlignment="1" pivotButton="0" quotePrefix="0" xfId="0">
      <alignment vertical="center" wrapText="1"/>
    </xf>
    <xf numFmtId="0" fontId="25" fillId="23" borderId="12" applyAlignment="1" pivotButton="0" quotePrefix="0" xfId="0">
      <alignment vertical="center"/>
    </xf>
    <xf numFmtId="0" fontId="25" fillId="6" borderId="12" applyAlignment="1" pivotButton="0" quotePrefix="0" xfId="0">
      <alignment vertical="center"/>
    </xf>
    <xf numFmtId="0" fontId="25" fillId="16" borderId="12" applyAlignment="1" pivotButton="0" quotePrefix="0" xfId="0">
      <alignment vertical="center"/>
    </xf>
    <xf numFmtId="0" fontId="25" fillId="24" borderId="12" applyAlignment="1" pivotButton="0" quotePrefix="0" xfId="0">
      <alignment vertical="center"/>
    </xf>
    <xf numFmtId="0" fontId="23" fillId="3" borderId="12" applyAlignment="1" pivotButton="0" quotePrefix="0" xfId="0">
      <alignment vertical="center"/>
    </xf>
    <xf numFmtId="0" fontId="23" fillId="21" borderId="12" applyAlignment="1" pivotButton="0" quotePrefix="0" xfId="0">
      <alignment horizontal="center" vertical="center" wrapText="1"/>
    </xf>
    <xf numFmtId="0" fontId="21" fillId="22" borderId="12" applyAlignment="1" pivotButton="0" quotePrefix="0" xfId="0">
      <alignment vertical="center"/>
    </xf>
    <xf numFmtId="0" fontId="26" fillId="17" borderId="12" applyAlignment="1" pivotButton="0" quotePrefix="0" xfId="0">
      <alignment vertical="center"/>
    </xf>
    <xf numFmtId="0" fontId="27" fillId="25" borderId="12" applyAlignment="1" pivotButton="0" quotePrefix="0" xfId="0">
      <alignment wrapText="1"/>
    </xf>
    <xf numFmtId="0" fontId="18" fillId="17" borderId="12" applyAlignment="1" pivotButton="0" quotePrefix="0" xfId="0">
      <alignment horizontal="center" vertical="center"/>
    </xf>
    <xf numFmtId="0" fontId="28" fillId="0" borderId="13" applyAlignment="1" pivotButton="0" quotePrefix="0" xfId="0">
      <alignment vertical="top" wrapText="1"/>
    </xf>
    <xf numFmtId="0" fontId="29" fillId="0" borderId="13" applyAlignment="1" pivotButton="0" quotePrefix="0" xfId="0">
      <alignment vertical="top" wrapText="1"/>
    </xf>
    <xf numFmtId="0" fontId="29" fillId="19" borderId="13" applyAlignment="1" pivotButton="0" quotePrefix="0" xfId="0">
      <alignment vertical="top" wrapText="1"/>
    </xf>
    <xf numFmtId="0" fontId="30" fillId="0" borderId="13" applyAlignment="1" pivotButton="0" quotePrefix="0" xfId="0">
      <alignment vertical="top" wrapText="1"/>
    </xf>
    <xf numFmtId="9" fontId="29" fillId="19" borderId="13" applyAlignment="1" pivotButton="0" quotePrefix="0" xfId="0">
      <alignment vertical="top" wrapText="1"/>
    </xf>
  </cellXfs>
  <cellStyles count="3">
    <cellStyle name="Normal" xfId="0" builtinId="0"/>
    <cellStyle name="Percent" xfId="1"/>
    <cellStyle name="Good" xfId="2"/>
  </cellStyles>
  <dxfs count="517">
    <dxf>
      <fill>
        <patternFill patternType="solid">
          <fgColor rgb="FFFFC7CE"/>
        </patternFill>
      </fill>
    </dxf>
    <dxf>
      <fill>
        <patternFill>
          <bgColor theme="3" tint="0.749931333353679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theme="5" tint="0.5999328592791529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ont>
        <color rgb="FF274E13"/>
      </font>
      <fill>
        <patternFill>
          <bgColor rgb="FFD9EAD3"/>
        </patternFill>
      </fill>
    </dxf>
    <dxf>
      <font>
        <color rgb="FF990000"/>
      </font>
      <fill>
        <patternFill>
          <bgColor rgb="FFF4CCC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CE4D6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ill>
        <patternFill>
          <bgColor rgb="FFFFC000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theme="5" tint="0.5999023407696769"/>
        </patternFill>
      </fill>
    </dxf>
    <dxf>
      <fill>
        <patternFill>
          <bgColor theme="3" tint="0.749900814844203"/>
        </patternFill>
      </fill>
    </dxf>
    <dxf>
      <fill>
        <patternFill>
          <bgColor rgb="FF99FF99"/>
        </patternFill>
      </fill>
    </dxf>
    <dxf>
      <fill>
        <patternFill>
          <bgColor theme="3" tint="0.749900814844203"/>
        </patternFill>
      </fill>
    </dxf>
    <dxf>
      <fill>
        <patternFill>
          <bgColor rgb="FFFFC000"/>
        </patternFill>
      </fill>
    </dxf>
    <dxf>
      <fill>
        <patternFill>
          <bgColor rgb="FFFF9966"/>
        </patternFill>
      </fill>
    </dxf>
    <dxf>
      <fill>
        <patternFill>
          <bgColor theme="5" tint="0.5999023407696769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02340769676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00814844203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5" tint="0.5999023407696769"/>
        </patternFill>
      </fill>
    </dxf>
    <dxf>
      <fill>
        <patternFill>
          <bgColor theme="3" tint="0.749900814844203"/>
        </patternFill>
      </fill>
    </dxf>
    <dxf>
      <fill>
        <patternFill>
          <bgColor rgb="FF6666FF"/>
        </patternFill>
      </fill>
    </dxf>
    <dxf>
      <fill>
        <patternFill>
          <bgColor rgb="FF006600"/>
        </patternFill>
      </fill>
    </dxf>
    <dxf>
      <fill>
        <patternFill>
          <bgColor rgb="FFFF9966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theme="3" tint="0.749900814844203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ill>
        <patternFill>
          <bgColor rgb="FF6666FF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5" tint="0.5999023407696769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02340769676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00814844203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ill>
        <patternFill>
          <bgColor theme="3" tint="0.749900814844203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theme="5" tint="0.599902340769676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00814844203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023407696769"/>
        </patternFill>
      </fill>
    </dxf>
    <dxf>
      <fill>
        <patternFill>
          <bgColor theme="5" tint="0.5999023407696769"/>
        </patternFill>
      </fill>
    </dxf>
    <dxf>
      <fill>
        <patternFill>
          <bgColor rgb="FF006600"/>
        </patternFill>
      </fill>
    </dxf>
    <dxf>
      <fill>
        <patternFill>
          <bgColor theme="3" tint="0.749900814844203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theme="5" tint="0.5999023407696769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00814844203"/>
        </patternFill>
      </fill>
    </dxf>
    <dxf>
      <fill>
        <patternFill>
          <bgColor rgb="FF006600"/>
        </patternFill>
      </fill>
    </dxf>
    <dxf>
      <fill>
        <patternFill>
          <bgColor rgb="FF6666FF"/>
        </patternFill>
      </fill>
    </dxf>
    <dxf>
      <fill>
        <patternFill>
          <bgColor theme="3" tint="0.749900814844203"/>
        </patternFill>
      </fill>
    </dxf>
    <dxf>
      <fill>
        <patternFill>
          <bgColor rgb="FFFFC000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02340769676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5" tint="0.5999023407696769"/>
        </patternFill>
      </fill>
    </dxf>
    <dxf>
      <fill>
        <patternFill>
          <bgColor rgb="FFFF9966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ill>
        <patternFill>
          <bgColor theme="3" tint="0.749900814844203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theme="3" tint="0.749900814844203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theme="5" tint="0.5999023407696769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theme="5" tint="0.599902340769676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00814844203"/>
        </patternFill>
      </fill>
    </dxf>
    <dxf>
      <fill>
        <patternFill>
          <bgColor rgb="FF6666FF"/>
        </patternFill>
      </fill>
    </dxf>
    <dxf>
      <fill>
        <patternFill>
          <bgColor rgb="FF006600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00814844203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023407696769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00808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theme="5" tint="0.5999023407696769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6600"/>
        </patternFill>
      </fill>
    </dxf>
    <dxf>
      <fill>
        <patternFill>
          <bgColor rgb="FF6666FF"/>
        </patternFill>
      </fill>
    </dxf>
    <dxf>
      <fill>
        <patternFill>
          <bgColor theme="3" tint="0.749900814844203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02340769676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00814844203"/>
        </patternFill>
      </fill>
    </dxf>
    <dxf>
      <fill>
        <patternFill>
          <bgColor rgb="FFFFC000"/>
        </patternFill>
      </fill>
    </dxf>
    <dxf>
      <fill>
        <patternFill>
          <bgColor theme="3" tint="0.749900814844203"/>
        </patternFill>
      </fill>
    </dxf>
    <dxf>
      <fill>
        <patternFill>
          <bgColor theme="5" tint="0.5999023407696769"/>
        </patternFill>
      </fill>
    </dxf>
    <dxf>
      <fill>
        <patternFill>
          <bgColor rgb="FF006600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00814844203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023407696769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3" tint="0.749900814844203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02340769676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rgb="FFFF9966"/>
        </patternFill>
      </fill>
    </dxf>
    <dxf>
      <fill>
        <patternFill>
          <bgColor theme="3" tint="0.749900814844203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theme="5" tint="0.5999023407696769"/>
        </patternFill>
      </fill>
    </dxf>
    <dxf>
      <fill>
        <patternFill>
          <bgColor rgb="FF6666FF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theme="5" tint="0.5999023407696769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ill>
        <patternFill>
          <bgColor rgb="FFFFC000"/>
        </patternFill>
      </fill>
    </dxf>
    <dxf>
      <fill>
        <patternFill>
          <bgColor rgb="FFFF9966"/>
        </patternFill>
      </fill>
    </dxf>
    <dxf>
      <fill>
        <patternFill>
          <bgColor theme="3" tint="0.749900814844203"/>
        </patternFill>
      </fill>
    </dxf>
    <dxf>
      <fill>
        <patternFill>
          <bgColor rgb="FF00660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theme="5" tint="0.5999023407696769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3" tint="0.749900814844203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6666FF"/>
        </patternFill>
      </fill>
    </dxf>
    <dxf>
      <fill>
        <patternFill>
          <bgColor theme="3" tint="0.749900814844203"/>
        </patternFill>
      </fill>
    </dxf>
    <dxf>
      <fill>
        <patternFill>
          <bgColor theme="5" tint="0.5999023407696769"/>
        </patternFill>
      </fill>
    </dxf>
    <dxf>
      <fill>
        <patternFill>
          <bgColor rgb="FF008080"/>
        </patternFill>
      </fill>
    </dxf>
    <dxf>
      <fill>
        <patternFill>
          <bgColor rgb="FF00CC00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0066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theme="5" tint="0.5999023407696769"/>
        </patternFill>
      </fill>
    </dxf>
    <dxf>
      <fill>
        <patternFill>
          <bgColor rgb="FF6666FF"/>
        </patternFill>
      </fill>
    </dxf>
    <dxf>
      <fill>
        <patternFill>
          <bgColor theme="3" tint="0.749900814844203"/>
        </patternFill>
      </fill>
    </dxf>
    <dxf>
      <fill>
        <patternFill>
          <bgColor rgb="FFFFC000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00814844203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ill>
        <patternFill>
          <bgColor rgb="FF6666FF"/>
        </patternFill>
      </fill>
    </dxf>
    <dxf>
      <fill>
        <patternFill>
          <bgColor theme="5" tint="0.5999023407696769"/>
        </patternFill>
      </fill>
    </dxf>
    <dxf>
      <fill>
        <patternFill>
          <bgColor rgb="FFFF9966"/>
        </patternFill>
      </fill>
    </dxf>
    <dxf>
      <fill>
        <patternFill>
          <bgColor theme="5" tint="0.599902340769676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0066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3" tint="0.749900814844203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00814844203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023407696769"/>
        </patternFill>
      </fill>
    </dxf>
    <dxf>
      <fill>
        <patternFill>
          <bgColor rgb="FF0066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FFC000"/>
        </patternFill>
      </fill>
    </dxf>
    <dxf>
      <fill>
        <patternFill>
          <bgColor theme="3" tint="0.749900814844203"/>
        </patternFill>
      </fill>
    </dxf>
    <dxf>
      <fill>
        <patternFill>
          <bgColor rgb="FF6666FF"/>
        </patternFill>
      </fill>
    </dxf>
    <dxf>
      <fill>
        <patternFill>
          <bgColor theme="5" tint="0.5999023407696769"/>
        </patternFill>
      </fill>
    </dxf>
    <dxf>
      <fill>
        <patternFill>
          <bgColor rgb="FF00CC00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ill>
        <patternFill>
          <bgColor theme="3" tint="0.749900814844203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theme="5" tint="0.5999023407696769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6600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ill>
        <patternFill>
          <bgColor rgb="FF00CC00"/>
        </patternFill>
      </fill>
    </dxf>
    <dxf>
      <fill>
        <patternFill>
          <bgColor theme="3" tint="0.749900814844203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theme="5" tint="0.5999023407696769"/>
        </patternFill>
      </fill>
    </dxf>
    <dxf>
      <fill>
        <patternFill>
          <bgColor theme="3" tint="0.749900814844203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5" tint="0.5999023407696769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3" tint="0.749900814844203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023407696769"/>
        </patternFill>
      </fill>
    </dxf>
    <dxf>
      <fill>
        <patternFill>
          <bgColor rgb="FFFF9966"/>
        </patternFill>
      </fill>
    </dxf>
    <dxf>
      <fill>
        <patternFill>
          <bgColor rgb="FF6666FF"/>
        </patternFill>
      </fill>
    </dxf>
    <dxf>
      <fill>
        <patternFill>
          <bgColor theme="5" tint="0.5999023407696769"/>
        </patternFill>
      </fill>
    </dxf>
    <dxf>
      <fill>
        <patternFill>
          <bgColor theme="3" tint="0.749900814844203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5" tint="0.5999023407696769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00814844203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006600"/>
        </patternFill>
      </fill>
    </dxf>
    <dxf>
      <fill>
        <patternFill>
          <bgColor rgb="FFFF9966"/>
        </patternFill>
      </fill>
    </dxf>
    <dxf>
      <fill>
        <patternFill>
          <bgColor theme="5" tint="0.5999023407696769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theme="3" tint="0.749900814844203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theme="5" tint="0.5999023407696769"/>
        </patternFill>
      </fill>
    </dxf>
    <dxf>
      <fill>
        <patternFill>
          <bgColor rgb="FF6666FF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00814844203"/>
        </patternFill>
      </fill>
    </dxf>
    <dxf>
      <fill>
        <patternFill>
          <bgColor rgb="FF006600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6666FF"/>
        </patternFill>
      </fill>
    </dxf>
    <dxf>
      <fill>
        <patternFill>
          <bgColor rgb="FF00CC00"/>
        </patternFill>
      </fill>
    </dxf>
    <dxf>
      <fill>
        <patternFill>
          <bgColor theme="5" tint="0.599902340769676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00814844203"/>
        </patternFill>
      </fill>
    </dxf>
    <dxf>
      <fill>
        <patternFill>
          <bgColor rgb="FF006600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4CCCC"/>
        </patternFill>
      </fill>
    </dxf>
    <dxf>
      <font>
        <color rgb="FF666666"/>
      </font>
      <fill>
        <patternFill>
          <bgColor rgb="FFD9D9D9"/>
        </patternFill>
      </fill>
    </dxf>
    <dxf>
      <font>
        <color rgb="FF990000"/>
      </font>
      <fill>
        <patternFill>
          <bgColor rgb="FFF4CCCC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ill>
        <patternFill>
          <bgColor rgb="FFFFC000"/>
        </patternFill>
      </fill>
    </dxf>
    <dxf>
      <fill>
        <patternFill>
          <bgColor rgb="FF008080"/>
        </patternFill>
      </fill>
    </dxf>
    <dxf>
      <fill>
        <patternFill>
          <bgColor theme="3" tint="0.749900814844203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theme="5" tint="0.5999023407696769"/>
        </patternFill>
      </fill>
    </dxf>
    <dxf>
      <fill>
        <patternFill>
          <bgColor rgb="FF6666FF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theme="3" tint="0.749900814844203"/>
        </patternFill>
      </fill>
    </dxf>
    <dxf>
      <fill>
        <patternFill>
          <bgColor rgb="FFFF9966"/>
        </patternFill>
      </fill>
    </dxf>
    <dxf>
      <fill>
        <patternFill>
          <bgColor rgb="FF008080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6666FF"/>
        </patternFill>
      </fill>
    </dxf>
    <dxf>
      <fill>
        <patternFill>
          <bgColor theme="5" tint="0.5999023407696769"/>
        </patternFill>
      </fill>
    </dxf>
    <dxf>
      <fill>
        <patternFill>
          <bgColor rgb="FFFF9966"/>
        </patternFill>
      </fill>
    </dxf>
    <dxf>
      <fill>
        <patternFill>
          <bgColor theme="5" tint="0.5999023407696769"/>
        </patternFill>
      </fill>
    </dxf>
    <dxf>
      <fill>
        <patternFill>
          <bgColor rgb="FF6666FF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3" tint="0.749900814844203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023407696769"/>
        </patternFill>
      </fill>
    </dxf>
    <dxf>
      <fill>
        <patternFill>
          <bgColor rgb="FFFF9966"/>
        </patternFill>
      </fill>
    </dxf>
    <dxf>
      <fill>
        <patternFill>
          <bgColor rgb="FF00CC00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00814844203"/>
        </patternFill>
      </fill>
    </dxf>
    <dxf>
      <fill>
        <patternFill>
          <bgColor rgb="FF0066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3" tint="0.749900814844203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008080"/>
        </patternFill>
      </fill>
    </dxf>
    <dxf>
      <fill>
        <patternFill>
          <bgColor theme="5" tint="0.5999023407696769"/>
        </patternFill>
      </fill>
    </dxf>
    <dxf>
      <fill>
        <patternFill>
          <bgColor rgb="FFFFC000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ill>
        <patternFill>
          <bgColor rgb="FF6666FF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theme="3" tint="0.749900814844203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6666FF"/>
        </patternFill>
      </fill>
    </dxf>
    <dxf>
      <fill>
        <patternFill>
          <bgColor theme="5" tint="0.599902340769676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rgb="FF006600"/>
        </patternFill>
      </fill>
    </dxf>
    <dxf>
      <fill>
        <patternFill>
          <bgColor rgb="FFFF9966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023407696769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00814844203"/>
        </patternFill>
      </fill>
    </dxf>
    <dxf>
      <fill>
        <patternFill>
          <bgColor rgb="FF00CC0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02340769676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00814844203"/>
        </patternFill>
      </fill>
    </dxf>
    <dxf>
      <fill>
        <patternFill>
          <bgColor rgb="FF0066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3" tint="0.749900814844203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theme="5" tint="0.5999023407696769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ill>
        <patternFill>
          <bgColor rgb="FF99FF99"/>
        </patternFill>
      </fill>
    </dxf>
    <dxf>
      <fill>
        <patternFill>
          <bgColor rgb="FF008080"/>
        </patternFill>
      </fill>
    </dxf>
    <dxf>
      <fill>
        <patternFill>
          <bgColor theme="3" tint="0.749900814844203"/>
        </patternFill>
      </fill>
    </dxf>
    <dxf>
      <fill>
        <patternFill>
          <bgColor rgb="FFFFC000"/>
        </patternFill>
      </fill>
    </dxf>
    <dxf>
      <fill>
        <patternFill>
          <bgColor rgb="FFFF9966"/>
        </patternFill>
      </fill>
    </dxf>
    <dxf>
      <fill>
        <patternFill>
          <bgColor theme="5" tint="0.5999023407696769"/>
        </patternFill>
      </fill>
    </dxf>
    <dxf>
      <fill>
        <patternFill>
          <bgColor rgb="FF6666FF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5" tint="0.5999023407696769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00814844203"/>
        </patternFill>
      </fill>
    </dxf>
    <dxf>
      <fill>
        <patternFill>
          <bgColor rgb="FF00808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0"/>
  <sheetViews>
    <sheetView workbookViewId="0">
      <selection activeCell="A1" sqref="A1"/>
    </sheetView>
  </sheetViews>
  <sheetFormatPr baseColWidth="8" defaultRowHeight="15"/>
  <cols>
    <col width="7" customWidth="1" style="45" min="1" max="1"/>
    <col width="22" customWidth="1" style="45" min="2" max="2"/>
    <col width="66" customWidth="1" style="45" min="3" max="3"/>
    <col width="3" customWidth="1" style="45" min="4" max="4"/>
    <col width="25" customWidth="1" style="45" min="5" max="5"/>
    <col width="16" customWidth="1" style="45" min="6" max="6"/>
    <col width="25" customWidth="1" style="45" min="7" max="7"/>
    <col width="4" customWidth="1" style="45" min="8" max="8"/>
  </cols>
  <sheetData>
    <row r="1" ht="32" customHeight="1" s="45">
      <c r="A1" s="68" t="inlineStr">
        <is>
          <t>Universal WFM Scheduler — RC8 Clean Input Template</t>
        </is>
      </c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</row>
    <row r="2" ht="28" customHeight="1" s="45">
      <c r="A2" s="70" t="inlineStr">
        <is>
          <t>Business-safe input workbook. Complete the yellow Instructions values and roster/demand sheets; dropdowns prevent common contract typos. Engine tuning stays hidden.</t>
        </is>
      </c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  <c r="R2" s="69" t="n"/>
      <c r="S2" s="69" t="n"/>
      <c r="T2" s="69" t="n"/>
      <c r="U2" s="69" t="n"/>
      <c r="V2" s="69" t="n"/>
      <c r="W2" s="69" t="n"/>
      <c r="X2" s="69" t="n"/>
      <c r="Y2" s="69" t="n"/>
      <c r="Z2" s="69" t="n"/>
    </row>
    <row r="3">
      <c r="A3" s="69" t="inlineStr">
        <is>
          <t>Prepared RC8 example: SAKS_NEW. Client/program text is descriptive only and never branches engine logic.</t>
        </is>
      </c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  <c r="R3" s="69" t="n"/>
      <c r="S3" s="69" t="n"/>
      <c r="T3" s="69" t="n"/>
      <c r="U3" s="69" t="n"/>
      <c r="V3" s="69" t="n"/>
      <c r="W3" s="69" t="n"/>
      <c r="X3" s="69" t="n"/>
      <c r="Y3" s="69" t="n"/>
      <c r="Z3" s="69" t="n"/>
    </row>
    <row r="4">
      <c r="A4" s="71" t="inlineStr">
        <is>
          <t>5-step setup</t>
        </is>
      </c>
      <c r="I4" s="69" t="n"/>
      <c r="J4" s="69" t="n"/>
      <c r="K4" s="69" t="n"/>
      <c r="L4" s="69" t="n"/>
      <c r="M4" s="69" t="n"/>
      <c r="N4" s="69" t="n"/>
      <c r="O4" s="69" t="n"/>
      <c r="P4" s="69" t="n"/>
      <c r="Q4" s="69" t="n"/>
      <c r="R4" s="69" t="n"/>
      <c r="S4" s="69" t="n"/>
      <c r="T4" s="69" t="n"/>
      <c r="U4" s="69" t="n"/>
      <c r="V4" s="69" t="n"/>
      <c r="W4" s="69" t="n"/>
      <c r="X4" s="69" t="n"/>
      <c r="Y4" s="69" t="n"/>
      <c r="Z4" s="69" t="n"/>
    </row>
    <row r="5" ht="42" customHeight="1" s="45">
      <c r="A5" s="72" t="inlineStr">
        <is>
          <t>1</t>
        </is>
      </c>
      <c r="B5" s="73" t="inlineStr">
        <is>
          <t>Instructions</t>
        </is>
      </c>
      <c r="C5" s="74" t="inlineStr">
        <is>
          <t>Choose interval/source sheets, target/floor, blank-demand policy, shift/OFF rules, and break policy using dropdowns.</t>
        </is>
      </c>
      <c r="D5" s="69" t="n"/>
      <c r="E5" s="71" t="inlineStr">
        <is>
          <t>Input color guide</t>
        </is>
      </c>
      <c r="I5" s="69" t="n"/>
      <c r="J5" s="69" t="n"/>
      <c r="K5" s="69" t="n"/>
      <c r="L5" s="69" t="n"/>
      <c r="M5" s="69" t="n"/>
      <c r="N5" s="69" t="n"/>
      <c r="O5" s="69" t="n"/>
      <c r="P5" s="69" t="n"/>
      <c r="Q5" s="69" t="n"/>
      <c r="R5" s="69" t="n"/>
      <c r="S5" s="69" t="n"/>
      <c r="T5" s="69" t="n"/>
      <c r="U5" s="69" t="n"/>
      <c r="V5" s="69" t="n"/>
      <c r="W5" s="69" t="n"/>
      <c r="X5" s="69" t="n"/>
      <c r="Y5" s="69" t="n"/>
      <c r="Z5" s="69" t="n"/>
    </row>
    <row r="6" ht="42" customHeight="1" s="45">
      <c r="A6" s="72" t="inlineStr">
        <is>
          <t>2</t>
        </is>
      </c>
      <c r="B6" s="73" t="inlineStr">
        <is>
          <t>Schedule</t>
        </is>
      </c>
      <c r="C6" s="74" t="inlineStr">
        <is>
          <t>Enter each associate once: ID, email, name, TL, and language. Leave Sun–Sat blank.</t>
        </is>
      </c>
      <c r="D6" s="69" t="n"/>
      <c r="E6" s="75" t="inlineStr">
        <is>
          <t>Yellow</t>
        </is>
      </c>
      <c r="F6" s="76" t="inlineStr">
        <is>
          <t>User input / dropdown</t>
        </is>
      </c>
      <c r="G6" s="69" t="n"/>
      <c r="H6" s="69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9" t="n"/>
      <c r="U6" s="69" t="n"/>
      <c r="V6" s="69" t="n"/>
      <c r="W6" s="69" t="n"/>
      <c r="X6" s="69" t="n"/>
      <c r="Y6" s="69" t="n"/>
      <c r="Z6" s="69" t="n"/>
    </row>
    <row r="7" ht="42" customHeight="1" s="45">
      <c r="A7" s="72" t="inlineStr">
        <is>
          <t>3</t>
        </is>
      </c>
      <c r="B7" s="73" t="inlineStr">
        <is>
          <t>Requirements &amp; Shrinkage</t>
        </is>
      </c>
      <c r="C7" s="74" t="inlineStr">
        <is>
          <t>Paste required HC into the selected FT Wise sheet. Closed intervals stay blank. Enter shrinkage in the matching sheet.</t>
        </is>
      </c>
      <c r="D7" s="69" t="n"/>
      <c r="E7" s="77" t="inlineStr">
        <is>
          <t>Grey</t>
        </is>
      </c>
      <c r="F7" s="76" t="inlineStr">
        <is>
          <t>Reference, formula, or engine output area</t>
        </is>
      </c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9" t="n"/>
      <c r="U7" s="69" t="n"/>
      <c r="V7" s="69" t="n"/>
      <c r="W7" s="69" t="n"/>
      <c r="X7" s="69" t="n"/>
      <c r="Y7" s="69" t="n"/>
      <c r="Z7" s="69" t="n"/>
    </row>
    <row r="8" ht="42" customHeight="1" s="45">
      <c r="A8" s="72" t="inlineStr">
        <is>
          <t>4</t>
        </is>
      </c>
      <c r="B8" s="73" t="inlineStr">
        <is>
          <t>Optional Requests</t>
        </is>
      </c>
      <c r="C8" s="74" t="inlineStr">
        <is>
          <t>Use Preference, Fixed Request, Language Setup, and Previous week scheduled only when applicable.</t>
        </is>
      </c>
      <c r="D8" s="69" t="n"/>
      <c r="E8" s="78" t="inlineStr">
        <is>
          <t>Blue</t>
        </is>
      </c>
      <c r="F8" s="76" t="inlineStr">
        <is>
          <t>Section header / guidance</t>
        </is>
      </c>
      <c r="G8" s="69" t="n"/>
      <c r="H8" s="69" t="n"/>
      <c r="I8" s="69" t="n"/>
      <c r="J8" s="69" t="n"/>
      <c r="K8" s="69" t="n"/>
      <c r="L8" s="69" t="n"/>
      <c r="M8" s="69" t="n"/>
      <c r="N8" s="69" t="n"/>
      <c r="O8" s="69" t="n"/>
      <c r="P8" s="69" t="n"/>
      <c r="Q8" s="69" t="n"/>
      <c r="R8" s="69" t="n"/>
      <c r="S8" s="69" t="n"/>
      <c r="T8" s="69" t="n"/>
      <c r="U8" s="69" t="n"/>
      <c r="V8" s="69" t="n"/>
      <c r="W8" s="69" t="n"/>
      <c r="X8" s="69" t="n"/>
      <c r="Y8" s="69" t="n"/>
      <c r="Z8" s="69" t="n"/>
    </row>
    <row r="9" ht="42" customHeight="1" s="45">
      <c r="A9" s="72" t="inlineStr">
        <is>
          <t>5</t>
        </is>
      </c>
      <c r="B9" s="73" t="inlineStr">
        <is>
          <t>Validate &amp; Run</t>
        </is>
      </c>
      <c r="C9" s="74" t="inlineStr">
        <is>
          <t>Open Input Checks. Resolve CHECK/MISSING items, then upload this workbook using the universal Colab runner.</t>
        </is>
      </c>
      <c r="D9" s="69" t="n"/>
      <c r="E9" s="79" t="inlineStr">
        <is>
          <t>Green</t>
        </is>
      </c>
      <c r="F9" s="76" t="inlineStr">
        <is>
          <t>Ready / PASS</t>
        </is>
      </c>
      <c r="G9" s="69" t="n"/>
      <c r="H9" s="69" t="n"/>
      <c r="I9" s="69" t="n"/>
      <c r="J9" s="69" t="n"/>
      <c r="K9" s="69" t="n"/>
      <c r="L9" s="69" t="n"/>
      <c r="M9" s="69" t="n"/>
      <c r="N9" s="69" t="n"/>
      <c r="O9" s="69" t="n"/>
      <c r="P9" s="69" t="n"/>
      <c r="Q9" s="69" t="n"/>
      <c r="R9" s="69" t="n"/>
      <c r="S9" s="69" t="n"/>
      <c r="T9" s="69" t="n"/>
      <c r="U9" s="69" t="n"/>
      <c r="V9" s="69" t="n"/>
      <c r="W9" s="69" t="n"/>
      <c r="X9" s="69" t="n"/>
      <c r="Y9" s="69" t="n"/>
      <c r="Z9" s="69" t="n"/>
    </row>
    <row r="10">
      <c r="A10" s="69" t="n"/>
      <c r="B10" s="69" t="n"/>
      <c r="C10" s="69" t="n"/>
      <c r="D10" s="69" t="n"/>
      <c r="E10" s="80" t="inlineStr">
        <is>
          <t>Red</t>
        </is>
      </c>
      <c r="F10" s="76" t="inlineStr">
        <is>
          <t>Missing or inconsistent input</t>
        </is>
      </c>
      <c r="G10" s="69" t="n"/>
      <c r="H10" s="69" t="n"/>
      <c r="I10" s="69" t="n"/>
      <c r="J10" s="69" t="n"/>
      <c r="K10" s="69" t="n"/>
      <c r="L10" s="69" t="n"/>
      <c r="M10" s="69" t="n"/>
      <c r="N10" s="69" t="n"/>
      <c r="O10" s="69" t="n"/>
      <c r="P10" s="69" t="n"/>
      <c r="Q10" s="69" t="n"/>
      <c r="R10" s="69" t="n"/>
      <c r="S10" s="69" t="n"/>
      <c r="T10" s="69" t="n"/>
      <c r="U10" s="69" t="n"/>
      <c r="V10" s="69" t="n"/>
      <c r="W10" s="69" t="n"/>
      <c r="X10" s="69" t="n"/>
      <c r="Y10" s="69" t="n"/>
      <c r="Z10" s="69" t="n"/>
    </row>
    <row r="11">
      <c r="A11" s="69" t="n"/>
      <c r="B11" s="69" t="n"/>
      <c r="C11" s="69" t="n"/>
      <c r="D11" s="69" t="n"/>
      <c r="E11" s="69" t="n"/>
      <c r="F11" s="69" t="n"/>
      <c r="G11" s="69" t="n"/>
      <c r="H11" s="69" t="n"/>
      <c r="I11" s="69" t="n"/>
      <c r="J11" s="69" t="n"/>
      <c r="K11" s="69" t="n"/>
      <c r="L11" s="69" t="n"/>
      <c r="M11" s="69" t="n"/>
      <c r="N11" s="69" t="n"/>
      <c r="O11" s="69" t="n"/>
      <c r="P11" s="69" t="n"/>
      <c r="Q11" s="69" t="n"/>
      <c r="R11" s="69" t="n"/>
      <c r="S11" s="69" t="n"/>
      <c r="T11" s="69" t="n"/>
      <c r="U11" s="69" t="n"/>
      <c r="V11" s="69" t="n"/>
      <c r="W11" s="69" t="n"/>
      <c r="X11" s="69" t="n"/>
      <c r="Y11" s="69" t="n"/>
      <c r="Z11" s="69" t="n"/>
    </row>
    <row r="12">
      <c r="A12" s="81" t="inlineStr">
        <is>
          <t>Fixed engine protections — no manual solver tuning required</t>
        </is>
      </c>
      <c r="I12" s="69" t="n"/>
      <c r="J12" s="69" t="n"/>
      <c r="K12" s="69" t="n"/>
      <c r="L12" s="69" t="n"/>
      <c r="M12" s="69" t="n"/>
      <c r="N12" s="69" t="n"/>
      <c r="O12" s="69" t="n"/>
      <c r="P12" s="69" t="n"/>
      <c r="Q12" s="69" t="n"/>
      <c r="R12" s="69" t="n"/>
      <c r="S12" s="69" t="n"/>
      <c r="T12" s="69" t="n"/>
      <c r="U12" s="69" t="n"/>
      <c r="V12" s="69" t="n"/>
      <c r="W12" s="69" t="n"/>
      <c r="X12" s="69" t="n"/>
      <c r="Y12" s="69" t="n"/>
      <c r="Z12" s="69" t="n"/>
    </row>
    <row r="13" ht="24" customHeight="1" s="45">
      <c r="A13" s="74" t="inlineStr">
        <is>
          <t>• Final production decision is based on after-break coverage; BEST BEFORE remains a protected review artifact and recovery anchor.</t>
        </is>
      </c>
      <c r="I13" s="69" t="n"/>
      <c r="J13" s="69" t="n"/>
      <c r="K13" s="69" t="n"/>
      <c r="L13" s="69" t="n"/>
      <c r="M13" s="69" t="n"/>
      <c r="N13" s="69" t="n"/>
      <c r="O13" s="69" t="n"/>
      <c r="P13" s="69" t="n"/>
      <c r="Q13" s="69" t="n"/>
      <c r="R13" s="69" t="n"/>
      <c r="S13" s="69" t="n"/>
      <c r="T13" s="69" t="n"/>
      <c r="U13" s="69" t="n"/>
      <c r="V13" s="69" t="n"/>
      <c r="W13" s="69" t="n"/>
      <c r="X13" s="69" t="n"/>
      <c r="Y13" s="69" t="n"/>
      <c r="Z13" s="69" t="n"/>
    </row>
    <row r="14" ht="24" customHeight="1" s="45">
      <c r="A14" s="74" t="inlineStr">
        <is>
          <t>• Blank-demand policy is explicit. “No new staffing” is enforced in shift filtering, CP-SAT, repair, and final validation.</t>
        </is>
      </c>
      <c r="I14" s="69" t="n"/>
      <c r="J14" s="69" t="n"/>
      <c r="K14" s="69" t="n"/>
      <c r="L14" s="69" t="n"/>
      <c r="M14" s="69" t="n"/>
      <c r="N14" s="69" t="n"/>
      <c r="O14" s="69" t="n"/>
      <c r="P14" s="69" t="n"/>
      <c r="Q14" s="69" t="n"/>
      <c r="R14" s="69" t="n"/>
      <c r="S14" s="69" t="n"/>
      <c r="T14" s="69" t="n"/>
      <c r="U14" s="69" t="n"/>
      <c r="V14" s="69" t="n"/>
      <c r="W14" s="69" t="n"/>
      <c r="X14" s="69" t="n"/>
      <c r="Y14" s="69" t="n"/>
      <c r="Z14" s="69" t="n"/>
    </row>
    <row r="15" ht="24" customHeight="1" s="45">
      <c r="A15" s="74" t="inlineStr">
        <is>
          <t>• Overnight demand is interpreted cyclically, so 14:00–08:00 is not mistaken for 24/7.</t>
        </is>
      </c>
      <c r="I15" s="69" t="n"/>
      <c r="J15" s="69" t="n"/>
      <c r="K15" s="69" t="n"/>
      <c r="L15" s="69" t="n"/>
      <c r="M15" s="69" t="n"/>
      <c r="N15" s="69" t="n"/>
      <c r="O15" s="69" t="n"/>
      <c r="P15" s="69" t="n"/>
      <c r="Q15" s="69" t="n"/>
      <c r="R15" s="69" t="n"/>
      <c r="S15" s="69" t="n"/>
      <c r="T15" s="69" t="n"/>
      <c r="U15" s="69" t="n"/>
      <c r="V15" s="69" t="n"/>
      <c r="W15" s="69" t="n"/>
      <c r="X15" s="69" t="n"/>
      <c r="Y15" s="69" t="n"/>
      <c r="Z15" s="69" t="n"/>
    </row>
    <row r="16" ht="24" customHeight="1" s="45">
      <c r="A16" s="74" t="inlineStr">
        <is>
          <t>• Language/skill coverage is directional: source language → languages it can cover.</t>
        </is>
      </c>
      <c r="I16" s="69" t="n"/>
      <c r="J16" s="69" t="n"/>
      <c r="K16" s="69" t="n"/>
      <c r="L16" s="69" t="n"/>
      <c r="M16" s="69" t="n"/>
      <c r="N16" s="69" t="n"/>
      <c r="O16" s="69" t="n"/>
      <c r="P16" s="69" t="n"/>
      <c r="Q16" s="69" t="n"/>
      <c r="R16" s="69" t="n"/>
      <c r="S16" s="69" t="n"/>
      <c r="T16" s="69" t="n"/>
      <c r="U16" s="69" t="n"/>
      <c r="V16" s="69" t="n"/>
      <c r="W16" s="69" t="n"/>
      <c r="X16" s="69" t="n"/>
      <c r="Y16" s="69" t="n"/>
      <c r="Z16" s="69" t="n"/>
    </row>
    <row r="17" ht="24" customHeight="1" s="45">
      <c r="A17" s="74" t="inlineStr">
        <is>
          <t>• Rest, OFF/leave/fixed/nesting, opening, Next Sunday, hard floors, and approved exception caps remain authoritative.</t>
        </is>
      </c>
      <c r="I17" s="69" t="n"/>
      <c r="J17" s="69" t="n"/>
      <c r="K17" s="69" t="n"/>
      <c r="L17" s="69" t="n"/>
      <c r="M17" s="69" t="n"/>
      <c r="N17" s="69" t="n"/>
      <c r="O17" s="69" t="n"/>
      <c r="P17" s="69" t="n"/>
      <c r="Q17" s="69" t="n"/>
      <c r="R17" s="69" t="n"/>
      <c r="S17" s="69" t="n"/>
      <c r="T17" s="69" t="n"/>
      <c r="U17" s="69" t="n"/>
      <c r="V17" s="69" t="n"/>
      <c r="W17" s="69" t="n"/>
      <c r="X17" s="69" t="n"/>
      <c r="Y17" s="69" t="n"/>
      <c r="Z17" s="69" t="n"/>
    </row>
    <row r="18">
      <c r="A18" s="69" t="inlineStr">
        <is>
          <t>• Historical KPI workbooks are comparison references unless provenance matches the current input/contract and final artifact.</t>
        </is>
      </c>
      <c r="B18" s="69" t="n"/>
      <c r="C18" s="69" t="n"/>
      <c r="D18" s="69" t="n"/>
      <c r="E18" s="69" t="n"/>
      <c r="F18" s="69" t="n"/>
      <c r="G18" s="69" t="n"/>
      <c r="H18" s="69" t="n"/>
      <c r="I18" s="69" t="n"/>
      <c r="J18" s="69" t="n"/>
      <c r="K18" s="69" t="n"/>
      <c r="L18" s="69" t="n"/>
      <c r="M18" s="69" t="n"/>
      <c r="N18" s="69" t="n"/>
      <c r="O18" s="69" t="n"/>
      <c r="P18" s="69" t="n"/>
      <c r="Q18" s="69" t="n"/>
      <c r="R18" s="69" t="n"/>
      <c r="S18" s="69" t="n"/>
      <c r="T18" s="69" t="n"/>
      <c r="U18" s="69" t="n"/>
      <c r="V18" s="69" t="n"/>
      <c r="W18" s="69" t="n"/>
      <c r="X18" s="69" t="n"/>
      <c r="Y18" s="69" t="n"/>
      <c r="Z18" s="69" t="n"/>
    </row>
    <row r="19">
      <c r="A19" s="69" t="n"/>
      <c r="B19" s="69" t="n"/>
      <c r="C19" s="69" t="n"/>
      <c r="D19" s="69" t="n"/>
      <c r="E19" s="71" t="inlineStr">
        <is>
          <t>Readiness snapshot</t>
        </is>
      </c>
      <c r="I19" s="69" t="n"/>
      <c r="J19" s="69" t="n"/>
      <c r="K19" s="69" t="n"/>
      <c r="L19" s="69" t="n"/>
      <c r="M19" s="69" t="n"/>
      <c r="N19" s="69" t="n"/>
      <c r="O19" s="69" t="n"/>
      <c r="P19" s="69" t="n"/>
      <c r="Q19" s="69" t="n"/>
      <c r="R19" s="69" t="n"/>
      <c r="S19" s="69" t="n"/>
      <c r="T19" s="69" t="n"/>
      <c r="U19" s="69" t="n"/>
      <c r="V19" s="69" t="n"/>
      <c r="W19" s="69" t="n"/>
      <c r="X19" s="69" t="n"/>
      <c r="Y19" s="69" t="n"/>
      <c r="Z19" s="69" t="n"/>
    </row>
    <row r="20" ht="26" customHeight="1" s="45">
      <c r="A20" s="69" t="n"/>
      <c r="B20" s="69" t="n"/>
      <c r="C20" s="69" t="n"/>
      <c r="D20" s="69" t="n"/>
      <c r="E20" s="82" t="inlineStr">
        <is>
          <t>Check</t>
        </is>
      </c>
      <c r="F20" s="82" t="inlineStr">
        <is>
          <t>Current status</t>
        </is>
      </c>
      <c r="G20" s="82" t="inlineStr">
        <is>
          <t>Go to</t>
        </is>
      </c>
      <c r="H20" s="82" t="n"/>
      <c r="I20" s="69" t="n"/>
      <c r="J20" s="69" t="n"/>
      <c r="K20" s="69" t="n"/>
      <c r="L20" s="69" t="n"/>
      <c r="M20" s="69" t="n"/>
      <c r="N20" s="69" t="n"/>
      <c r="O20" s="69" t="n"/>
      <c r="P20" s="69" t="n"/>
      <c r="Q20" s="69" t="n"/>
      <c r="R20" s="69" t="n"/>
      <c r="S20" s="69" t="n"/>
      <c r="T20" s="69" t="n"/>
      <c r="U20" s="69" t="n"/>
      <c r="V20" s="69" t="n"/>
      <c r="W20" s="69" t="n"/>
      <c r="X20" s="69" t="n"/>
      <c r="Y20" s="69" t="n"/>
      <c r="Z20" s="69" t="n"/>
    </row>
    <row r="21">
      <c r="A21" s="69" t="n"/>
      <c r="B21" s="69" t="n"/>
      <c r="C21" s="69" t="n"/>
      <c r="D21" s="69" t="n"/>
      <c r="E21" s="83" t="inlineStr">
        <is>
          <t>Instruction sources aligned</t>
        </is>
      </c>
      <c r="F21" s="83">
        <f>'Input Checks'!B5</f>
        <v/>
      </c>
      <c r="G21" s="83" t="inlineStr">
        <is>
          <t>Instructions</t>
        </is>
      </c>
      <c r="H21" s="83" t="n"/>
      <c r="I21" s="69" t="n"/>
      <c r="J21" s="69" t="n"/>
      <c r="K21" s="69" t="n"/>
      <c r="L21" s="69" t="n"/>
      <c r="M21" s="69" t="n"/>
      <c r="N21" s="69" t="n"/>
      <c r="O21" s="69" t="n"/>
      <c r="P21" s="69" t="n"/>
      <c r="Q21" s="69" t="n"/>
      <c r="R21" s="69" t="n"/>
      <c r="S21" s="69" t="n"/>
      <c r="T21" s="69" t="n"/>
      <c r="U21" s="69" t="n"/>
      <c r="V21" s="69" t="n"/>
      <c r="W21" s="69" t="n"/>
      <c r="X21" s="69" t="n"/>
      <c r="Y21" s="69" t="n"/>
      <c r="Z21" s="69" t="n"/>
    </row>
    <row r="22">
      <c r="A22" s="69" t="n"/>
      <c r="B22" s="69" t="n"/>
      <c r="C22" s="69" t="n"/>
      <c r="D22" s="69" t="n"/>
      <c r="E22" s="83" t="inlineStr">
        <is>
          <t>Roster ready</t>
        </is>
      </c>
      <c r="F22" s="83">
        <f>'Input Checks'!B7</f>
        <v/>
      </c>
      <c r="G22" s="83" t="inlineStr">
        <is>
          <t>Schedule</t>
        </is>
      </c>
      <c r="H22" s="83" t="n"/>
      <c r="I22" s="69" t="n"/>
      <c r="J22" s="69" t="n"/>
      <c r="K22" s="69" t="n"/>
      <c r="L22" s="69" t="n"/>
      <c r="M22" s="69" t="n"/>
      <c r="N22" s="69" t="n"/>
      <c r="O22" s="69" t="n"/>
      <c r="P22" s="69" t="n"/>
      <c r="Q22" s="69" t="n"/>
      <c r="R22" s="69" t="n"/>
      <c r="S22" s="69" t="n"/>
      <c r="T22" s="69" t="n"/>
      <c r="U22" s="69" t="n"/>
      <c r="V22" s="69" t="n"/>
      <c r="W22" s="69" t="n"/>
      <c r="X22" s="69" t="n"/>
      <c r="Y22" s="69" t="n"/>
      <c r="Z22" s="69" t="n"/>
    </row>
    <row r="23">
      <c r="A23" s="69" t="n"/>
      <c r="B23" s="69" t="n"/>
      <c r="C23" s="69" t="n"/>
      <c r="D23" s="69" t="n"/>
      <c r="E23" s="83" t="inlineStr">
        <is>
          <t>Requirements loaded</t>
        </is>
      </c>
      <c r="F23" s="83">
        <f>'Input Checks'!B10</f>
        <v/>
      </c>
      <c r="G23" s="83" t="inlineStr">
        <is>
          <t>FT Wise selected source</t>
        </is>
      </c>
      <c r="H23" s="83" t="n"/>
      <c r="I23" s="69" t="n"/>
      <c r="J23" s="69" t="n"/>
      <c r="K23" s="69" t="n"/>
      <c r="L23" s="69" t="n"/>
      <c r="M23" s="69" t="n"/>
      <c r="N23" s="69" t="n"/>
      <c r="O23" s="69" t="n"/>
      <c r="P23" s="69" t="n"/>
      <c r="Q23" s="69" t="n"/>
      <c r="R23" s="69" t="n"/>
      <c r="S23" s="69" t="n"/>
      <c r="T23" s="69" t="n"/>
      <c r="U23" s="69" t="n"/>
      <c r="V23" s="69" t="n"/>
      <c r="W23" s="69" t="n"/>
      <c r="X23" s="69" t="n"/>
      <c r="Y23" s="69" t="n"/>
      <c r="Z23" s="69" t="n"/>
    </row>
    <row r="24">
      <c r="A24" s="69" t="n"/>
      <c r="B24" s="69" t="n"/>
      <c r="C24" s="69" t="n"/>
      <c r="D24" s="69" t="n"/>
      <c r="E24" s="83" t="inlineStr">
        <is>
          <t>Allowed shifts loaded</t>
        </is>
      </c>
      <c r="F24" s="83">
        <f>'Input Checks'!B11</f>
        <v/>
      </c>
      <c r="G24" s="83" t="inlineStr">
        <is>
          <t>Shift Library</t>
        </is>
      </c>
      <c r="H24" s="83" t="n"/>
      <c r="I24" s="69" t="n"/>
      <c r="J24" s="69" t="n"/>
      <c r="K24" s="69" t="n"/>
      <c r="L24" s="69" t="n"/>
      <c r="M24" s="69" t="n"/>
      <c r="N24" s="69" t="n"/>
      <c r="O24" s="69" t="n"/>
      <c r="P24" s="69" t="n"/>
      <c r="Q24" s="69" t="n"/>
      <c r="R24" s="69" t="n"/>
      <c r="S24" s="69" t="n"/>
      <c r="T24" s="69" t="n"/>
      <c r="U24" s="69" t="n"/>
      <c r="V24" s="69" t="n"/>
      <c r="W24" s="69" t="n"/>
      <c r="X24" s="69" t="n"/>
      <c r="Y24" s="69" t="n"/>
      <c r="Z24" s="69" t="n"/>
    </row>
    <row r="25">
      <c r="A25" s="69" t="n"/>
      <c r="B25" s="69" t="n"/>
      <c r="C25" s="69" t="n"/>
      <c r="D25" s="69" t="n"/>
      <c r="E25" s="83" t="inlineStr">
        <is>
          <t>Overall readiness</t>
        </is>
      </c>
      <c r="F25" s="83">
        <f>'Input Checks'!B15</f>
        <v/>
      </c>
      <c r="G25" s="83" t="inlineStr">
        <is>
          <t>Input Checks</t>
        </is>
      </c>
      <c r="H25" s="83" t="n"/>
      <c r="I25" s="69" t="n"/>
      <c r="J25" s="69" t="n"/>
      <c r="K25" s="69" t="n"/>
      <c r="L25" s="69" t="n"/>
      <c r="M25" s="69" t="n"/>
      <c r="N25" s="69" t="n"/>
      <c r="O25" s="69" t="n"/>
      <c r="P25" s="69" t="n"/>
      <c r="Q25" s="69" t="n"/>
      <c r="R25" s="69" t="n"/>
      <c r="S25" s="69" t="n"/>
      <c r="T25" s="69" t="n"/>
      <c r="U25" s="69" t="n"/>
      <c r="V25" s="69" t="n"/>
      <c r="W25" s="69" t="n"/>
      <c r="X25" s="69" t="n"/>
      <c r="Y25" s="69" t="n"/>
      <c r="Z25" s="69" t="n"/>
    </row>
    <row r="26">
      <c r="A26" s="69" t="n"/>
      <c r="B26" s="69" t="n"/>
      <c r="C26" s="69" t="n"/>
      <c r="D26" s="69" t="n"/>
      <c r="E26" s="69" t="n"/>
      <c r="F26" s="69" t="n"/>
      <c r="G26" s="69" t="n"/>
      <c r="H26" s="69" t="n"/>
      <c r="I26" s="69" t="n"/>
      <c r="J26" s="69" t="n"/>
      <c r="K26" s="69" t="n"/>
      <c r="L26" s="69" t="n"/>
      <c r="M26" s="69" t="n"/>
      <c r="N26" s="69" t="n"/>
      <c r="O26" s="69" t="n"/>
      <c r="P26" s="69" t="n"/>
      <c r="Q26" s="69" t="n"/>
      <c r="R26" s="69" t="n"/>
      <c r="S26" s="69" t="n"/>
      <c r="T26" s="69" t="n"/>
      <c r="U26" s="69" t="n"/>
      <c r="V26" s="69" t="n"/>
      <c r="W26" s="69" t="n"/>
      <c r="X26" s="69" t="n"/>
      <c r="Y26" s="69" t="n"/>
      <c r="Z26" s="69" t="n"/>
    </row>
    <row r="27">
      <c r="A27" s="69" t="n"/>
      <c r="B27" s="69" t="n"/>
      <c r="C27" s="69" t="n"/>
      <c r="D27" s="69" t="n"/>
      <c r="E27" s="69" t="n"/>
      <c r="F27" s="69" t="n"/>
      <c r="G27" s="69" t="n"/>
      <c r="H27" s="69" t="n"/>
      <c r="I27" s="69" t="n"/>
      <c r="J27" s="69" t="n"/>
      <c r="K27" s="69" t="n"/>
      <c r="L27" s="69" t="n"/>
      <c r="M27" s="69" t="n"/>
      <c r="N27" s="69" t="n"/>
      <c r="O27" s="69" t="n"/>
      <c r="P27" s="69" t="n"/>
      <c r="Q27" s="69" t="n"/>
      <c r="R27" s="69" t="n"/>
      <c r="S27" s="69" t="n"/>
      <c r="T27" s="69" t="n"/>
      <c r="U27" s="69" t="n"/>
      <c r="V27" s="69" t="n"/>
      <c r="W27" s="69" t="n"/>
      <c r="X27" s="69" t="n"/>
      <c r="Y27" s="69" t="n"/>
      <c r="Z27" s="69" t="n"/>
    </row>
    <row r="28">
      <c r="A28" s="69" t="n"/>
      <c r="B28" s="69" t="n"/>
      <c r="C28" s="69" t="n"/>
      <c r="D28" s="69" t="n"/>
      <c r="E28" s="69" t="n"/>
      <c r="F28" s="69" t="n"/>
      <c r="G28" s="69" t="n"/>
      <c r="H28" s="69" t="n"/>
      <c r="I28" s="69" t="n"/>
      <c r="J28" s="69" t="n"/>
      <c r="K28" s="69" t="n"/>
      <c r="L28" s="69" t="n"/>
      <c r="M28" s="69" t="n"/>
      <c r="N28" s="69" t="n"/>
      <c r="O28" s="69" t="n"/>
      <c r="P28" s="69" t="n"/>
      <c r="Q28" s="69" t="n"/>
      <c r="R28" s="69" t="n"/>
      <c r="S28" s="69" t="n"/>
      <c r="T28" s="69" t="n"/>
      <c r="U28" s="69" t="n"/>
      <c r="V28" s="69" t="n"/>
      <c r="W28" s="69" t="n"/>
      <c r="X28" s="69" t="n"/>
      <c r="Y28" s="69" t="n"/>
      <c r="Z28" s="69" t="n"/>
    </row>
    <row r="29">
      <c r="A29" s="69" t="n"/>
      <c r="B29" s="69" t="n"/>
      <c r="C29" s="69" t="n"/>
      <c r="D29" s="69" t="n"/>
      <c r="E29" s="69" t="n"/>
      <c r="F29" s="69" t="n"/>
      <c r="G29" s="69" t="n"/>
      <c r="H29" s="69" t="n"/>
      <c r="I29" s="69" t="n"/>
      <c r="J29" s="69" t="n"/>
      <c r="K29" s="69" t="n"/>
      <c r="L29" s="69" t="n"/>
      <c r="M29" s="69" t="n"/>
      <c r="N29" s="69" t="n"/>
      <c r="O29" s="69" t="n"/>
      <c r="P29" s="69" t="n"/>
      <c r="Q29" s="69" t="n"/>
      <c r="R29" s="69" t="n"/>
      <c r="S29" s="69" t="n"/>
      <c r="T29" s="69" t="n"/>
      <c r="U29" s="69" t="n"/>
      <c r="V29" s="69" t="n"/>
      <c r="W29" s="69" t="n"/>
      <c r="X29" s="69" t="n"/>
      <c r="Y29" s="69" t="n"/>
      <c r="Z29" s="69" t="n"/>
    </row>
    <row r="30">
      <c r="A30" s="69" t="n"/>
      <c r="B30" s="69" t="n"/>
      <c r="C30" s="69" t="n"/>
      <c r="D30" s="69" t="n"/>
      <c r="E30" s="69" t="n"/>
      <c r="F30" s="69" t="n"/>
      <c r="G30" s="69" t="n"/>
      <c r="H30" s="69" t="n"/>
      <c r="I30" s="69" t="n"/>
      <c r="J30" s="69" t="n"/>
      <c r="K30" s="69" t="n"/>
      <c r="L30" s="69" t="n"/>
      <c r="M30" s="69" t="n"/>
      <c r="N30" s="69" t="n"/>
      <c r="O30" s="69" t="n"/>
      <c r="P30" s="69" t="n"/>
      <c r="Q30" s="69" t="n"/>
      <c r="R30" s="69" t="n"/>
      <c r="S30" s="69" t="n"/>
      <c r="T30" s="69" t="n"/>
      <c r="U30" s="69" t="n"/>
      <c r="V30" s="69" t="n"/>
      <c r="W30" s="69" t="n"/>
      <c r="X30" s="69" t="n"/>
      <c r="Y30" s="69" t="n"/>
      <c r="Z30" s="69" t="n"/>
    </row>
    <row r="31">
      <c r="A31" s="69" t="n"/>
      <c r="B31" s="69" t="n"/>
      <c r="C31" s="69" t="n"/>
      <c r="D31" s="69" t="n"/>
      <c r="E31" s="69" t="n"/>
      <c r="F31" s="69" t="n"/>
      <c r="G31" s="69" t="n"/>
      <c r="H31" s="69" t="n"/>
      <c r="I31" s="69" t="n"/>
      <c r="J31" s="69" t="n"/>
      <c r="K31" s="69" t="n"/>
      <c r="L31" s="69" t="n"/>
      <c r="M31" s="69" t="n"/>
      <c r="N31" s="69" t="n"/>
      <c r="O31" s="69" t="n"/>
      <c r="P31" s="69" t="n"/>
      <c r="Q31" s="69" t="n"/>
      <c r="R31" s="69" t="n"/>
      <c r="S31" s="69" t="n"/>
      <c r="T31" s="69" t="n"/>
      <c r="U31" s="69" t="n"/>
      <c r="V31" s="69" t="n"/>
      <c r="W31" s="69" t="n"/>
      <c r="X31" s="69" t="n"/>
      <c r="Y31" s="69" t="n"/>
      <c r="Z31" s="69" t="n"/>
    </row>
    <row r="32">
      <c r="A32" s="69" t="n"/>
      <c r="B32" s="69" t="n"/>
      <c r="C32" s="69" t="n"/>
      <c r="D32" s="69" t="n"/>
      <c r="E32" s="69" t="n"/>
      <c r="F32" s="69" t="n"/>
      <c r="G32" s="69" t="n"/>
      <c r="H32" s="69" t="n"/>
      <c r="I32" s="69" t="n"/>
      <c r="J32" s="69" t="n"/>
      <c r="K32" s="69" t="n"/>
      <c r="L32" s="69" t="n"/>
      <c r="M32" s="69" t="n"/>
      <c r="N32" s="69" t="n"/>
      <c r="O32" s="69" t="n"/>
      <c r="P32" s="69" t="n"/>
      <c r="Q32" s="69" t="n"/>
      <c r="R32" s="69" t="n"/>
      <c r="S32" s="69" t="n"/>
      <c r="T32" s="69" t="n"/>
      <c r="U32" s="69" t="n"/>
      <c r="V32" s="69" t="n"/>
      <c r="W32" s="69" t="n"/>
      <c r="X32" s="69" t="n"/>
      <c r="Y32" s="69" t="n"/>
      <c r="Z32" s="69" t="n"/>
    </row>
    <row r="33">
      <c r="A33" s="69" t="n"/>
      <c r="B33" s="69" t="n"/>
      <c r="C33" s="69" t="n"/>
      <c r="D33" s="69" t="n"/>
      <c r="E33" s="69" t="n"/>
      <c r="F33" s="69" t="n"/>
      <c r="G33" s="69" t="n"/>
      <c r="H33" s="69" t="n"/>
      <c r="I33" s="69" t="n"/>
      <c r="J33" s="69" t="n"/>
      <c r="K33" s="69" t="n"/>
      <c r="L33" s="69" t="n"/>
      <c r="M33" s="69" t="n"/>
      <c r="N33" s="69" t="n"/>
      <c r="O33" s="69" t="n"/>
      <c r="P33" s="69" t="n"/>
      <c r="Q33" s="69" t="n"/>
      <c r="R33" s="69" t="n"/>
      <c r="S33" s="69" t="n"/>
      <c r="T33" s="69" t="n"/>
      <c r="U33" s="69" t="n"/>
      <c r="V33" s="69" t="n"/>
      <c r="W33" s="69" t="n"/>
      <c r="X33" s="69" t="n"/>
      <c r="Y33" s="69" t="n"/>
      <c r="Z33" s="69" t="n"/>
    </row>
    <row r="34">
      <c r="A34" s="69" t="n"/>
      <c r="B34" s="69" t="n"/>
      <c r="C34" s="69" t="n"/>
      <c r="D34" s="69" t="n"/>
      <c r="E34" s="69" t="n"/>
      <c r="F34" s="69" t="n"/>
      <c r="G34" s="69" t="n"/>
      <c r="H34" s="69" t="n"/>
      <c r="I34" s="69" t="n"/>
      <c r="J34" s="69" t="n"/>
      <c r="K34" s="69" t="n"/>
      <c r="L34" s="69" t="n"/>
      <c r="M34" s="69" t="n"/>
      <c r="N34" s="69" t="n"/>
      <c r="O34" s="69" t="n"/>
      <c r="P34" s="69" t="n"/>
      <c r="Q34" s="69" t="n"/>
      <c r="R34" s="69" t="n"/>
      <c r="S34" s="69" t="n"/>
      <c r="T34" s="69" t="n"/>
      <c r="U34" s="69" t="n"/>
      <c r="V34" s="69" t="n"/>
      <c r="W34" s="69" t="n"/>
      <c r="X34" s="69" t="n"/>
      <c r="Y34" s="69" t="n"/>
      <c r="Z34" s="69" t="n"/>
    </row>
    <row r="35">
      <c r="A35" s="69" t="n"/>
      <c r="B35" s="69" t="n"/>
      <c r="C35" s="69" t="n"/>
      <c r="D35" s="69" t="n"/>
      <c r="E35" s="69" t="n"/>
      <c r="F35" s="69" t="n"/>
      <c r="G35" s="69" t="n"/>
      <c r="H35" s="69" t="n"/>
      <c r="I35" s="69" t="n"/>
      <c r="J35" s="69" t="n"/>
      <c r="K35" s="69" t="n"/>
      <c r="L35" s="69" t="n"/>
      <c r="M35" s="69" t="n"/>
      <c r="N35" s="69" t="n"/>
      <c r="O35" s="69" t="n"/>
      <c r="P35" s="69" t="n"/>
      <c r="Q35" s="69" t="n"/>
      <c r="R35" s="69" t="n"/>
      <c r="S35" s="69" t="n"/>
      <c r="T35" s="69" t="n"/>
      <c r="U35" s="69" t="n"/>
      <c r="V35" s="69" t="n"/>
      <c r="W35" s="69" t="n"/>
      <c r="X35" s="69" t="n"/>
      <c r="Y35" s="69" t="n"/>
      <c r="Z35" s="69" t="n"/>
    </row>
    <row r="36">
      <c r="A36" s="69" t="n"/>
      <c r="B36" s="69" t="n"/>
      <c r="C36" s="69" t="n"/>
      <c r="D36" s="69" t="n"/>
      <c r="E36" s="69" t="n"/>
      <c r="F36" s="69" t="n"/>
      <c r="G36" s="69" t="n"/>
      <c r="H36" s="69" t="n"/>
      <c r="I36" s="69" t="n"/>
      <c r="J36" s="69" t="n"/>
      <c r="K36" s="69" t="n"/>
      <c r="L36" s="69" t="n"/>
      <c r="M36" s="69" t="n"/>
      <c r="N36" s="69" t="n"/>
      <c r="O36" s="69" t="n"/>
      <c r="P36" s="69" t="n"/>
      <c r="Q36" s="69" t="n"/>
      <c r="R36" s="69" t="n"/>
      <c r="S36" s="69" t="n"/>
      <c r="T36" s="69" t="n"/>
      <c r="U36" s="69" t="n"/>
      <c r="V36" s="69" t="n"/>
      <c r="W36" s="69" t="n"/>
      <c r="X36" s="69" t="n"/>
      <c r="Y36" s="69" t="n"/>
      <c r="Z36" s="69" t="n"/>
    </row>
    <row r="37">
      <c r="A37" s="69" t="n"/>
      <c r="B37" s="69" t="n"/>
      <c r="C37" s="69" t="n"/>
      <c r="D37" s="69" t="n"/>
      <c r="E37" s="69" t="n"/>
      <c r="F37" s="69" t="n"/>
      <c r="G37" s="69" t="n"/>
      <c r="H37" s="69" t="n"/>
      <c r="I37" s="69" t="n"/>
      <c r="J37" s="69" t="n"/>
      <c r="K37" s="69" t="n"/>
      <c r="L37" s="69" t="n"/>
      <c r="M37" s="69" t="n"/>
      <c r="N37" s="69" t="n"/>
      <c r="O37" s="69" t="n"/>
      <c r="P37" s="69" t="n"/>
      <c r="Q37" s="69" t="n"/>
      <c r="R37" s="69" t="n"/>
      <c r="S37" s="69" t="n"/>
      <c r="T37" s="69" t="n"/>
      <c r="U37" s="69" t="n"/>
      <c r="V37" s="69" t="n"/>
      <c r="W37" s="69" t="n"/>
      <c r="X37" s="69" t="n"/>
      <c r="Y37" s="69" t="n"/>
      <c r="Z37" s="69" t="n"/>
    </row>
    <row r="38">
      <c r="A38" s="69" t="n"/>
      <c r="B38" s="69" t="n"/>
      <c r="C38" s="69" t="n"/>
      <c r="D38" s="69" t="n"/>
      <c r="E38" s="69" t="n"/>
      <c r="F38" s="69" t="n"/>
      <c r="G38" s="69" t="n"/>
      <c r="H38" s="69" t="n"/>
      <c r="I38" s="69" t="n"/>
      <c r="J38" s="69" t="n"/>
      <c r="K38" s="69" t="n"/>
      <c r="L38" s="69" t="n"/>
      <c r="M38" s="69" t="n"/>
      <c r="N38" s="69" t="n"/>
      <c r="O38" s="69" t="n"/>
      <c r="P38" s="69" t="n"/>
      <c r="Q38" s="69" t="n"/>
      <c r="R38" s="69" t="n"/>
      <c r="S38" s="69" t="n"/>
      <c r="T38" s="69" t="n"/>
      <c r="U38" s="69" t="n"/>
      <c r="V38" s="69" t="n"/>
      <c r="W38" s="69" t="n"/>
      <c r="X38" s="69" t="n"/>
      <c r="Y38" s="69" t="n"/>
      <c r="Z38" s="69" t="n"/>
    </row>
    <row r="39">
      <c r="A39" s="69" t="n"/>
      <c r="B39" s="69" t="n"/>
      <c r="C39" s="69" t="n"/>
      <c r="D39" s="69" t="n"/>
      <c r="E39" s="69" t="n"/>
      <c r="F39" s="69" t="n"/>
      <c r="G39" s="69" t="n"/>
      <c r="H39" s="69" t="n"/>
      <c r="I39" s="69" t="n"/>
      <c r="J39" s="69" t="n"/>
      <c r="K39" s="69" t="n"/>
      <c r="L39" s="69" t="n"/>
      <c r="M39" s="69" t="n"/>
      <c r="N39" s="69" t="n"/>
      <c r="O39" s="69" t="n"/>
      <c r="P39" s="69" t="n"/>
      <c r="Q39" s="69" t="n"/>
      <c r="R39" s="69" t="n"/>
      <c r="S39" s="69" t="n"/>
      <c r="T39" s="69" t="n"/>
      <c r="U39" s="69" t="n"/>
      <c r="V39" s="69" t="n"/>
      <c r="W39" s="69" t="n"/>
      <c r="X39" s="69" t="n"/>
      <c r="Y39" s="69" t="n"/>
      <c r="Z39" s="69" t="n"/>
    </row>
    <row r="40">
      <c r="A40" s="69" t="n"/>
      <c r="B40" s="69" t="n"/>
      <c r="C40" s="69" t="n"/>
      <c r="D40" s="69" t="n"/>
      <c r="E40" s="69" t="n"/>
      <c r="F40" s="69" t="n"/>
      <c r="G40" s="69" t="n"/>
      <c r="H40" s="69" t="n"/>
      <c r="I40" s="69" t="n"/>
      <c r="J40" s="69" t="n"/>
      <c r="K40" s="69" t="n"/>
      <c r="L40" s="69" t="n"/>
      <c r="M40" s="69" t="n"/>
      <c r="N40" s="69" t="n"/>
      <c r="O40" s="69" t="n"/>
      <c r="P40" s="69" t="n"/>
      <c r="Q40" s="69" t="n"/>
      <c r="R40" s="69" t="n"/>
      <c r="S40" s="69" t="n"/>
      <c r="T40" s="69" t="n"/>
      <c r="U40" s="69" t="n"/>
      <c r="V40" s="69" t="n"/>
      <c r="W40" s="69" t="n"/>
      <c r="X40" s="69" t="n"/>
      <c r="Y40" s="69" t="n"/>
      <c r="Z40" s="69" t="n"/>
    </row>
    <row r="41">
      <c r="A41" s="69" t="n"/>
      <c r="B41" s="69" t="n"/>
      <c r="C41" s="69" t="n"/>
      <c r="D41" s="69" t="n"/>
      <c r="E41" s="69" t="n"/>
      <c r="F41" s="69" t="n"/>
      <c r="G41" s="69" t="n"/>
      <c r="H41" s="69" t="n"/>
      <c r="I41" s="69" t="n"/>
      <c r="J41" s="69" t="n"/>
      <c r="K41" s="69" t="n"/>
      <c r="L41" s="69" t="n"/>
      <c r="M41" s="69" t="n"/>
      <c r="N41" s="69" t="n"/>
      <c r="O41" s="69" t="n"/>
      <c r="P41" s="69" t="n"/>
      <c r="Q41" s="69" t="n"/>
      <c r="R41" s="69" t="n"/>
      <c r="S41" s="69" t="n"/>
      <c r="T41" s="69" t="n"/>
      <c r="U41" s="69" t="n"/>
      <c r="V41" s="69" t="n"/>
      <c r="W41" s="69" t="n"/>
      <c r="X41" s="69" t="n"/>
      <c r="Y41" s="69" t="n"/>
      <c r="Z41" s="69" t="n"/>
    </row>
    <row r="42">
      <c r="A42" s="69" t="n"/>
      <c r="B42" s="69" t="n"/>
      <c r="C42" s="69" t="n"/>
      <c r="D42" s="69" t="n"/>
      <c r="E42" s="69" t="n"/>
      <c r="F42" s="69" t="n"/>
      <c r="G42" s="69" t="n"/>
      <c r="H42" s="69" t="n"/>
      <c r="I42" s="69" t="n"/>
      <c r="J42" s="69" t="n"/>
      <c r="K42" s="69" t="n"/>
      <c r="L42" s="69" t="n"/>
      <c r="M42" s="69" t="n"/>
      <c r="N42" s="69" t="n"/>
      <c r="O42" s="69" t="n"/>
      <c r="P42" s="69" t="n"/>
      <c r="Q42" s="69" t="n"/>
      <c r="R42" s="69" t="n"/>
      <c r="S42" s="69" t="n"/>
      <c r="T42" s="69" t="n"/>
      <c r="U42" s="69" t="n"/>
      <c r="V42" s="69" t="n"/>
      <c r="W42" s="69" t="n"/>
      <c r="X42" s="69" t="n"/>
      <c r="Y42" s="69" t="n"/>
      <c r="Z42" s="69" t="n"/>
    </row>
    <row r="43">
      <c r="A43" s="69" t="n"/>
      <c r="B43" s="69" t="n"/>
      <c r="C43" s="69" t="n"/>
      <c r="D43" s="69" t="n"/>
      <c r="E43" s="69" t="n"/>
      <c r="F43" s="69" t="n"/>
      <c r="G43" s="69" t="n"/>
      <c r="H43" s="69" t="n"/>
      <c r="I43" s="69" t="n"/>
      <c r="J43" s="69" t="n"/>
      <c r="K43" s="69" t="n"/>
      <c r="L43" s="69" t="n"/>
      <c r="M43" s="69" t="n"/>
      <c r="N43" s="69" t="n"/>
      <c r="O43" s="69" t="n"/>
      <c r="P43" s="69" t="n"/>
      <c r="Q43" s="69" t="n"/>
      <c r="R43" s="69" t="n"/>
      <c r="S43" s="69" t="n"/>
      <c r="T43" s="69" t="n"/>
      <c r="U43" s="69" t="n"/>
      <c r="V43" s="69" t="n"/>
      <c r="W43" s="69" t="n"/>
      <c r="X43" s="69" t="n"/>
      <c r="Y43" s="69" t="n"/>
      <c r="Z43" s="69" t="n"/>
    </row>
    <row r="44">
      <c r="A44" s="69" t="n"/>
      <c r="B44" s="69" t="n"/>
      <c r="C44" s="69" t="n"/>
      <c r="D44" s="69" t="n"/>
      <c r="E44" s="69" t="n"/>
      <c r="F44" s="69" t="n"/>
      <c r="G44" s="69" t="n"/>
      <c r="H44" s="69" t="n"/>
      <c r="I44" s="69" t="n"/>
      <c r="J44" s="69" t="n"/>
      <c r="K44" s="69" t="n"/>
      <c r="L44" s="69" t="n"/>
      <c r="M44" s="69" t="n"/>
      <c r="N44" s="69" t="n"/>
      <c r="O44" s="69" t="n"/>
      <c r="P44" s="69" t="n"/>
      <c r="Q44" s="69" t="n"/>
      <c r="R44" s="69" t="n"/>
      <c r="S44" s="69" t="n"/>
      <c r="T44" s="69" t="n"/>
      <c r="U44" s="69" t="n"/>
      <c r="V44" s="69" t="n"/>
      <c r="W44" s="69" t="n"/>
      <c r="X44" s="69" t="n"/>
      <c r="Y44" s="69" t="n"/>
      <c r="Z44" s="69" t="n"/>
    </row>
    <row r="45">
      <c r="A45" s="69" t="n"/>
      <c r="B45" s="69" t="n"/>
      <c r="C45" s="69" t="n"/>
      <c r="D45" s="69" t="n"/>
      <c r="E45" s="69" t="n"/>
      <c r="F45" s="69" t="n"/>
      <c r="G45" s="69" t="n"/>
      <c r="H45" s="69" t="n"/>
      <c r="I45" s="69" t="n"/>
      <c r="J45" s="69" t="n"/>
      <c r="K45" s="69" t="n"/>
      <c r="L45" s="69" t="n"/>
      <c r="M45" s="69" t="n"/>
      <c r="N45" s="69" t="n"/>
      <c r="O45" s="69" t="n"/>
      <c r="P45" s="69" t="n"/>
      <c r="Q45" s="69" t="n"/>
      <c r="R45" s="69" t="n"/>
      <c r="S45" s="69" t="n"/>
      <c r="T45" s="69" t="n"/>
      <c r="U45" s="69" t="n"/>
      <c r="V45" s="69" t="n"/>
      <c r="W45" s="69" t="n"/>
      <c r="X45" s="69" t="n"/>
      <c r="Y45" s="69" t="n"/>
      <c r="Z45" s="69" t="n"/>
    </row>
    <row r="46">
      <c r="A46" s="69" t="n"/>
      <c r="B46" s="69" t="n"/>
      <c r="C46" s="69" t="n"/>
      <c r="D46" s="69" t="n"/>
      <c r="E46" s="69" t="n"/>
      <c r="F46" s="69" t="n"/>
      <c r="G46" s="69" t="n"/>
      <c r="H46" s="69" t="n"/>
      <c r="I46" s="69" t="n"/>
      <c r="J46" s="69" t="n"/>
      <c r="K46" s="69" t="n"/>
      <c r="L46" s="69" t="n"/>
      <c r="M46" s="69" t="n"/>
      <c r="N46" s="69" t="n"/>
      <c r="O46" s="69" t="n"/>
      <c r="P46" s="69" t="n"/>
      <c r="Q46" s="69" t="n"/>
      <c r="R46" s="69" t="n"/>
      <c r="S46" s="69" t="n"/>
      <c r="T46" s="69" t="n"/>
      <c r="U46" s="69" t="n"/>
      <c r="V46" s="69" t="n"/>
      <c r="W46" s="69" t="n"/>
      <c r="X46" s="69" t="n"/>
      <c r="Y46" s="69" t="n"/>
      <c r="Z46" s="69" t="n"/>
    </row>
    <row r="47">
      <c r="A47" s="69" t="n"/>
      <c r="B47" s="69" t="n"/>
      <c r="C47" s="69" t="n"/>
      <c r="D47" s="69" t="n"/>
      <c r="E47" s="69" t="n"/>
      <c r="F47" s="69" t="n"/>
      <c r="G47" s="69" t="n"/>
      <c r="H47" s="69" t="n"/>
      <c r="I47" s="69" t="n"/>
      <c r="J47" s="69" t="n"/>
      <c r="K47" s="69" t="n"/>
      <c r="L47" s="69" t="n"/>
      <c r="M47" s="69" t="n"/>
      <c r="N47" s="69" t="n"/>
      <c r="O47" s="69" t="n"/>
      <c r="P47" s="69" t="n"/>
      <c r="Q47" s="69" t="n"/>
      <c r="R47" s="69" t="n"/>
      <c r="S47" s="69" t="n"/>
      <c r="T47" s="69" t="n"/>
      <c r="U47" s="69" t="n"/>
      <c r="V47" s="69" t="n"/>
      <c r="W47" s="69" t="n"/>
      <c r="X47" s="69" t="n"/>
      <c r="Y47" s="69" t="n"/>
      <c r="Z47" s="69" t="n"/>
    </row>
    <row r="48">
      <c r="A48" s="69" t="n"/>
      <c r="B48" s="69" t="n"/>
      <c r="C48" s="69" t="n"/>
      <c r="D48" s="69" t="n"/>
      <c r="E48" s="69" t="n"/>
      <c r="F48" s="69" t="n"/>
      <c r="G48" s="69" t="n"/>
      <c r="H48" s="69" t="n"/>
      <c r="I48" s="69" t="n"/>
      <c r="J48" s="69" t="n"/>
      <c r="K48" s="69" t="n"/>
      <c r="L48" s="69" t="n"/>
      <c r="M48" s="69" t="n"/>
      <c r="N48" s="69" t="n"/>
      <c r="O48" s="69" t="n"/>
      <c r="P48" s="69" t="n"/>
      <c r="Q48" s="69" t="n"/>
      <c r="R48" s="69" t="n"/>
      <c r="S48" s="69" t="n"/>
      <c r="T48" s="69" t="n"/>
      <c r="U48" s="69" t="n"/>
      <c r="V48" s="69" t="n"/>
      <c r="W48" s="69" t="n"/>
      <c r="X48" s="69" t="n"/>
      <c r="Y48" s="69" t="n"/>
      <c r="Z48" s="69" t="n"/>
    </row>
    <row r="49">
      <c r="A49" s="69" t="n"/>
      <c r="B49" s="69" t="n"/>
      <c r="C49" s="69" t="n"/>
      <c r="D49" s="69" t="n"/>
      <c r="E49" s="69" t="n"/>
      <c r="F49" s="69" t="n"/>
      <c r="G49" s="69" t="n"/>
      <c r="H49" s="69" t="n"/>
      <c r="I49" s="69" t="n"/>
      <c r="J49" s="69" t="n"/>
      <c r="K49" s="69" t="n"/>
      <c r="L49" s="69" t="n"/>
      <c r="M49" s="69" t="n"/>
      <c r="N49" s="69" t="n"/>
      <c r="O49" s="69" t="n"/>
      <c r="P49" s="69" t="n"/>
      <c r="Q49" s="69" t="n"/>
      <c r="R49" s="69" t="n"/>
      <c r="S49" s="69" t="n"/>
      <c r="T49" s="69" t="n"/>
      <c r="U49" s="69" t="n"/>
      <c r="V49" s="69" t="n"/>
      <c r="W49" s="69" t="n"/>
      <c r="X49" s="69" t="n"/>
      <c r="Y49" s="69" t="n"/>
      <c r="Z49" s="69" t="n"/>
    </row>
    <row r="50">
      <c r="A50" s="69" t="n"/>
      <c r="B50" s="69" t="n"/>
      <c r="C50" s="69" t="n"/>
      <c r="D50" s="69" t="n"/>
      <c r="E50" s="69" t="n"/>
      <c r="F50" s="69" t="n"/>
      <c r="G50" s="69" t="n"/>
      <c r="H50" s="69" t="n"/>
      <c r="I50" s="69" t="n"/>
      <c r="J50" s="69" t="n"/>
      <c r="K50" s="69" t="n"/>
      <c r="L50" s="69" t="n"/>
      <c r="M50" s="69" t="n"/>
      <c r="N50" s="69" t="n"/>
      <c r="O50" s="69" t="n"/>
      <c r="P50" s="69" t="n"/>
      <c r="Q50" s="69" t="n"/>
      <c r="R50" s="69" t="n"/>
      <c r="S50" s="69" t="n"/>
      <c r="T50" s="69" t="n"/>
      <c r="U50" s="69" t="n"/>
      <c r="V50" s="69" t="n"/>
      <c r="W50" s="69" t="n"/>
      <c r="X50" s="69" t="n"/>
      <c r="Y50" s="69" t="n"/>
      <c r="Z50" s="69" t="n"/>
    </row>
    <row r="51">
      <c r="A51" s="69" t="n"/>
      <c r="B51" s="69" t="n"/>
      <c r="C51" s="69" t="n"/>
      <c r="D51" s="69" t="n"/>
      <c r="E51" s="69" t="n"/>
      <c r="F51" s="69" t="n"/>
      <c r="G51" s="69" t="n"/>
      <c r="H51" s="69" t="n"/>
      <c r="I51" s="69" t="n"/>
      <c r="J51" s="69" t="n"/>
      <c r="K51" s="69" t="n"/>
      <c r="L51" s="69" t="n"/>
      <c r="M51" s="69" t="n"/>
      <c r="N51" s="69" t="n"/>
      <c r="O51" s="69" t="n"/>
      <c r="P51" s="69" t="n"/>
      <c r="Q51" s="69" t="n"/>
      <c r="R51" s="69" t="n"/>
      <c r="S51" s="69" t="n"/>
      <c r="T51" s="69" t="n"/>
      <c r="U51" s="69" t="n"/>
      <c r="V51" s="69" t="n"/>
      <c r="W51" s="69" t="n"/>
      <c r="X51" s="69" t="n"/>
      <c r="Y51" s="69" t="n"/>
      <c r="Z51" s="69" t="n"/>
    </row>
    <row r="52">
      <c r="A52" s="69" t="n"/>
      <c r="B52" s="69" t="n"/>
      <c r="C52" s="69" t="n"/>
      <c r="D52" s="69" t="n"/>
      <c r="E52" s="69" t="n"/>
      <c r="F52" s="69" t="n"/>
      <c r="G52" s="69" t="n"/>
      <c r="H52" s="69" t="n"/>
      <c r="I52" s="69" t="n"/>
      <c r="J52" s="69" t="n"/>
      <c r="K52" s="69" t="n"/>
      <c r="L52" s="69" t="n"/>
      <c r="M52" s="69" t="n"/>
      <c r="N52" s="69" t="n"/>
      <c r="O52" s="69" t="n"/>
      <c r="P52" s="69" t="n"/>
      <c r="Q52" s="69" t="n"/>
      <c r="R52" s="69" t="n"/>
      <c r="S52" s="69" t="n"/>
      <c r="T52" s="69" t="n"/>
      <c r="U52" s="69" t="n"/>
      <c r="V52" s="69" t="n"/>
      <c r="W52" s="69" t="n"/>
      <c r="X52" s="69" t="n"/>
      <c r="Y52" s="69" t="n"/>
      <c r="Z52" s="69" t="n"/>
    </row>
    <row r="53">
      <c r="A53" s="69" t="n"/>
      <c r="B53" s="69" t="n"/>
      <c r="C53" s="69" t="n"/>
      <c r="D53" s="69" t="n"/>
      <c r="E53" s="69" t="n"/>
      <c r="F53" s="69" t="n"/>
      <c r="G53" s="69" t="n"/>
      <c r="H53" s="69" t="n"/>
      <c r="I53" s="69" t="n"/>
      <c r="J53" s="69" t="n"/>
      <c r="K53" s="69" t="n"/>
      <c r="L53" s="69" t="n"/>
      <c r="M53" s="69" t="n"/>
      <c r="N53" s="69" t="n"/>
      <c r="O53" s="69" t="n"/>
      <c r="P53" s="69" t="n"/>
      <c r="Q53" s="69" t="n"/>
      <c r="R53" s="69" t="n"/>
      <c r="S53" s="69" t="n"/>
      <c r="T53" s="69" t="n"/>
      <c r="U53" s="69" t="n"/>
      <c r="V53" s="69" t="n"/>
      <c r="W53" s="69" t="n"/>
      <c r="X53" s="69" t="n"/>
      <c r="Y53" s="69" t="n"/>
      <c r="Z53" s="69" t="n"/>
    </row>
    <row r="54">
      <c r="A54" s="69" t="n"/>
      <c r="B54" s="69" t="n"/>
      <c r="C54" s="69" t="n"/>
      <c r="D54" s="69" t="n"/>
      <c r="E54" s="69" t="n"/>
      <c r="F54" s="69" t="n"/>
      <c r="G54" s="69" t="n"/>
      <c r="H54" s="69" t="n"/>
      <c r="I54" s="69" t="n"/>
      <c r="J54" s="69" t="n"/>
      <c r="K54" s="69" t="n"/>
      <c r="L54" s="69" t="n"/>
      <c r="M54" s="69" t="n"/>
      <c r="N54" s="69" t="n"/>
      <c r="O54" s="69" t="n"/>
      <c r="P54" s="69" t="n"/>
      <c r="Q54" s="69" t="n"/>
      <c r="R54" s="69" t="n"/>
      <c r="S54" s="69" t="n"/>
      <c r="T54" s="69" t="n"/>
      <c r="U54" s="69" t="n"/>
      <c r="V54" s="69" t="n"/>
      <c r="W54" s="69" t="n"/>
      <c r="X54" s="69" t="n"/>
      <c r="Y54" s="69" t="n"/>
      <c r="Z54" s="69" t="n"/>
    </row>
    <row r="55">
      <c r="A55" s="69" t="n"/>
      <c r="B55" s="69" t="n"/>
      <c r="C55" s="69" t="n"/>
      <c r="D55" s="69" t="n"/>
      <c r="E55" s="69" t="n"/>
      <c r="F55" s="69" t="n"/>
      <c r="G55" s="69" t="n"/>
      <c r="H55" s="69" t="n"/>
      <c r="I55" s="69" t="n"/>
      <c r="J55" s="69" t="n"/>
      <c r="K55" s="69" t="n"/>
      <c r="L55" s="69" t="n"/>
      <c r="M55" s="69" t="n"/>
      <c r="N55" s="69" t="n"/>
      <c r="O55" s="69" t="n"/>
      <c r="P55" s="69" t="n"/>
      <c r="Q55" s="69" t="n"/>
      <c r="R55" s="69" t="n"/>
      <c r="S55" s="69" t="n"/>
      <c r="T55" s="69" t="n"/>
      <c r="U55" s="69" t="n"/>
      <c r="V55" s="69" t="n"/>
      <c r="W55" s="69" t="n"/>
      <c r="X55" s="69" t="n"/>
      <c r="Y55" s="69" t="n"/>
      <c r="Z55" s="69" t="n"/>
    </row>
    <row r="56">
      <c r="A56" s="69" t="n"/>
      <c r="B56" s="69" t="n"/>
      <c r="C56" s="69" t="n"/>
      <c r="D56" s="69" t="n"/>
      <c r="E56" s="69" t="n"/>
      <c r="F56" s="69" t="n"/>
      <c r="G56" s="69" t="n"/>
      <c r="H56" s="69" t="n"/>
      <c r="I56" s="69" t="n"/>
      <c r="J56" s="69" t="n"/>
      <c r="K56" s="69" t="n"/>
      <c r="L56" s="69" t="n"/>
      <c r="M56" s="69" t="n"/>
      <c r="N56" s="69" t="n"/>
      <c r="O56" s="69" t="n"/>
      <c r="P56" s="69" t="n"/>
      <c r="Q56" s="69" t="n"/>
      <c r="R56" s="69" t="n"/>
      <c r="S56" s="69" t="n"/>
      <c r="T56" s="69" t="n"/>
      <c r="U56" s="69" t="n"/>
      <c r="V56" s="69" t="n"/>
      <c r="W56" s="69" t="n"/>
      <c r="X56" s="69" t="n"/>
      <c r="Y56" s="69" t="n"/>
      <c r="Z56" s="69" t="n"/>
    </row>
    <row r="57">
      <c r="A57" s="69" t="n"/>
      <c r="B57" s="69" t="n"/>
      <c r="C57" s="69" t="n"/>
      <c r="D57" s="69" t="n"/>
      <c r="E57" s="69" t="n"/>
      <c r="F57" s="69" t="n"/>
      <c r="G57" s="69" t="n"/>
      <c r="H57" s="69" t="n"/>
      <c r="I57" s="69" t="n"/>
      <c r="J57" s="69" t="n"/>
      <c r="K57" s="69" t="n"/>
      <c r="L57" s="69" t="n"/>
      <c r="M57" s="69" t="n"/>
      <c r="N57" s="69" t="n"/>
      <c r="O57" s="69" t="n"/>
      <c r="P57" s="69" t="n"/>
      <c r="Q57" s="69" t="n"/>
      <c r="R57" s="69" t="n"/>
      <c r="S57" s="69" t="n"/>
      <c r="T57" s="69" t="n"/>
      <c r="U57" s="69" t="n"/>
      <c r="V57" s="69" t="n"/>
      <c r="W57" s="69" t="n"/>
      <c r="X57" s="69" t="n"/>
      <c r="Y57" s="69" t="n"/>
      <c r="Z57" s="69" t="n"/>
    </row>
    <row r="58">
      <c r="A58" s="69" t="n"/>
      <c r="B58" s="69" t="n"/>
      <c r="C58" s="69" t="n"/>
      <c r="D58" s="69" t="n"/>
      <c r="E58" s="69" t="n"/>
      <c r="F58" s="69" t="n"/>
      <c r="G58" s="69" t="n"/>
      <c r="H58" s="69" t="n"/>
      <c r="I58" s="69" t="n"/>
      <c r="J58" s="69" t="n"/>
      <c r="K58" s="69" t="n"/>
      <c r="L58" s="69" t="n"/>
      <c r="M58" s="69" t="n"/>
      <c r="N58" s="69" t="n"/>
      <c r="O58" s="69" t="n"/>
      <c r="P58" s="69" t="n"/>
      <c r="Q58" s="69" t="n"/>
      <c r="R58" s="69" t="n"/>
      <c r="S58" s="69" t="n"/>
      <c r="T58" s="69" t="n"/>
      <c r="U58" s="69" t="n"/>
      <c r="V58" s="69" t="n"/>
      <c r="W58" s="69" t="n"/>
      <c r="X58" s="69" t="n"/>
      <c r="Y58" s="69" t="n"/>
      <c r="Z58" s="69" t="n"/>
    </row>
    <row r="59">
      <c r="A59" s="69" t="n"/>
      <c r="B59" s="69" t="n"/>
      <c r="C59" s="69" t="n"/>
      <c r="D59" s="69" t="n"/>
      <c r="E59" s="69" t="n"/>
      <c r="F59" s="69" t="n"/>
      <c r="G59" s="69" t="n"/>
      <c r="H59" s="69" t="n"/>
      <c r="I59" s="69" t="n"/>
      <c r="J59" s="69" t="n"/>
      <c r="K59" s="69" t="n"/>
      <c r="L59" s="69" t="n"/>
      <c r="M59" s="69" t="n"/>
      <c r="N59" s="69" t="n"/>
      <c r="O59" s="69" t="n"/>
      <c r="P59" s="69" t="n"/>
      <c r="Q59" s="69" t="n"/>
      <c r="R59" s="69" t="n"/>
      <c r="S59" s="69" t="n"/>
      <c r="T59" s="69" t="n"/>
      <c r="U59" s="69" t="n"/>
      <c r="V59" s="69" t="n"/>
      <c r="W59" s="69" t="n"/>
      <c r="X59" s="69" t="n"/>
      <c r="Y59" s="69" t="n"/>
      <c r="Z59" s="69" t="n"/>
    </row>
    <row r="60">
      <c r="A60" s="69" t="n"/>
      <c r="B60" s="69" t="n"/>
      <c r="C60" s="69" t="n"/>
      <c r="D60" s="69" t="n"/>
      <c r="E60" s="69" t="n"/>
      <c r="F60" s="69" t="n"/>
      <c r="G60" s="69" t="n"/>
      <c r="H60" s="69" t="n"/>
      <c r="I60" s="69" t="n"/>
      <c r="J60" s="69" t="n"/>
      <c r="K60" s="69" t="n"/>
      <c r="L60" s="69" t="n"/>
      <c r="M60" s="69" t="n"/>
      <c r="N60" s="69" t="n"/>
      <c r="O60" s="69" t="n"/>
      <c r="P60" s="69" t="n"/>
      <c r="Q60" s="69" t="n"/>
      <c r="R60" s="69" t="n"/>
      <c r="S60" s="69" t="n"/>
      <c r="T60" s="69" t="n"/>
      <c r="U60" s="69" t="n"/>
      <c r="V60" s="69" t="n"/>
      <c r="W60" s="69" t="n"/>
      <c r="X60" s="69" t="n"/>
      <c r="Y60" s="69" t="n"/>
      <c r="Z60" s="69" t="n"/>
    </row>
    <row r="61">
      <c r="A61" s="69" t="n"/>
      <c r="B61" s="69" t="n"/>
      <c r="C61" s="69" t="n"/>
      <c r="D61" s="69" t="n"/>
      <c r="E61" s="69" t="n"/>
      <c r="F61" s="69" t="n"/>
      <c r="G61" s="69" t="n"/>
      <c r="H61" s="69" t="n"/>
      <c r="I61" s="69" t="n"/>
      <c r="J61" s="69" t="n"/>
      <c r="K61" s="69" t="n"/>
      <c r="L61" s="69" t="n"/>
      <c r="M61" s="69" t="n"/>
      <c r="N61" s="69" t="n"/>
      <c r="O61" s="69" t="n"/>
      <c r="P61" s="69" t="n"/>
      <c r="Q61" s="69" t="n"/>
      <c r="R61" s="69" t="n"/>
      <c r="S61" s="69" t="n"/>
      <c r="T61" s="69" t="n"/>
      <c r="U61" s="69" t="n"/>
      <c r="V61" s="69" t="n"/>
      <c r="W61" s="69" t="n"/>
      <c r="X61" s="69" t="n"/>
      <c r="Y61" s="69" t="n"/>
      <c r="Z61" s="69" t="n"/>
    </row>
    <row r="62">
      <c r="A62" s="69" t="n"/>
      <c r="B62" s="69" t="n"/>
      <c r="C62" s="69" t="n"/>
      <c r="D62" s="69" t="n"/>
      <c r="E62" s="69" t="n"/>
      <c r="F62" s="69" t="n"/>
      <c r="G62" s="69" t="n"/>
      <c r="H62" s="69" t="n"/>
      <c r="I62" s="69" t="n"/>
      <c r="J62" s="69" t="n"/>
      <c r="K62" s="69" t="n"/>
      <c r="L62" s="69" t="n"/>
      <c r="M62" s="69" t="n"/>
      <c r="N62" s="69" t="n"/>
      <c r="O62" s="69" t="n"/>
      <c r="P62" s="69" t="n"/>
      <c r="Q62" s="69" t="n"/>
      <c r="R62" s="69" t="n"/>
      <c r="S62" s="69" t="n"/>
      <c r="T62" s="69" t="n"/>
      <c r="U62" s="69" t="n"/>
      <c r="V62" s="69" t="n"/>
      <c r="W62" s="69" t="n"/>
      <c r="X62" s="69" t="n"/>
      <c r="Y62" s="69" t="n"/>
      <c r="Z62" s="69" t="n"/>
    </row>
    <row r="63">
      <c r="A63" s="69" t="n"/>
      <c r="B63" s="69" t="n"/>
      <c r="C63" s="69" t="n"/>
      <c r="D63" s="69" t="n"/>
      <c r="E63" s="69" t="n"/>
      <c r="F63" s="69" t="n"/>
      <c r="G63" s="69" t="n"/>
      <c r="H63" s="69" t="n"/>
      <c r="I63" s="69" t="n"/>
      <c r="J63" s="69" t="n"/>
      <c r="K63" s="69" t="n"/>
      <c r="L63" s="69" t="n"/>
      <c r="M63" s="69" t="n"/>
      <c r="N63" s="69" t="n"/>
      <c r="O63" s="69" t="n"/>
      <c r="P63" s="69" t="n"/>
      <c r="Q63" s="69" t="n"/>
      <c r="R63" s="69" t="n"/>
      <c r="S63" s="69" t="n"/>
      <c r="T63" s="69" t="n"/>
      <c r="U63" s="69" t="n"/>
      <c r="V63" s="69" t="n"/>
      <c r="W63" s="69" t="n"/>
      <c r="X63" s="69" t="n"/>
      <c r="Y63" s="69" t="n"/>
      <c r="Z63" s="69" t="n"/>
    </row>
    <row r="64">
      <c r="A64" s="69" t="n"/>
      <c r="B64" s="69" t="n"/>
      <c r="C64" s="69" t="n"/>
      <c r="D64" s="69" t="n"/>
      <c r="E64" s="69" t="n"/>
      <c r="F64" s="69" t="n"/>
      <c r="G64" s="69" t="n"/>
      <c r="H64" s="69" t="n"/>
      <c r="I64" s="69" t="n"/>
      <c r="J64" s="69" t="n"/>
      <c r="K64" s="69" t="n"/>
      <c r="L64" s="69" t="n"/>
      <c r="M64" s="69" t="n"/>
      <c r="N64" s="69" t="n"/>
      <c r="O64" s="69" t="n"/>
      <c r="P64" s="69" t="n"/>
      <c r="Q64" s="69" t="n"/>
      <c r="R64" s="69" t="n"/>
      <c r="S64" s="69" t="n"/>
      <c r="T64" s="69" t="n"/>
      <c r="U64" s="69" t="n"/>
      <c r="V64" s="69" t="n"/>
      <c r="W64" s="69" t="n"/>
      <c r="X64" s="69" t="n"/>
      <c r="Y64" s="69" t="n"/>
      <c r="Z64" s="69" t="n"/>
    </row>
    <row r="65">
      <c r="A65" s="69" t="n"/>
      <c r="B65" s="69" t="n"/>
      <c r="C65" s="69" t="n"/>
      <c r="D65" s="69" t="n"/>
      <c r="E65" s="69" t="n"/>
      <c r="F65" s="69" t="n"/>
      <c r="G65" s="69" t="n"/>
      <c r="H65" s="69" t="n"/>
      <c r="I65" s="69" t="n"/>
      <c r="J65" s="69" t="n"/>
      <c r="K65" s="69" t="n"/>
      <c r="L65" s="69" t="n"/>
      <c r="M65" s="69" t="n"/>
      <c r="N65" s="69" t="n"/>
      <c r="O65" s="69" t="n"/>
      <c r="P65" s="69" t="n"/>
      <c r="Q65" s="69" t="n"/>
      <c r="R65" s="69" t="n"/>
      <c r="S65" s="69" t="n"/>
      <c r="T65" s="69" t="n"/>
      <c r="U65" s="69" t="n"/>
      <c r="V65" s="69" t="n"/>
      <c r="W65" s="69" t="n"/>
      <c r="X65" s="69" t="n"/>
      <c r="Y65" s="69" t="n"/>
      <c r="Z65" s="69" t="n"/>
    </row>
    <row r="66">
      <c r="A66" s="69" t="n"/>
      <c r="B66" s="69" t="n"/>
      <c r="C66" s="69" t="n"/>
      <c r="D66" s="69" t="n"/>
      <c r="E66" s="69" t="n"/>
      <c r="F66" s="69" t="n"/>
      <c r="G66" s="69" t="n"/>
      <c r="H66" s="69" t="n"/>
      <c r="I66" s="69" t="n"/>
      <c r="J66" s="69" t="n"/>
      <c r="K66" s="69" t="n"/>
      <c r="L66" s="69" t="n"/>
      <c r="M66" s="69" t="n"/>
      <c r="N66" s="69" t="n"/>
      <c r="O66" s="69" t="n"/>
      <c r="P66" s="69" t="n"/>
      <c r="Q66" s="69" t="n"/>
      <c r="R66" s="69" t="n"/>
      <c r="S66" s="69" t="n"/>
      <c r="T66" s="69" t="n"/>
      <c r="U66" s="69" t="n"/>
      <c r="V66" s="69" t="n"/>
      <c r="W66" s="69" t="n"/>
      <c r="X66" s="69" t="n"/>
      <c r="Y66" s="69" t="n"/>
      <c r="Z66" s="69" t="n"/>
    </row>
    <row r="67">
      <c r="A67" s="69" t="n"/>
      <c r="B67" s="69" t="n"/>
      <c r="C67" s="69" t="n"/>
      <c r="D67" s="69" t="n"/>
      <c r="E67" s="69" t="n"/>
      <c r="F67" s="69" t="n"/>
      <c r="G67" s="69" t="n"/>
      <c r="H67" s="69" t="n"/>
      <c r="I67" s="69" t="n"/>
      <c r="J67" s="69" t="n"/>
      <c r="K67" s="69" t="n"/>
      <c r="L67" s="69" t="n"/>
      <c r="M67" s="69" t="n"/>
      <c r="N67" s="69" t="n"/>
      <c r="O67" s="69" t="n"/>
      <c r="P67" s="69" t="n"/>
      <c r="Q67" s="69" t="n"/>
      <c r="R67" s="69" t="n"/>
      <c r="S67" s="69" t="n"/>
      <c r="T67" s="69" t="n"/>
      <c r="U67" s="69" t="n"/>
      <c r="V67" s="69" t="n"/>
      <c r="W67" s="69" t="n"/>
      <c r="X67" s="69" t="n"/>
      <c r="Y67" s="69" t="n"/>
      <c r="Z67" s="69" t="n"/>
    </row>
    <row r="68">
      <c r="A68" s="69" t="n"/>
      <c r="B68" s="69" t="n"/>
      <c r="C68" s="69" t="n"/>
      <c r="D68" s="69" t="n"/>
      <c r="E68" s="69" t="n"/>
      <c r="F68" s="69" t="n"/>
      <c r="G68" s="69" t="n"/>
      <c r="H68" s="69" t="n"/>
      <c r="I68" s="69" t="n"/>
      <c r="J68" s="69" t="n"/>
      <c r="K68" s="69" t="n"/>
      <c r="L68" s="69" t="n"/>
      <c r="M68" s="69" t="n"/>
      <c r="N68" s="69" t="n"/>
      <c r="O68" s="69" t="n"/>
      <c r="P68" s="69" t="n"/>
      <c r="Q68" s="69" t="n"/>
      <c r="R68" s="69" t="n"/>
      <c r="S68" s="69" t="n"/>
      <c r="T68" s="69" t="n"/>
      <c r="U68" s="69" t="n"/>
      <c r="V68" s="69" t="n"/>
      <c r="W68" s="69" t="n"/>
      <c r="X68" s="69" t="n"/>
      <c r="Y68" s="69" t="n"/>
      <c r="Z68" s="69" t="n"/>
    </row>
    <row r="69">
      <c r="A69" s="69" t="n"/>
      <c r="B69" s="69" t="n"/>
      <c r="C69" s="69" t="n"/>
      <c r="D69" s="69" t="n"/>
      <c r="E69" s="69" t="n"/>
      <c r="F69" s="69" t="n"/>
      <c r="G69" s="69" t="n"/>
      <c r="H69" s="69" t="n"/>
      <c r="I69" s="69" t="n"/>
      <c r="J69" s="69" t="n"/>
      <c r="K69" s="69" t="n"/>
      <c r="L69" s="69" t="n"/>
      <c r="M69" s="69" t="n"/>
      <c r="N69" s="69" t="n"/>
      <c r="O69" s="69" t="n"/>
      <c r="P69" s="69" t="n"/>
      <c r="Q69" s="69" t="n"/>
      <c r="R69" s="69" t="n"/>
      <c r="S69" s="69" t="n"/>
      <c r="T69" s="69" t="n"/>
      <c r="U69" s="69" t="n"/>
      <c r="V69" s="69" t="n"/>
      <c r="W69" s="69" t="n"/>
      <c r="X69" s="69" t="n"/>
      <c r="Y69" s="69" t="n"/>
      <c r="Z69" s="69" t="n"/>
    </row>
    <row r="70">
      <c r="A70" s="69" t="n"/>
      <c r="B70" s="69" t="n"/>
      <c r="C70" s="69" t="n"/>
      <c r="D70" s="69" t="n"/>
      <c r="E70" s="69" t="n"/>
      <c r="F70" s="69" t="n"/>
      <c r="G70" s="69" t="n"/>
      <c r="H70" s="69" t="n"/>
      <c r="I70" s="69" t="n"/>
      <c r="J70" s="69" t="n"/>
      <c r="K70" s="69" t="n"/>
      <c r="L70" s="69" t="n"/>
      <c r="M70" s="69" t="n"/>
      <c r="N70" s="69" t="n"/>
      <c r="O70" s="69" t="n"/>
      <c r="P70" s="69" t="n"/>
      <c r="Q70" s="69" t="n"/>
      <c r="R70" s="69" t="n"/>
      <c r="S70" s="69" t="n"/>
      <c r="T70" s="69" t="n"/>
      <c r="U70" s="69" t="n"/>
      <c r="V70" s="69" t="n"/>
      <c r="W70" s="69" t="n"/>
      <c r="X70" s="69" t="n"/>
      <c r="Y70" s="69" t="n"/>
      <c r="Z70" s="69" t="n"/>
    </row>
    <row r="71">
      <c r="A71" s="69" t="n"/>
      <c r="B71" s="69" t="n"/>
      <c r="C71" s="69" t="n"/>
      <c r="D71" s="69" t="n"/>
      <c r="E71" s="69" t="n"/>
      <c r="F71" s="69" t="n"/>
      <c r="G71" s="69" t="n"/>
      <c r="H71" s="69" t="n"/>
      <c r="I71" s="69" t="n"/>
      <c r="J71" s="69" t="n"/>
      <c r="K71" s="69" t="n"/>
      <c r="L71" s="69" t="n"/>
      <c r="M71" s="69" t="n"/>
      <c r="N71" s="69" t="n"/>
      <c r="O71" s="69" t="n"/>
      <c r="P71" s="69" t="n"/>
      <c r="Q71" s="69" t="n"/>
      <c r="R71" s="69" t="n"/>
      <c r="S71" s="69" t="n"/>
      <c r="T71" s="69" t="n"/>
      <c r="U71" s="69" t="n"/>
      <c r="V71" s="69" t="n"/>
      <c r="W71" s="69" t="n"/>
      <c r="X71" s="69" t="n"/>
      <c r="Y71" s="69" t="n"/>
      <c r="Z71" s="69" t="n"/>
    </row>
    <row r="72">
      <c r="A72" s="69" t="n"/>
      <c r="B72" s="69" t="n"/>
      <c r="C72" s="69" t="n"/>
      <c r="D72" s="69" t="n"/>
      <c r="E72" s="69" t="n"/>
      <c r="F72" s="69" t="n"/>
      <c r="G72" s="69" t="n"/>
      <c r="H72" s="69" t="n"/>
      <c r="I72" s="69" t="n"/>
      <c r="J72" s="69" t="n"/>
      <c r="K72" s="69" t="n"/>
      <c r="L72" s="69" t="n"/>
      <c r="M72" s="69" t="n"/>
      <c r="N72" s="69" t="n"/>
      <c r="O72" s="69" t="n"/>
      <c r="P72" s="69" t="n"/>
      <c r="Q72" s="69" t="n"/>
      <c r="R72" s="69" t="n"/>
      <c r="S72" s="69" t="n"/>
      <c r="T72" s="69" t="n"/>
      <c r="U72" s="69" t="n"/>
      <c r="V72" s="69" t="n"/>
      <c r="W72" s="69" t="n"/>
      <c r="X72" s="69" t="n"/>
      <c r="Y72" s="69" t="n"/>
      <c r="Z72" s="69" t="n"/>
    </row>
    <row r="73">
      <c r="A73" s="69" t="n"/>
      <c r="B73" s="69" t="n"/>
      <c r="C73" s="69" t="n"/>
      <c r="D73" s="69" t="n"/>
      <c r="E73" s="69" t="n"/>
      <c r="F73" s="69" t="n"/>
      <c r="G73" s="69" t="n"/>
      <c r="H73" s="69" t="n"/>
      <c r="I73" s="69" t="n"/>
      <c r="J73" s="69" t="n"/>
      <c r="K73" s="69" t="n"/>
      <c r="L73" s="69" t="n"/>
      <c r="M73" s="69" t="n"/>
      <c r="N73" s="69" t="n"/>
      <c r="O73" s="69" t="n"/>
      <c r="P73" s="69" t="n"/>
      <c r="Q73" s="69" t="n"/>
      <c r="R73" s="69" t="n"/>
      <c r="S73" s="69" t="n"/>
      <c r="T73" s="69" t="n"/>
      <c r="U73" s="69" t="n"/>
      <c r="V73" s="69" t="n"/>
      <c r="W73" s="69" t="n"/>
      <c r="X73" s="69" t="n"/>
      <c r="Y73" s="69" t="n"/>
      <c r="Z73" s="69" t="n"/>
    </row>
    <row r="74">
      <c r="A74" s="69" t="n"/>
      <c r="B74" s="69" t="n"/>
      <c r="C74" s="69" t="n"/>
      <c r="D74" s="69" t="n"/>
      <c r="E74" s="69" t="n"/>
      <c r="F74" s="69" t="n"/>
      <c r="G74" s="69" t="n"/>
      <c r="H74" s="69" t="n"/>
      <c r="I74" s="69" t="n"/>
      <c r="J74" s="69" t="n"/>
      <c r="K74" s="69" t="n"/>
      <c r="L74" s="69" t="n"/>
      <c r="M74" s="69" t="n"/>
      <c r="N74" s="69" t="n"/>
      <c r="O74" s="69" t="n"/>
      <c r="P74" s="69" t="n"/>
      <c r="Q74" s="69" t="n"/>
      <c r="R74" s="69" t="n"/>
      <c r="S74" s="69" t="n"/>
      <c r="T74" s="69" t="n"/>
      <c r="U74" s="69" t="n"/>
      <c r="V74" s="69" t="n"/>
      <c r="W74" s="69" t="n"/>
      <c r="X74" s="69" t="n"/>
      <c r="Y74" s="69" t="n"/>
      <c r="Z74" s="69" t="n"/>
    </row>
    <row r="75">
      <c r="A75" s="69" t="n"/>
      <c r="B75" s="69" t="n"/>
      <c r="C75" s="69" t="n"/>
      <c r="D75" s="69" t="n"/>
      <c r="E75" s="69" t="n"/>
      <c r="F75" s="69" t="n"/>
      <c r="G75" s="69" t="n"/>
      <c r="H75" s="69" t="n"/>
      <c r="I75" s="69" t="n"/>
      <c r="J75" s="69" t="n"/>
      <c r="K75" s="69" t="n"/>
      <c r="L75" s="69" t="n"/>
      <c r="M75" s="69" t="n"/>
      <c r="N75" s="69" t="n"/>
      <c r="O75" s="69" t="n"/>
      <c r="P75" s="69" t="n"/>
      <c r="Q75" s="69" t="n"/>
      <c r="R75" s="69" t="n"/>
      <c r="S75" s="69" t="n"/>
      <c r="T75" s="69" t="n"/>
      <c r="U75" s="69" t="n"/>
      <c r="V75" s="69" t="n"/>
      <c r="W75" s="69" t="n"/>
      <c r="X75" s="69" t="n"/>
      <c r="Y75" s="69" t="n"/>
      <c r="Z75" s="69" t="n"/>
    </row>
    <row r="76">
      <c r="A76" s="69" t="n"/>
      <c r="B76" s="69" t="n"/>
      <c r="C76" s="69" t="n"/>
      <c r="D76" s="69" t="n"/>
      <c r="E76" s="69" t="n"/>
      <c r="F76" s="69" t="n"/>
      <c r="G76" s="69" t="n"/>
      <c r="H76" s="69" t="n"/>
      <c r="I76" s="69" t="n"/>
      <c r="J76" s="69" t="n"/>
      <c r="K76" s="69" t="n"/>
      <c r="L76" s="69" t="n"/>
      <c r="M76" s="69" t="n"/>
      <c r="N76" s="69" t="n"/>
      <c r="O76" s="69" t="n"/>
      <c r="P76" s="69" t="n"/>
      <c r="Q76" s="69" t="n"/>
      <c r="R76" s="69" t="n"/>
      <c r="S76" s="69" t="n"/>
      <c r="T76" s="69" t="n"/>
      <c r="U76" s="69" t="n"/>
      <c r="V76" s="69" t="n"/>
      <c r="W76" s="69" t="n"/>
      <c r="X76" s="69" t="n"/>
      <c r="Y76" s="69" t="n"/>
      <c r="Z76" s="69" t="n"/>
    </row>
    <row r="77">
      <c r="A77" s="69" t="n"/>
      <c r="B77" s="69" t="n"/>
      <c r="C77" s="69" t="n"/>
      <c r="D77" s="69" t="n"/>
      <c r="E77" s="69" t="n"/>
      <c r="F77" s="69" t="n"/>
      <c r="G77" s="69" t="n"/>
      <c r="H77" s="69" t="n"/>
      <c r="I77" s="69" t="n"/>
      <c r="J77" s="69" t="n"/>
      <c r="K77" s="69" t="n"/>
      <c r="L77" s="69" t="n"/>
      <c r="M77" s="69" t="n"/>
      <c r="N77" s="69" t="n"/>
      <c r="O77" s="69" t="n"/>
      <c r="P77" s="69" t="n"/>
      <c r="Q77" s="69" t="n"/>
      <c r="R77" s="69" t="n"/>
      <c r="S77" s="69" t="n"/>
      <c r="T77" s="69" t="n"/>
      <c r="U77" s="69" t="n"/>
      <c r="V77" s="69" t="n"/>
      <c r="W77" s="69" t="n"/>
      <c r="X77" s="69" t="n"/>
      <c r="Y77" s="69" t="n"/>
      <c r="Z77" s="69" t="n"/>
    </row>
    <row r="78">
      <c r="A78" s="69" t="n"/>
      <c r="B78" s="69" t="n"/>
      <c r="C78" s="69" t="n"/>
      <c r="D78" s="69" t="n"/>
      <c r="E78" s="69" t="n"/>
      <c r="F78" s="69" t="n"/>
      <c r="G78" s="69" t="n"/>
      <c r="H78" s="69" t="n"/>
      <c r="I78" s="69" t="n"/>
      <c r="J78" s="69" t="n"/>
      <c r="K78" s="69" t="n"/>
      <c r="L78" s="69" t="n"/>
      <c r="M78" s="69" t="n"/>
      <c r="N78" s="69" t="n"/>
      <c r="O78" s="69" t="n"/>
      <c r="P78" s="69" t="n"/>
      <c r="Q78" s="69" t="n"/>
      <c r="R78" s="69" t="n"/>
      <c r="S78" s="69" t="n"/>
      <c r="T78" s="69" t="n"/>
      <c r="U78" s="69" t="n"/>
      <c r="V78" s="69" t="n"/>
      <c r="W78" s="69" t="n"/>
      <c r="X78" s="69" t="n"/>
      <c r="Y78" s="69" t="n"/>
      <c r="Z78" s="69" t="n"/>
    </row>
    <row r="79">
      <c r="A79" s="69" t="n"/>
      <c r="B79" s="69" t="n"/>
      <c r="C79" s="69" t="n"/>
      <c r="D79" s="69" t="n"/>
      <c r="E79" s="69" t="n"/>
      <c r="F79" s="69" t="n"/>
      <c r="G79" s="69" t="n"/>
      <c r="H79" s="69" t="n"/>
      <c r="I79" s="69" t="n"/>
      <c r="J79" s="69" t="n"/>
      <c r="K79" s="69" t="n"/>
      <c r="L79" s="69" t="n"/>
      <c r="M79" s="69" t="n"/>
      <c r="N79" s="69" t="n"/>
      <c r="O79" s="69" t="n"/>
      <c r="P79" s="69" t="n"/>
      <c r="Q79" s="69" t="n"/>
      <c r="R79" s="69" t="n"/>
      <c r="S79" s="69" t="n"/>
      <c r="T79" s="69" t="n"/>
      <c r="U79" s="69" t="n"/>
      <c r="V79" s="69" t="n"/>
      <c r="W79" s="69" t="n"/>
      <c r="X79" s="69" t="n"/>
      <c r="Y79" s="69" t="n"/>
      <c r="Z79" s="69" t="n"/>
    </row>
    <row r="80">
      <c r="A80" s="69" t="n"/>
      <c r="B80" s="69" t="n"/>
      <c r="C80" s="69" t="n"/>
      <c r="D80" s="69" t="n"/>
      <c r="E80" s="69" t="n"/>
      <c r="F80" s="69" t="n"/>
      <c r="G80" s="69" t="n"/>
      <c r="H80" s="69" t="n"/>
      <c r="I80" s="69" t="n"/>
      <c r="J80" s="69" t="n"/>
      <c r="K80" s="69" t="n"/>
      <c r="L80" s="69" t="n"/>
      <c r="M80" s="69" t="n"/>
      <c r="N80" s="69" t="n"/>
      <c r="O80" s="69" t="n"/>
      <c r="P80" s="69" t="n"/>
      <c r="Q80" s="69" t="n"/>
      <c r="R80" s="69" t="n"/>
      <c r="S80" s="69" t="n"/>
      <c r="T80" s="69" t="n"/>
      <c r="U80" s="69" t="n"/>
      <c r="V80" s="69" t="n"/>
      <c r="W80" s="69" t="n"/>
      <c r="X80" s="69" t="n"/>
      <c r="Y80" s="69" t="n"/>
      <c r="Z80" s="69" t="n"/>
    </row>
    <row r="81">
      <c r="A81" s="69" t="n"/>
      <c r="B81" s="69" t="n"/>
      <c r="C81" s="69" t="n"/>
      <c r="D81" s="69" t="n"/>
      <c r="E81" s="69" t="n"/>
      <c r="F81" s="69" t="n"/>
      <c r="G81" s="69" t="n"/>
      <c r="H81" s="69" t="n"/>
      <c r="I81" s="69" t="n"/>
      <c r="J81" s="69" t="n"/>
      <c r="K81" s="69" t="n"/>
      <c r="L81" s="69" t="n"/>
      <c r="M81" s="69" t="n"/>
      <c r="N81" s="69" t="n"/>
      <c r="O81" s="69" t="n"/>
      <c r="P81" s="69" t="n"/>
      <c r="Q81" s="69" t="n"/>
      <c r="R81" s="69" t="n"/>
      <c r="S81" s="69" t="n"/>
      <c r="T81" s="69" t="n"/>
      <c r="U81" s="69" t="n"/>
      <c r="V81" s="69" t="n"/>
      <c r="W81" s="69" t="n"/>
      <c r="X81" s="69" t="n"/>
      <c r="Y81" s="69" t="n"/>
      <c r="Z81" s="69" t="n"/>
    </row>
    <row r="82">
      <c r="A82" s="69" t="n"/>
      <c r="B82" s="69" t="n"/>
      <c r="C82" s="69" t="n"/>
      <c r="D82" s="69" t="n"/>
      <c r="E82" s="69" t="n"/>
      <c r="F82" s="69" t="n"/>
      <c r="G82" s="69" t="n"/>
      <c r="H82" s="69" t="n"/>
      <c r="I82" s="69" t="n"/>
      <c r="J82" s="69" t="n"/>
      <c r="K82" s="69" t="n"/>
      <c r="L82" s="69" t="n"/>
      <c r="M82" s="69" t="n"/>
      <c r="N82" s="69" t="n"/>
      <c r="O82" s="69" t="n"/>
      <c r="P82" s="69" t="n"/>
      <c r="Q82" s="69" t="n"/>
      <c r="R82" s="69" t="n"/>
      <c r="S82" s="69" t="n"/>
      <c r="T82" s="69" t="n"/>
      <c r="U82" s="69" t="n"/>
      <c r="V82" s="69" t="n"/>
      <c r="W82" s="69" t="n"/>
      <c r="X82" s="69" t="n"/>
      <c r="Y82" s="69" t="n"/>
      <c r="Z82" s="69" t="n"/>
    </row>
    <row r="83">
      <c r="A83" s="69" t="n"/>
      <c r="B83" s="69" t="n"/>
      <c r="C83" s="69" t="n"/>
      <c r="D83" s="69" t="n"/>
      <c r="E83" s="69" t="n"/>
      <c r="F83" s="69" t="n"/>
      <c r="G83" s="69" t="n"/>
      <c r="H83" s="69" t="n"/>
      <c r="I83" s="69" t="n"/>
      <c r="J83" s="69" t="n"/>
      <c r="K83" s="69" t="n"/>
      <c r="L83" s="69" t="n"/>
      <c r="M83" s="69" t="n"/>
      <c r="N83" s="69" t="n"/>
      <c r="O83" s="69" t="n"/>
      <c r="P83" s="69" t="n"/>
      <c r="Q83" s="69" t="n"/>
      <c r="R83" s="69" t="n"/>
      <c r="S83" s="69" t="n"/>
      <c r="T83" s="69" t="n"/>
      <c r="U83" s="69" t="n"/>
      <c r="V83" s="69" t="n"/>
      <c r="W83" s="69" t="n"/>
      <c r="X83" s="69" t="n"/>
      <c r="Y83" s="69" t="n"/>
      <c r="Z83" s="69" t="n"/>
    </row>
    <row r="84">
      <c r="A84" s="69" t="n"/>
      <c r="B84" s="69" t="n"/>
      <c r="C84" s="69" t="n"/>
      <c r="D84" s="69" t="n"/>
      <c r="E84" s="69" t="n"/>
      <c r="F84" s="69" t="n"/>
      <c r="G84" s="69" t="n"/>
      <c r="H84" s="69" t="n"/>
      <c r="I84" s="69" t="n"/>
      <c r="J84" s="69" t="n"/>
      <c r="K84" s="69" t="n"/>
      <c r="L84" s="69" t="n"/>
      <c r="M84" s="69" t="n"/>
      <c r="N84" s="69" t="n"/>
      <c r="O84" s="69" t="n"/>
      <c r="P84" s="69" t="n"/>
      <c r="Q84" s="69" t="n"/>
      <c r="R84" s="69" t="n"/>
      <c r="S84" s="69" t="n"/>
      <c r="T84" s="69" t="n"/>
      <c r="U84" s="69" t="n"/>
      <c r="V84" s="69" t="n"/>
      <c r="W84" s="69" t="n"/>
      <c r="X84" s="69" t="n"/>
      <c r="Y84" s="69" t="n"/>
      <c r="Z84" s="69" t="n"/>
    </row>
    <row r="85">
      <c r="A85" s="69" t="n"/>
      <c r="B85" s="69" t="n"/>
      <c r="C85" s="69" t="n"/>
      <c r="D85" s="69" t="n"/>
      <c r="E85" s="69" t="n"/>
      <c r="F85" s="69" t="n"/>
      <c r="G85" s="69" t="n"/>
      <c r="H85" s="69" t="n"/>
      <c r="I85" s="69" t="n"/>
      <c r="J85" s="69" t="n"/>
      <c r="K85" s="69" t="n"/>
      <c r="L85" s="69" t="n"/>
      <c r="M85" s="69" t="n"/>
      <c r="N85" s="69" t="n"/>
      <c r="O85" s="69" t="n"/>
      <c r="P85" s="69" t="n"/>
      <c r="Q85" s="69" t="n"/>
      <c r="R85" s="69" t="n"/>
      <c r="S85" s="69" t="n"/>
      <c r="T85" s="69" t="n"/>
      <c r="U85" s="69" t="n"/>
      <c r="V85" s="69" t="n"/>
      <c r="W85" s="69" t="n"/>
      <c r="X85" s="69" t="n"/>
      <c r="Y85" s="69" t="n"/>
      <c r="Z85" s="69" t="n"/>
    </row>
    <row r="86">
      <c r="A86" s="69" t="n"/>
      <c r="B86" s="69" t="n"/>
      <c r="C86" s="69" t="n"/>
      <c r="D86" s="69" t="n"/>
      <c r="E86" s="69" t="n"/>
      <c r="F86" s="69" t="n"/>
      <c r="G86" s="69" t="n"/>
      <c r="H86" s="69" t="n"/>
      <c r="I86" s="69" t="n"/>
      <c r="J86" s="69" t="n"/>
      <c r="K86" s="69" t="n"/>
      <c r="L86" s="69" t="n"/>
      <c r="M86" s="69" t="n"/>
      <c r="N86" s="69" t="n"/>
      <c r="O86" s="69" t="n"/>
      <c r="P86" s="69" t="n"/>
      <c r="Q86" s="69" t="n"/>
      <c r="R86" s="69" t="n"/>
      <c r="S86" s="69" t="n"/>
      <c r="T86" s="69" t="n"/>
      <c r="U86" s="69" t="n"/>
      <c r="V86" s="69" t="n"/>
      <c r="W86" s="69" t="n"/>
      <c r="X86" s="69" t="n"/>
      <c r="Y86" s="69" t="n"/>
      <c r="Z86" s="69" t="n"/>
    </row>
    <row r="87">
      <c r="A87" s="69" t="n"/>
      <c r="B87" s="69" t="n"/>
      <c r="C87" s="69" t="n"/>
      <c r="D87" s="69" t="n"/>
      <c r="E87" s="69" t="n"/>
      <c r="F87" s="69" t="n"/>
      <c r="G87" s="69" t="n"/>
      <c r="H87" s="69" t="n"/>
      <c r="I87" s="69" t="n"/>
      <c r="J87" s="69" t="n"/>
      <c r="K87" s="69" t="n"/>
      <c r="L87" s="69" t="n"/>
      <c r="M87" s="69" t="n"/>
      <c r="N87" s="69" t="n"/>
      <c r="O87" s="69" t="n"/>
      <c r="P87" s="69" t="n"/>
      <c r="Q87" s="69" t="n"/>
      <c r="R87" s="69" t="n"/>
      <c r="S87" s="69" t="n"/>
      <c r="T87" s="69" t="n"/>
      <c r="U87" s="69" t="n"/>
      <c r="V87" s="69" t="n"/>
      <c r="W87" s="69" t="n"/>
      <c r="X87" s="69" t="n"/>
      <c r="Y87" s="69" t="n"/>
      <c r="Z87" s="69" t="n"/>
    </row>
    <row r="88">
      <c r="A88" s="69" t="n"/>
      <c r="B88" s="69" t="n"/>
      <c r="C88" s="69" t="n"/>
      <c r="D88" s="69" t="n"/>
      <c r="E88" s="69" t="n"/>
      <c r="F88" s="69" t="n"/>
      <c r="G88" s="69" t="n"/>
      <c r="H88" s="69" t="n"/>
      <c r="I88" s="69" t="n"/>
      <c r="J88" s="69" t="n"/>
      <c r="K88" s="69" t="n"/>
      <c r="L88" s="69" t="n"/>
      <c r="M88" s="69" t="n"/>
      <c r="N88" s="69" t="n"/>
      <c r="O88" s="69" t="n"/>
      <c r="P88" s="69" t="n"/>
      <c r="Q88" s="69" t="n"/>
      <c r="R88" s="69" t="n"/>
      <c r="S88" s="69" t="n"/>
      <c r="T88" s="69" t="n"/>
      <c r="U88" s="69" t="n"/>
      <c r="V88" s="69" t="n"/>
      <c r="W88" s="69" t="n"/>
      <c r="X88" s="69" t="n"/>
      <c r="Y88" s="69" t="n"/>
      <c r="Z88" s="69" t="n"/>
    </row>
    <row r="89">
      <c r="A89" s="69" t="n"/>
      <c r="B89" s="69" t="n"/>
      <c r="C89" s="69" t="n"/>
      <c r="D89" s="69" t="n"/>
      <c r="E89" s="69" t="n"/>
      <c r="F89" s="69" t="n"/>
      <c r="G89" s="69" t="n"/>
      <c r="H89" s="69" t="n"/>
      <c r="I89" s="69" t="n"/>
      <c r="J89" s="69" t="n"/>
      <c r="K89" s="69" t="n"/>
      <c r="L89" s="69" t="n"/>
      <c r="M89" s="69" t="n"/>
      <c r="N89" s="69" t="n"/>
      <c r="O89" s="69" t="n"/>
      <c r="P89" s="69" t="n"/>
      <c r="Q89" s="69" t="n"/>
      <c r="R89" s="69" t="n"/>
      <c r="S89" s="69" t="n"/>
      <c r="T89" s="69" t="n"/>
      <c r="U89" s="69" t="n"/>
      <c r="V89" s="69" t="n"/>
      <c r="W89" s="69" t="n"/>
      <c r="X89" s="69" t="n"/>
      <c r="Y89" s="69" t="n"/>
      <c r="Z89" s="69" t="n"/>
    </row>
    <row r="90">
      <c r="A90" s="69" t="n"/>
      <c r="B90" s="69" t="n"/>
      <c r="C90" s="69" t="n"/>
      <c r="D90" s="69" t="n"/>
      <c r="E90" s="69" t="n"/>
      <c r="F90" s="69" t="n"/>
      <c r="G90" s="69" t="n"/>
      <c r="H90" s="69" t="n"/>
      <c r="I90" s="69" t="n"/>
      <c r="J90" s="69" t="n"/>
      <c r="K90" s="69" t="n"/>
      <c r="L90" s="69" t="n"/>
      <c r="M90" s="69" t="n"/>
      <c r="N90" s="69" t="n"/>
      <c r="O90" s="69" t="n"/>
      <c r="P90" s="69" t="n"/>
      <c r="Q90" s="69" t="n"/>
      <c r="R90" s="69" t="n"/>
      <c r="S90" s="69" t="n"/>
      <c r="T90" s="69" t="n"/>
      <c r="U90" s="69" t="n"/>
      <c r="V90" s="69" t="n"/>
      <c r="W90" s="69" t="n"/>
      <c r="X90" s="69" t="n"/>
      <c r="Y90" s="69" t="n"/>
      <c r="Z90" s="69" t="n"/>
    </row>
    <row r="91">
      <c r="A91" s="69" t="n"/>
      <c r="B91" s="69" t="n"/>
      <c r="C91" s="69" t="n"/>
      <c r="D91" s="69" t="n"/>
      <c r="E91" s="69" t="n"/>
      <c r="F91" s="69" t="n"/>
      <c r="G91" s="69" t="n"/>
      <c r="H91" s="69" t="n"/>
      <c r="I91" s="69" t="n"/>
      <c r="J91" s="69" t="n"/>
      <c r="K91" s="69" t="n"/>
      <c r="L91" s="69" t="n"/>
      <c r="M91" s="69" t="n"/>
      <c r="N91" s="69" t="n"/>
      <c r="O91" s="69" t="n"/>
      <c r="P91" s="69" t="n"/>
      <c r="Q91" s="69" t="n"/>
      <c r="R91" s="69" t="n"/>
      <c r="S91" s="69" t="n"/>
      <c r="T91" s="69" t="n"/>
      <c r="U91" s="69" t="n"/>
      <c r="V91" s="69" t="n"/>
      <c r="W91" s="69" t="n"/>
      <c r="X91" s="69" t="n"/>
      <c r="Y91" s="69" t="n"/>
      <c r="Z91" s="69" t="n"/>
    </row>
    <row r="92">
      <c r="A92" s="69" t="n"/>
      <c r="B92" s="69" t="n"/>
      <c r="C92" s="69" t="n"/>
      <c r="D92" s="69" t="n"/>
      <c r="E92" s="69" t="n"/>
      <c r="F92" s="69" t="n"/>
      <c r="G92" s="69" t="n"/>
      <c r="H92" s="69" t="n"/>
      <c r="I92" s="69" t="n"/>
      <c r="J92" s="69" t="n"/>
      <c r="K92" s="69" t="n"/>
      <c r="L92" s="69" t="n"/>
      <c r="M92" s="69" t="n"/>
      <c r="N92" s="69" t="n"/>
      <c r="O92" s="69" t="n"/>
      <c r="P92" s="69" t="n"/>
      <c r="Q92" s="69" t="n"/>
      <c r="R92" s="69" t="n"/>
      <c r="S92" s="69" t="n"/>
      <c r="T92" s="69" t="n"/>
      <c r="U92" s="69" t="n"/>
      <c r="V92" s="69" t="n"/>
      <c r="W92" s="69" t="n"/>
      <c r="X92" s="69" t="n"/>
      <c r="Y92" s="69" t="n"/>
      <c r="Z92" s="69" t="n"/>
    </row>
    <row r="93">
      <c r="A93" s="69" t="n"/>
      <c r="B93" s="69" t="n"/>
      <c r="C93" s="69" t="n"/>
      <c r="D93" s="69" t="n"/>
      <c r="E93" s="69" t="n"/>
      <c r="F93" s="69" t="n"/>
      <c r="G93" s="69" t="n"/>
      <c r="H93" s="69" t="n"/>
      <c r="I93" s="69" t="n"/>
      <c r="J93" s="69" t="n"/>
      <c r="K93" s="69" t="n"/>
      <c r="L93" s="69" t="n"/>
      <c r="M93" s="69" t="n"/>
      <c r="N93" s="69" t="n"/>
      <c r="O93" s="69" t="n"/>
      <c r="P93" s="69" t="n"/>
      <c r="Q93" s="69" t="n"/>
      <c r="R93" s="69" t="n"/>
      <c r="S93" s="69" t="n"/>
      <c r="T93" s="69" t="n"/>
      <c r="U93" s="69" t="n"/>
      <c r="V93" s="69" t="n"/>
      <c r="W93" s="69" t="n"/>
      <c r="X93" s="69" t="n"/>
      <c r="Y93" s="69" t="n"/>
      <c r="Z93" s="69" t="n"/>
    </row>
    <row r="94">
      <c r="A94" s="69" t="n"/>
      <c r="B94" s="69" t="n"/>
      <c r="C94" s="69" t="n"/>
      <c r="D94" s="69" t="n"/>
      <c r="E94" s="69" t="n"/>
      <c r="F94" s="69" t="n"/>
      <c r="G94" s="69" t="n"/>
      <c r="H94" s="69" t="n"/>
      <c r="I94" s="69" t="n"/>
      <c r="J94" s="69" t="n"/>
      <c r="K94" s="69" t="n"/>
      <c r="L94" s="69" t="n"/>
      <c r="M94" s="69" t="n"/>
      <c r="N94" s="69" t="n"/>
      <c r="O94" s="69" t="n"/>
      <c r="P94" s="69" t="n"/>
      <c r="Q94" s="69" t="n"/>
      <c r="R94" s="69" t="n"/>
      <c r="S94" s="69" t="n"/>
      <c r="T94" s="69" t="n"/>
      <c r="U94" s="69" t="n"/>
      <c r="V94" s="69" t="n"/>
      <c r="W94" s="69" t="n"/>
      <c r="X94" s="69" t="n"/>
      <c r="Y94" s="69" t="n"/>
      <c r="Z94" s="69" t="n"/>
    </row>
    <row r="95">
      <c r="A95" s="69" t="n"/>
      <c r="B95" s="69" t="n"/>
      <c r="C95" s="69" t="n"/>
      <c r="D95" s="69" t="n"/>
      <c r="E95" s="69" t="n"/>
      <c r="F95" s="69" t="n"/>
      <c r="G95" s="69" t="n"/>
      <c r="H95" s="69" t="n"/>
      <c r="I95" s="69" t="n"/>
      <c r="J95" s="69" t="n"/>
      <c r="K95" s="69" t="n"/>
      <c r="L95" s="69" t="n"/>
      <c r="M95" s="69" t="n"/>
      <c r="N95" s="69" t="n"/>
      <c r="O95" s="69" t="n"/>
      <c r="P95" s="69" t="n"/>
      <c r="Q95" s="69" t="n"/>
      <c r="R95" s="69" t="n"/>
      <c r="S95" s="69" t="n"/>
      <c r="T95" s="69" t="n"/>
      <c r="U95" s="69" t="n"/>
      <c r="V95" s="69" t="n"/>
      <c r="W95" s="69" t="n"/>
      <c r="X95" s="69" t="n"/>
      <c r="Y95" s="69" t="n"/>
      <c r="Z95" s="69" t="n"/>
    </row>
    <row r="96">
      <c r="A96" s="69" t="n"/>
      <c r="B96" s="69" t="n"/>
      <c r="C96" s="69" t="n"/>
      <c r="D96" s="69" t="n"/>
      <c r="E96" s="69" t="n"/>
      <c r="F96" s="69" t="n"/>
      <c r="G96" s="69" t="n"/>
      <c r="H96" s="69" t="n"/>
      <c r="I96" s="69" t="n"/>
      <c r="J96" s="69" t="n"/>
      <c r="K96" s="69" t="n"/>
      <c r="L96" s="69" t="n"/>
      <c r="M96" s="69" t="n"/>
      <c r="N96" s="69" t="n"/>
      <c r="O96" s="69" t="n"/>
      <c r="P96" s="69" t="n"/>
      <c r="Q96" s="69" t="n"/>
      <c r="R96" s="69" t="n"/>
      <c r="S96" s="69" t="n"/>
      <c r="T96" s="69" t="n"/>
      <c r="U96" s="69" t="n"/>
      <c r="V96" s="69" t="n"/>
      <c r="W96" s="69" t="n"/>
      <c r="X96" s="69" t="n"/>
      <c r="Y96" s="69" t="n"/>
      <c r="Z96" s="69" t="n"/>
    </row>
    <row r="97">
      <c r="A97" s="69" t="n"/>
      <c r="B97" s="69" t="n"/>
      <c r="C97" s="69" t="n"/>
      <c r="D97" s="69" t="n"/>
      <c r="E97" s="69" t="n"/>
      <c r="F97" s="69" t="n"/>
      <c r="G97" s="69" t="n"/>
      <c r="H97" s="69" t="n"/>
      <c r="I97" s="69" t="n"/>
      <c r="J97" s="69" t="n"/>
      <c r="K97" s="69" t="n"/>
      <c r="L97" s="69" t="n"/>
      <c r="M97" s="69" t="n"/>
      <c r="N97" s="69" t="n"/>
      <c r="O97" s="69" t="n"/>
      <c r="P97" s="69" t="n"/>
      <c r="Q97" s="69" t="n"/>
      <c r="R97" s="69" t="n"/>
      <c r="S97" s="69" t="n"/>
      <c r="T97" s="69" t="n"/>
      <c r="U97" s="69" t="n"/>
      <c r="V97" s="69" t="n"/>
      <c r="W97" s="69" t="n"/>
      <c r="X97" s="69" t="n"/>
      <c r="Y97" s="69" t="n"/>
      <c r="Z97" s="69" t="n"/>
    </row>
    <row r="98">
      <c r="A98" s="69" t="n"/>
      <c r="B98" s="69" t="n"/>
      <c r="C98" s="69" t="n"/>
      <c r="D98" s="69" t="n"/>
      <c r="E98" s="69" t="n"/>
      <c r="F98" s="69" t="n"/>
      <c r="G98" s="69" t="n"/>
      <c r="H98" s="69" t="n"/>
      <c r="I98" s="69" t="n"/>
      <c r="J98" s="69" t="n"/>
      <c r="K98" s="69" t="n"/>
      <c r="L98" s="69" t="n"/>
      <c r="M98" s="69" t="n"/>
      <c r="N98" s="69" t="n"/>
      <c r="O98" s="69" t="n"/>
      <c r="P98" s="69" t="n"/>
      <c r="Q98" s="69" t="n"/>
      <c r="R98" s="69" t="n"/>
      <c r="S98" s="69" t="n"/>
      <c r="T98" s="69" t="n"/>
      <c r="U98" s="69" t="n"/>
      <c r="V98" s="69" t="n"/>
      <c r="W98" s="69" t="n"/>
      <c r="X98" s="69" t="n"/>
      <c r="Y98" s="69" t="n"/>
      <c r="Z98" s="69" t="n"/>
    </row>
    <row r="99">
      <c r="A99" s="69" t="n"/>
      <c r="B99" s="69" t="n"/>
      <c r="C99" s="69" t="n"/>
      <c r="D99" s="69" t="n"/>
      <c r="E99" s="69" t="n"/>
      <c r="F99" s="69" t="n"/>
      <c r="G99" s="69" t="n"/>
      <c r="H99" s="69" t="n"/>
      <c r="I99" s="69" t="n"/>
      <c r="J99" s="69" t="n"/>
      <c r="K99" s="69" t="n"/>
      <c r="L99" s="69" t="n"/>
      <c r="M99" s="69" t="n"/>
      <c r="N99" s="69" t="n"/>
      <c r="O99" s="69" t="n"/>
      <c r="P99" s="69" t="n"/>
      <c r="Q99" s="69" t="n"/>
      <c r="R99" s="69" t="n"/>
      <c r="S99" s="69" t="n"/>
      <c r="T99" s="69" t="n"/>
      <c r="U99" s="69" t="n"/>
      <c r="V99" s="69" t="n"/>
      <c r="W99" s="69" t="n"/>
      <c r="X99" s="69" t="n"/>
      <c r="Y99" s="69" t="n"/>
      <c r="Z99" s="69" t="n"/>
    </row>
    <row r="100">
      <c r="A100" s="69" t="n"/>
      <c r="B100" s="69" t="n"/>
      <c r="C100" s="69" t="n"/>
      <c r="D100" s="69" t="n"/>
      <c r="E100" s="69" t="n"/>
      <c r="F100" s="69" t="n"/>
      <c r="G100" s="69" t="n"/>
      <c r="H100" s="69" t="n"/>
      <c r="I100" s="69" t="n"/>
      <c r="J100" s="69" t="n"/>
      <c r="K100" s="69" t="n"/>
      <c r="L100" s="69" t="n"/>
      <c r="M100" s="69" t="n"/>
      <c r="N100" s="69" t="n"/>
      <c r="O100" s="69" t="n"/>
      <c r="P100" s="69" t="n"/>
      <c r="Q100" s="69" t="n"/>
      <c r="R100" s="69" t="n"/>
      <c r="S100" s="69" t="n"/>
      <c r="T100" s="69" t="n"/>
      <c r="U100" s="69" t="n"/>
      <c r="V100" s="69" t="n"/>
      <c r="W100" s="69" t="n"/>
      <c r="X100" s="69" t="n"/>
      <c r="Y100" s="69" t="n"/>
      <c r="Z100" s="69" t="n"/>
    </row>
    <row r="101">
      <c r="A101" s="69" t="n"/>
      <c r="B101" s="69" t="n"/>
      <c r="C101" s="69" t="n"/>
      <c r="D101" s="69" t="n"/>
      <c r="E101" s="69" t="n"/>
      <c r="F101" s="69" t="n"/>
      <c r="G101" s="69" t="n"/>
      <c r="H101" s="69" t="n"/>
      <c r="I101" s="69" t="n"/>
      <c r="J101" s="69" t="n"/>
      <c r="K101" s="69" t="n"/>
      <c r="L101" s="69" t="n"/>
      <c r="M101" s="69" t="n"/>
      <c r="N101" s="69" t="n"/>
      <c r="O101" s="69" t="n"/>
      <c r="P101" s="69" t="n"/>
      <c r="Q101" s="69" t="n"/>
      <c r="R101" s="69" t="n"/>
      <c r="S101" s="69" t="n"/>
      <c r="T101" s="69" t="n"/>
      <c r="U101" s="69" t="n"/>
      <c r="V101" s="69" t="n"/>
      <c r="W101" s="69" t="n"/>
      <c r="X101" s="69" t="n"/>
      <c r="Y101" s="69" t="n"/>
      <c r="Z101" s="69" t="n"/>
    </row>
    <row r="102">
      <c r="A102" s="69" t="n"/>
      <c r="B102" s="69" t="n"/>
      <c r="C102" s="69" t="n"/>
      <c r="D102" s="69" t="n"/>
      <c r="E102" s="69" t="n"/>
      <c r="F102" s="69" t="n"/>
      <c r="G102" s="69" t="n"/>
      <c r="H102" s="69" t="n"/>
      <c r="I102" s="69" t="n"/>
      <c r="J102" s="69" t="n"/>
      <c r="K102" s="69" t="n"/>
      <c r="L102" s="69" t="n"/>
      <c r="M102" s="69" t="n"/>
      <c r="N102" s="69" t="n"/>
      <c r="O102" s="69" t="n"/>
      <c r="P102" s="69" t="n"/>
      <c r="Q102" s="69" t="n"/>
      <c r="R102" s="69" t="n"/>
      <c r="S102" s="69" t="n"/>
      <c r="T102" s="69" t="n"/>
      <c r="U102" s="69" t="n"/>
      <c r="V102" s="69" t="n"/>
      <c r="W102" s="69" t="n"/>
      <c r="X102" s="69" t="n"/>
      <c r="Y102" s="69" t="n"/>
      <c r="Z102" s="69" t="n"/>
    </row>
    <row r="103">
      <c r="A103" s="69" t="n"/>
      <c r="B103" s="69" t="n"/>
      <c r="C103" s="69" t="n"/>
      <c r="D103" s="69" t="n"/>
      <c r="E103" s="69" t="n"/>
      <c r="F103" s="69" t="n"/>
      <c r="G103" s="69" t="n"/>
      <c r="H103" s="69" t="n"/>
      <c r="I103" s="69" t="n"/>
      <c r="J103" s="69" t="n"/>
      <c r="K103" s="69" t="n"/>
      <c r="L103" s="69" t="n"/>
      <c r="M103" s="69" t="n"/>
      <c r="N103" s="69" t="n"/>
      <c r="O103" s="69" t="n"/>
      <c r="P103" s="69" t="n"/>
      <c r="Q103" s="69" t="n"/>
      <c r="R103" s="69" t="n"/>
      <c r="S103" s="69" t="n"/>
      <c r="T103" s="69" t="n"/>
      <c r="U103" s="69" t="n"/>
      <c r="V103" s="69" t="n"/>
      <c r="W103" s="69" t="n"/>
      <c r="X103" s="69" t="n"/>
      <c r="Y103" s="69" t="n"/>
      <c r="Z103" s="69" t="n"/>
    </row>
    <row r="104">
      <c r="A104" s="69" t="n"/>
      <c r="B104" s="69" t="n"/>
      <c r="C104" s="69" t="n"/>
      <c r="D104" s="69" t="n"/>
      <c r="E104" s="69" t="n"/>
      <c r="F104" s="69" t="n"/>
      <c r="G104" s="69" t="n"/>
      <c r="H104" s="69" t="n"/>
      <c r="I104" s="69" t="n"/>
      <c r="J104" s="69" t="n"/>
      <c r="K104" s="69" t="n"/>
      <c r="L104" s="69" t="n"/>
      <c r="M104" s="69" t="n"/>
      <c r="N104" s="69" t="n"/>
      <c r="O104" s="69" t="n"/>
      <c r="P104" s="69" t="n"/>
      <c r="Q104" s="69" t="n"/>
      <c r="R104" s="69" t="n"/>
      <c r="S104" s="69" t="n"/>
      <c r="T104" s="69" t="n"/>
      <c r="U104" s="69" t="n"/>
      <c r="V104" s="69" t="n"/>
      <c r="W104" s="69" t="n"/>
      <c r="X104" s="69" t="n"/>
      <c r="Y104" s="69" t="n"/>
      <c r="Z104" s="69" t="n"/>
    </row>
    <row r="105">
      <c r="A105" s="69" t="n"/>
      <c r="B105" s="69" t="n"/>
      <c r="C105" s="69" t="n"/>
      <c r="D105" s="69" t="n"/>
      <c r="E105" s="69" t="n"/>
      <c r="F105" s="69" t="n"/>
      <c r="G105" s="69" t="n"/>
      <c r="H105" s="69" t="n"/>
      <c r="I105" s="69" t="n"/>
      <c r="J105" s="69" t="n"/>
      <c r="K105" s="69" t="n"/>
      <c r="L105" s="69" t="n"/>
      <c r="M105" s="69" t="n"/>
      <c r="N105" s="69" t="n"/>
      <c r="O105" s="69" t="n"/>
      <c r="P105" s="69" t="n"/>
      <c r="Q105" s="69" t="n"/>
      <c r="R105" s="69" t="n"/>
      <c r="S105" s="69" t="n"/>
      <c r="T105" s="69" t="n"/>
      <c r="U105" s="69" t="n"/>
      <c r="V105" s="69" t="n"/>
      <c r="W105" s="69" t="n"/>
      <c r="X105" s="69" t="n"/>
      <c r="Y105" s="69" t="n"/>
      <c r="Z105" s="69" t="n"/>
    </row>
    <row r="106">
      <c r="A106" s="69" t="n"/>
      <c r="B106" s="69" t="n"/>
      <c r="C106" s="69" t="n"/>
      <c r="D106" s="69" t="n"/>
      <c r="E106" s="69" t="n"/>
      <c r="F106" s="69" t="n"/>
      <c r="G106" s="69" t="n"/>
      <c r="H106" s="69" t="n"/>
      <c r="I106" s="69" t="n"/>
      <c r="J106" s="69" t="n"/>
      <c r="K106" s="69" t="n"/>
      <c r="L106" s="69" t="n"/>
      <c r="M106" s="69" t="n"/>
      <c r="N106" s="69" t="n"/>
      <c r="O106" s="69" t="n"/>
      <c r="P106" s="69" t="n"/>
      <c r="Q106" s="69" t="n"/>
      <c r="R106" s="69" t="n"/>
      <c r="S106" s="69" t="n"/>
      <c r="T106" s="69" t="n"/>
      <c r="U106" s="69" t="n"/>
      <c r="V106" s="69" t="n"/>
      <c r="W106" s="69" t="n"/>
      <c r="X106" s="69" t="n"/>
      <c r="Y106" s="69" t="n"/>
      <c r="Z106" s="69" t="n"/>
    </row>
    <row r="107">
      <c r="A107" s="69" t="n"/>
      <c r="B107" s="69" t="n"/>
      <c r="C107" s="69" t="n"/>
      <c r="D107" s="69" t="n"/>
      <c r="E107" s="69" t="n"/>
      <c r="F107" s="69" t="n"/>
      <c r="G107" s="69" t="n"/>
      <c r="H107" s="69" t="n"/>
      <c r="I107" s="69" t="n"/>
      <c r="J107" s="69" t="n"/>
      <c r="K107" s="69" t="n"/>
      <c r="L107" s="69" t="n"/>
      <c r="M107" s="69" t="n"/>
      <c r="N107" s="69" t="n"/>
      <c r="O107" s="69" t="n"/>
      <c r="P107" s="69" t="n"/>
      <c r="Q107" s="69" t="n"/>
      <c r="R107" s="69" t="n"/>
      <c r="S107" s="69" t="n"/>
      <c r="T107" s="69" t="n"/>
      <c r="U107" s="69" t="n"/>
      <c r="V107" s="69" t="n"/>
      <c r="W107" s="69" t="n"/>
      <c r="X107" s="69" t="n"/>
      <c r="Y107" s="69" t="n"/>
      <c r="Z107" s="69" t="n"/>
    </row>
    <row r="108">
      <c r="A108" s="69" t="n"/>
      <c r="B108" s="69" t="n"/>
      <c r="C108" s="69" t="n"/>
      <c r="D108" s="69" t="n"/>
      <c r="E108" s="69" t="n"/>
      <c r="F108" s="69" t="n"/>
      <c r="G108" s="69" t="n"/>
      <c r="H108" s="69" t="n"/>
      <c r="I108" s="69" t="n"/>
      <c r="J108" s="69" t="n"/>
      <c r="K108" s="69" t="n"/>
      <c r="L108" s="69" t="n"/>
      <c r="M108" s="69" t="n"/>
      <c r="N108" s="69" t="n"/>
      <c r="O108" s="69" t="n"/>
      <c r="P108" s="69" t="n"/>
      <c r="Q108" s="69" t="n"/>
      <c r="R108" s="69" t="n"/>
      <c r="S108" s="69" t="n"/>
      <c r="T108" s="69" t="n"/>
      <c r="U108" s="69" t="n"/>
      <c r="V108" s="69" t="n"/>
      <c r="W108" s="69" t="n"/>
      <c r="X108" s="69" t="n"/>
      <c r="Y108" s="69" t="n"/>
      <c r="Z108" s="69" t="n"/>
    </row>
    <row r="109">
      <c r="A109" s="69" t="n"/>
      <c r="B109" s="69" t="n"/>
      <c r="C109" s="69" t="n"/>
      <c r="D109" s="69" t="n"/>
      <c r="E109" s="69" t="n"/>
      <c r="F109" s="69" t="n"/>
      <c r="G109" s="69" t="n"/>
      <c r="H109" s="69" t="n"/>
      <c r="I109" s="69" t="n"/>
      <c r="J109" s="69" t="n"/>
      <c r="K109" s="69" t="n"/>
      <c r="L109" s="69" t="n"/>
      <c r="M109" s="69" t="n"/>
      <c r="N109" s="69" t="n"/>
      <c r="O109" s="69" t="n"/>
      <c r="P109" s="69" t="n"/>
      <c r="Q109" s="69" t="n"/>
      <c r="R109" s="69" t="n"/>
      <c r="S109" s="69" t="n"/>
      <c r="T109" s="69" t="n"/>
      <c r="U109" s="69" t="n"/>
      <c r="V109" s="69" t="n"/>
      <c r="W109" s="69" t="n"/>
      <c r="X109" s="69" t="n"/>
      <c r="Y109" s="69" t="n"/>
      <c r="Z109" s="69" t="n"/>
    </row>
    <row r="110">
      <c r="A110" s="69" t="n"/>
      <c r="B110" s="69" t="n"/>
      <c r="C110" s="69" t="n"/>
      <c r="D110" s="69" t="n"/>
      <c r="E110" s="69" t="n"/>
      <c r="F110" s="69" t="n"/>
      <c r="G110" s="69" t="n"/>
      <c r="H110" s="69" t="n"/>
      <c r="I110" s="69" t="n"/>
      <c r="J110" s="69" t="n"/>
      <c r="K110" s="69" t="n"/>
      <c r="L110" s="69" t="n"/>
      <c r="M110" s="69" t="n"/>
      <c r="N110" s="69" t="n"/>
      <c r="O110" s="69" t="n"/>
      <c r="P110" s="69" t="n"/>
      <c r="Q110" s="69" t="n"/>
      <c r="R110" s="69" t="n"/>
      <c r="S110" s="69" t="n"/>
      <c r="T110" s="69" t="n"/>
      <c r="U110" s="69" t="n"/>
      <c r="V110" s="69" t="n"/>
      <c r="W110" s="69" t="n"/>
      <c r="X110" s="69" t="n"/>
      <c r="Y110" s="69" t="n"/>
      <c r="Z110" s="69" t="n"/>
    </row>
    <row r="111">
      <c r="A111" s="69" t="n"/>
      <c r="B111" s="69" t="n"/>
      <c r="C111" s="69" t="n"/>
      <c r="D111" s="69" t="n"/>
      <c r="E111" s="69" t="n"/>
      <c r="F111" s="69" t="n"/>
      <c r="G111" s="69" t="n"/>
      <c r="H111" s="69" t="n"/>
      <c r="I111" s="69" t="n"/>
      <c r="J111" s="69" t="n"/>
      <c r="K111" s="69" t="n"/>
      <c r="L111" s="69" t="n"/>
      <c r="M111" s="69" t="n"/>
      <c r="N111" s="69" t="n"/>
      <c r="O111" s="69" t="n"/>
      <c r="P111" s="69" t="n"/>
      <c r="Q111" s="69" t="n"/>
      <c r="R111" s="69" t="n"/>
      <c r="S111" s="69" t="n"/>
      <c r="T111" s="69" t="n"/>
      <c r="U111" s="69" t="n"/>
      <c r="V111" s="69" t="n"/>
      <c r="W111" s="69" t="n"/>
      <c r="X111" s="69" t="n"/>
      <c r="Y111" s="69" t="n"/>
      <c r="Z111" s="69" t="n"/>
    </row>
    <row r="112">
      <c r="A112" s="69" t="n"/>
      <c r="B112" s="69" t="n"/>
      <c r="C112" s="69" t="n"/>
      <c r="D112" s="69" t="n"/>
      <c r="E112" s="69" t="n"/>
      <c r="F112" s="69" t="n"/>
      <c r="G112" s="69" t="n"/>
      <c r="H112" s="69" t="n"/>
      <c r="I112" s="69" t="n"/>
      <c r="J112" s="69" t="n"/>
      <c r="K112" s="69" t="n"/>
      <c r="L112" s="69" t="n"/>
      <c r="M112" s="69" t="n"/>
      <c r="N112" s="69" t="n"/>
      <c r="O112" s="69" t="n"/>
      <c r="P112" s="69" t="n"/>
      <c r="Q112" s="69" t="n"/>
      <c r="R112" s="69" t="n"/>
      <c r="S112" s="69" t="n"/>
      <c r="T112" s="69" t="n"/>
      <c r="U112" s="69" t="n"/>
      <c r="V112" s="69" t="n"/>
      <c r="W112" s="69" t="n"/>
      <c r="X112" s="69" t="n"/>
      <c r="Y112" s="69" t="n"/>
      <c r="Z112" s="69" t="n"/>
    </row>
    <row r="113">
      <c r="A113" s="69" t="n"/>
      <c r="B113" s="69" t="n"/>
      <c r="C113" s="69" t="n"/>
      <c r="D113" s="69" t="n"/>
      <c r="E113" s="69" t="n"/>
      <c r="F113" s="69" t="n"/>
      <c r="G113" s="69" t="n"/>
      <c r="H113" s="69" t="n"/>
      <c r="I113" s="69" t="n"/>
      <c r="J113" s="69" t="n"/>
      <c r="K113" s="69" t="n"/>
      <c r="L113" s="69" t="n"/>
      <c r="M113" s="69" t="n"/>
      <c r="N113" s="69" t="n"/>
      <c r="O113" s="69" t="n"/>
      <c r="P113" s="69" t="n"/>
      <c r="Q113" s="69" t="n"/>
      <c r="R113" s="69" t="n"/>
      <c r="S113" s="69" t="n"/>
      <c r="T113" s="69" t="n"/>
      <c r="U113" s="69" t="n"/>
      <c r="V113" s="69" t="n"/>
      <c r="W113" s="69" t="n"/>
      <c r="X113" s="69" t="n"/>
      <c r="Y113" s="69" t="n"/>
      <c r="Z113" s="69" t="n"/>
    </row>
    <row r="114">
      <c r="A114" s="69" t="n"/>
      <c r="B114" s="69" t="n"/>
      <c r="C114" s="69" t="n"/>
      <c r="D114" s="69" t="n"/>
      <c r="E114" s="69" t="n"/>
      <c r="F114" s="69" t="n"/>
      <c r="G114" s="69" t="n"/>
      <c r="H114" s="69" t="n"/>
      <c r="I114" s="69" t="n"/>
      <c r="J114" s="69" t="n"/>
      <c r="K114" s="69" t="n"/>
      <c r="L114" s="69" t="n"/>
      <c r="M114" s="69" t="n"/>
      <c r="N114" s="69" t="n"/>
      <c r="O114" s="69" t="n"/>
      <c r="P114" s="69" t="n"/>
      <c r="Q114" s="69" t="n"/>
      <c r="R114" s="69" t="n"/>
      <c r="S114" s="69" t="n"/>
      <c r="T114" s="69" t="n"/>
      <c r="U114" s="69" t="n"/>
      <c r="V114" s="69" t="n"/>
      <c r="W114" s="69" t="n"/>
      <c r="X114" s="69" t="n"/>
      <c r="Y114" s="69" t="n"/>
      <c r="Z114" s="69" t="n"/>
    </row>
    <row r="115">
      <c r="A115" s="69" t="n"/>
      <c r="B115" s="69" t="n"/>
      <c r="C115" s="69" t="n"/>
      <c r="D115" s="69" t="n"/>
      <c r="E115" s="69" t="n"/>
      <c r="F115" s="69" t="n"/>
      <c r="G115" s="69" t="n"/>
      <c r="H115" s="69" t="n"/>
      <c r="I115" s="69" t="n"/>
      <c r="J115" s="69" t="n"/>
      <c r="K115" s="69" t="n"/>
      <c r="L115" s="69" t="n"/>
      <c r="M115" s="69" t="n"/>
      <c r="N115" s="69" t="n"/>
      <c r="O115" s="69" t="n"/>
      <c r="P115" s="69" t="n"/>
      <c r="Q115" s="69" t="n"/>
      <c r="R115" s="69" t="n"/>
      <c r="S115" s="69" t="n"/>
      <c r="T115" s="69" t="n"/>
      <c r="U115" s="69" t="n"/>
      <c r="V115" s="69" t="n"/>
      <c r="W115" s="69" t="n"/>
      <c r="X115" s="69" t="n"/>
      <c r="Y115" s="69" t="n"/>
      <c r="Z115" s="69" t="n"/>
    </row>
    <row r="116">
      <c r="A116" s="69" t="n"/>
      <c r="B116" s="69" t="n"/>
      <c r="C116" s="69" t="n"/>
      <c r="D116" s="69" t="n"/>
      <c r="E116" s="69" t="n"/>
      <c r="F116" s="69" t="n"/>
      <c r="G116" s="69" t="n"/>
      <c r="H116" s="69" t="n"/>
      <c r="I116" s="69" t="n"/>
      <c r="J116" s="69" t="n"/>
      <c r="K116" s="69" t="n"/>
      <c r="L116" s="69" t="n"/>
      <c r="M116" s="69" t="n"/>
      <c r="N116" s="69" t="n"/>
      <c r="O116" s="69" t="n"/>
      <c r="P116" s="69" t="n"/>
      <c r="Q116" s="69" t="n"/>
      <c r="R116" s="69" t="n"/>
      <c r="S116" s="69" t="n"/>
      <c r="T116" s="69" t="n"/>
      <c r="U116" s="69" t="n"/>
      <c r="V116" s="69" t="n"/>
      <c r="W116" s="69" t="n"/>
      <c r="X116" s="69" t="n"/>
      <c r="Y116" s="69" t="n"/>
      <c r="Z116" s="69" t="n"/>
    </row>
    <row r="117">
      <c r="A117" s="69" t="n"/>
      <c r="B117" s="69" t="n"/>
      <c r="C117" s="69" t="n"/>
      <c r="D117" s="69" t="n"/>
      <c r="E117" s="69" t="n"/>
      <c r="F117" s="69" t="n"/>
      <c r="G117" s="69" t="n"/>
      <c r="H117" s="69" t="n"/>
      <c r="I117" s="69" t="n"/>
      <c r="J117" s="69" t="n"/>
      <c r="K117" s="69" t="n"/>
      <c r="L117" s="69" t="n"/>
      <c r="M117" s="69" t="n"/>
      <c r="N117" s="69" t="n"/>
      <c r="O117" s="69" t="n"/>
      <c r="P117" s="69" t="n"/>
      <c r="Q117" s="69" t="n"/>
      <c r="R117" s="69" t="n"/>
      <c r="S117" s="69" t="n"/>
      <c r="T117" s="69" t="n"/>
      <c r="U117" s="69" t="n"/>
      <c r="V117" s="69" t="n"/>
      <c r="W117" s="69" t="n"/>
      <c r="X117" s="69" t="n"/>
      <c r="Y117" s="69" t="n"/>
      <c r="Z117" s="69" t="n"/>
    </row>
    <row r="118">
      <c r="A118" s="69" t="n"/>
      <c r="B118" s="69" t="n"/>
      <c r="C118" s="69" t="n"/>
      <c r="D118" s="69" t="n"/>
      <c r="E118" s="69" t="n"/>
      <c r="F118" s="69" t="n"/>
      <c r="G118" s="69" t="n"/>
      <c r="H118" s="69" t="n"/>
      <c r="I118" s="69" t="n"/>
      <c r="J118" s="69" t="n"/>
      <c r="K118" s="69" t="n"/>
      <c r="L118" s="69" t="n"/>
      <c r="M118" s="69" t="n"/>
      <c r="N118" s="69" t="n"/>
      <c r="O118" s="69" t="n"/>
      <c r="P118" s="69" t="n"/>
      <c r="Q118" s="69" t="n"/>
      <c r="R118" s="69" t="n"/>
      <c r="S118" s="69" t="n"/>
      <c r="T118" s="69" t="n"/>
      <c r="U118" s="69" t="n"/>
      <c r="V118" s="69" t="n"/>
      <c r="W118" s="69" t="n"/>
      <c r="X118" s="69" t="n"/>
      <c r="Y118" s="69" t="n"/>
      <c r="Z118" s="69" t="n"/>
    </row>
    <row r="119">
      <c r="A119" s="69" t="n"/>
      <c r="B119" s="69" t="n"/>
      <c r="C119" s="69" t="n"/>
      <c r="D119" s="69" t="n"/>
      <c r="E119" s="69" t="n"/>
      <c r="F119" s="69" t="n"/>
      <c r="G119" s="69" t="n"/>
      <c r="H119" s="69" t="n"/>
      <c r="I119" s="69" t="n"/>
      <c r="J119" s="69" t="n"/>
      <c r="K119" s="69" t="n"/>
      <c r="L119" s="69" t="n"/>
      <c r="M119" s="69" t="n"/>
      <c r="N119" s="69" t="n"/>
      <c r="O119" s="69" t="n"/>
      <c r="P119" s="69" t="n"/>
      <c r="Q119" s="69" t="n"/>
      <c r="R119" s="69" t="n"/>
      <c r="S119" s="69" t="n"/>
      <c r="T119" s="69" t="n"/>
      <c r="U119" s="69" t="n"/>
      <c r="V119" s="69" t="n"/>
      <c r="W119" s="69" t="n"/>
      <c r="X119" s="69" t="n"/>
      <c r="Y119" s="69" t="n"/>
      <c r="Z119" s="69" t="n"/>
    </row>
    <row r="120">
      <c r="A120" s="69" t="n"/>
      <c r="B120" s="69" t="n"/>
      <c r="C120" s="69" t="n"/>
      <c r="D120" s="69" t="n"/>
      <c r="E120" s="69" t="n"/>
      <c r="F120" s="69" t="n"/>
      <c r="G120" s="69" t="n"/>
      <c r="H120" s="69" t="n"/>
      <c r="I120" s="69" t="n"/>
      <c r="J120" s="69" t="n"/>
      <c r="K120" s="69" t="n"/>
      <c r="L120" s="69" t="n"/>
      <c r="M120" s="69" t="n"/>
      <c r="N120" s="69" t="n"/>
      <c r="O120" s="69" t="n"/>
      <c r="P120" s="69" t="n"/>
      <c r="Q120" s="69" t="n"/>
      <c r="R120" s="69" t="n"/>
      <c r="S120" s="69" t="n"/>
      <c r="T120" s="69" t="n"/>
      <c r="U120" s="69" t="n"/>
      <c r="V120" s="69" t="n"/>
      <c r="W120" s="69" t="n"/>
      <c r="X120" s="69" t="n"/>
      <c r="Y120" s="69" t="n"/>
      <c r="Z120" s="69" t="n"/>
    </row>
    <row r="121">
      <c r="A121" s="69" t="n"/>
      <c r="B121" s="69" t="n"/>
      <c r="C121" s="69" t="n"/>
      <c r="D121" s="69" t="n"/>
      <c r="E121" s="69" t="n"/>
      <c r="F121" s="69" t="n"/>
      <c r="G121" s="69" t="n"/>
      <c r="H121" s="69" t="n"/>
      <c r="I121" s="69" t="n"/>
      <c r="J121" s="69" t="n"/>
      <c r="K121" s="69" t="n"/>
      <c r="L121" s="69" t="n"/>
      <c r="M121" s="69" t="n"/>
      <c r="N121" s="69" t="n"/>
      <c r="O121" s="69" t="n"/>
      <c r="P121" s="69" t="n"/>
      <c r="Q121" s="69" t="n"/>
      <c r="R121" s="69" t="n"/>
      <c r="S121" s="69" t="n"/>
      <c r="T121" s="69" t="n"/>
      <c r="U121" s="69" t="n"/>
      <c r="V121" s="69" t="n"/>
      <c r="W121" s="69" t="n"/>
      <c r="X121" s="69" t="n"/>
      <c r="Y121" s="69" t="n"/>
      <c r="Z121" s="69" t="n"/>
    </row>
    <row r="122">
      <c r="A122" s="69" t="n"/>
      <c r="B122" s="69" t="n"/>
      <c r="C122" s="69" t="n"/>
      <c r="D122" s="69" t="n"/>
      <c r="E122" s="69" t="n"/>
      <c r="F122" s="69" t="n"/>
      <c r="G122" s="69" t="n"/>
      <c r="H122" s="69" t="n"/>
      <c r="I122" s="69" t="n"/>
      <c r="J122" s="69" t="n"/>
      <c r="K122" s="69" t="n"/>
      <c r="L122" s="69" t="n"/>
      <c r="M122" s="69" t="n"/>
      <c r="N122" s="69" t="n"/>
      <c r="O122" s="69" t="n"/>
      <c r="P122" s="69" t="n"/>
      <c r="Q122" s="69" t="n"/>
      <c r="R122" s="69" t="n"/>
      <c r="S122" s="69" t="n"/>
      <c r="T122" s="69" t="n"/>
      <c r="U122" s="69" t="n"/>
      <c r="V122" s="69" t="n"/>
      <c r="W122" s="69" t="n"/>
      <c r="X122" s="69" t="n"/>
      <c r="Y122" s="69" t="n"/>
      <c r="Z122" s="69" t="n"/>
    </row>
    <row r="123">
      <c r="A123" s="69" t="n"/>
      <c r="B123" s="69" t="n"/>
      <c r="C123" s="69" t="n"/>
      <c r="D123" s="69" t="n"/>
      <c r="E123" s="69" t="n"/>
      <c r="F123" s="69" t="n"/>
      <c r="G123" s="69" t="n"/>
      <c r="H123" s="69" t="n"/>
      <c r="I123" s="69" t="n"/>
      <c r="J123" s="69" t="n"/>
      <c r="K123" s="69" t="n"/>
      <c r="L123" s="69" t="n"/>
      <c r="M123" s="69" t="n"/>
      <c r="N123" s="69" t="n"/>
      <c r="O123" s="69" t="n"/>
      <c r="P123" s="69" t="n"/>
      <c r="Q123" s="69" t="n"/>
      <c r="R123" s="69" t="n"/>
      <c r="S123" s="69" t="n"/>
      <c r="T123" s="69" t="n"/>
      <c r="U123" s="69" t="n"/>
      <c r="V123" s="69" t="n"/>
      <c r="W123" s="69" t="n"/>
      <c r="X123" s="69" t="n"/>
      <c r="Y123" s="69" t="n"/>
      <c r="Z123" s="69" t="n"/>
    </row>
    <row r="124">
      <c r="A124" s="69" t="n"/>
      <c r="B124" s="69" t="n"/>
      <c r="C124" s="69" t="n"/>
      <c r="D124" s="69" t="n"/>
      <c r="E124" s="69" t="n"/>
      <c r="F124" s="69" t="n"/>
      <c r="G124" s="69" t="n"/>
      <c r="H124" s="69" t="n"/>
      <c r="I124" s="69" t="n"/>
      <c r="J124" s="69" t="n"/>
      <c r="K124" s="69" t="n"/>
      <c r="L124" s="69" t="n"/>
      <c r="M124" s="69" t="n"/>
      <c r="N124" s="69" t="n"/>
      <c r="O124" s="69" t="n"/>
      <c r="P124" s="69" t="n"/>
      <c r="Q124" s="69" t="n"/>
      <c r="R124" s="69" t="n"/>
      <c r="S124" s="69" t="n"/>
      <c r="T124" s="69" t="n"/>
      <c r="U124" s="69" t="n"/>
      <c r="V124" s="69" t="n"/>
      <c r="W124" s="69" t="n"/>
      <c r="X124" s="69" t="n"/>
      <c r="Y124" s="69" t="n"/>
      <c r="Z124" s="69" t="n"/>
    </row>
    <row r="125">
      <c r="A125" s="69" t="n"/>
      <c r="B125" s="69" t="n"/>
      <c r="C125" s="69" t="n"/>
      <c r="D125" s="69" t="n"/>
      <c r="E125" s="69" t="n"/>
      <c r="F125" s="69" t="n"/>
      <c r="G125" s="69" t="n"/>
      <c r="H125" s="69" t="n"/>
      <c r="I125" s="69" t="n"/>
      <c r="J125" s="69" t="n"/>
      <c r="K125" s="69" t="n"/>
      <c r="L125" s="69" t="n"/>
      <c r="M125" s="69" t="n"/>
      <c r="N125" s="69" t="n"/>
      <c r="O125" s="69" t="n"/>
      <c r="P125" s="69" t="n"/>
      <c r="Q125" s="69" t="n"/>
      <c r="R125" s="69" t="n"/>
      <c r="S125" s="69" t="n"/>
      <c r="T125" s="69" t="n"/>
      <c r="U125" s="69" t="n"/>
      <c r="V125" s="69" t="n"/>
      <c r="W125" s="69" t="n"/>
      <c r="X125" s="69" t="n"/>
      <c r="Y125" s="69" t="n"/>
      <c r="Z125" s="69" t="n"/>
    </row>
    <row r="126">
      <c r="A126" s="69" t="n"/>
      <c r="B126" s="69" t="n"/>
      <c r="C126" s="69" t="n"/>
      <c r="D126" s="69" t="n"/>
      <c r="E126" s="69" t="n"/>
      <c r="F126" s="69" t="n"/>
      <c r="G126" s="69" t="n"/>
      <c r="H126" s="69" t="n"/>
      <c r="I126" s="69" t="n"/>
      <c r="J126" s="69" t="n"/>
      <c r="K126" s="69" t="n"/>
      <c r="L126" s="69" t="n"/>
      <c r="M126" s="69" t="n"/>
      <c r="N126" s="69" t="n"/>
      <c r="O126" s="69" t="n"/>
      <c r="P126" s="69" t="n"/>
      <c r="Q126" s="69" t="n"/>
      <c r="R126" s="69" t="n"/>
      <c r="S126" s="69" t="n"/>
      <c r="T126" s="69" t="n"/>
      <c r="U126" s="69" t="n"/>
      <c r="V126" s="69" t="n"/>
      <c r="W126" s="69" t="n"/>
      <c r="X126" s="69" t="n"/>
      <c r="Y126" s="69" t="n"/>
      <c r="Z126" s="69" t="n"/>
    </row>
    <row r="127">
      <c r="A127" s="69" t="n"/>
      <c r="B127" s="69" t="n"/>
      <c r="C127" s="69" t="n"/>
      <c r="D127" s="69" t="n"/>
      <c r="E127" s="69" t="n"/>
      <c r="F127" s="69" t="n"/>
      <c r="G127" s="69" t="n"/>
      <c r="H127" s="69" t="n"/>
      <c r="I127" s="69" t="n"/>
      <c r="J127" s="69" t="n"/>
      <c r="K127" s="69" t="n"/>
      <c r="L127" s="69" t="n"/>
      <c r="M127" s="69" t="n"/>
      <c r="N127" s="69" t="n"/>
      <c r="O127" s="69" t="n"/>
      <c r="P127" s="69" t="n"/>
      <c r="Q127" s="69" t="n"/>
      <c r="R127" s="69" t="n"/>
      <c r="S127" s="69" t="n"/>
      <c r="T127" s="69" t="n"/>
      <c r="U127" s="69" t="n"/>
      <c r="V127" s="69" t="n"/>
      <c r="W127" s="69" t="n"/>
      <c r="X127" s="69" t="n"/>
      <c r="Y127" s="69" t="n"/>
      <c r="Z127" s="69" t="n"/>
    </row>
    <row r="128">
      <c r="A128" s="69" t="n"/>
      <c r="B128" s="69" t="n"/>
      <c r="C128" s="69" t="n"/>
      <c r="D128" s="69" t="n"/>
      <c r="E128" s="69" t="n"/>
      <c r="F128" s="69" t="n"/>
      <c r="G128" s="69" t="n"/>
      <c r="H128" s="69" t="n"/>
      <c r="I128" s="69" t="n"/>
      <c r="J128" s="69" t="n"/>
      <c r="K128" s="69" t="n"/>
      <c r="L128" s="69" t="n"/>
      <c r="M128" s="69" t="n"/>
      <c r="N128" s="69" t="n"/>
      <c r="O128" s="69" t="n"/>
      <c r="P128" s="69" t="n"/>
      <c r="Q128" s="69" t="n"/>
      <c r="R128" s="69" t="n"/>
      <c r="S128" s="69" t="n"/>
      <c r="T128" s="69" t="n"/>
      <c r="U128" s="69" t="n"/>
      <c r="V128" s="69" t="n"/>
      <c r="W128" s="69" t="n"/>
      <c r="X128" s="69" t="n"/>
      <c r="Y128" s="69" t="n"/>
      <c r="Z128" s="69" t="n"/>
    </row>
    <row r="129">
      <c r="A129" s="69" t="n"/>
      <c r="B129" s="69" t="n"/>
      <c r="C129" s="69" t="n"/>
      <c r="D129" s="69" t="n"/>
      <c r="E129" s="69" t="n"/>
      <c r="F129" s="69" t="n"/>
      <c r="G129" s="69" t="n"/>
      <c r="H129" s="69" t="n"/>
      <c r="I129" s="69" t="n"/>
      <c r="J129" s="69" t="n"/>
      <c r="K129" s="69" t="n"/>
      <c r="L129" s="69" t="n"/>
      <c r="M129" s="69" t="n"/>
      <c r="N129" s="69" t="n"/>
      <c r="O129" s="69" t="n"/>
      <c r="P129" s="69" t="n"/>
      <c r="Q129" s="69" t="n"/>
      <c r="R129" s="69" t="n"/>
      <c r="S129" s="69" t="n"/>
      <c r="T129" s="69" t="n"/>
      <c r="U129" s="69" t="n"/>
      <c r="V129" s="69" t="n"/>
      <c r="W129" s="69" t="n"/>
      <c r="X129" s="69" t="n"/>
      <c r="Y129" s="69" t="n"/>
      <c r="Z129" s="69" t="n"/>
    </row>
    <row r="130">
      <c r="A130" s="69" t="n"/>
      <c r="B130" s="69" t="n"/>
      <c r="C130" s="69" t="n"/>
      <c r="D130" s="69" t="n"/>
      <c r="E130" s="69" t="n"/>
      <c r="F130" s="69" t="n"/>
      <c r="G130" s="69" t="n"/>
      <c r="H130" s="69" t="n"/>
      <c r="I130" s="69" t="n"/>
      <c r="J130" s="69" t="n"/>
      <c r="K130" s="69" t="n"/>
      <c r="L130" s="69" t="n"/>
      <c r="M130" s="69" t="n"/>
      <c r="N130" s="69" t="n"/>
      <c r="O130" s="69" t="n"/>
      <c r="P130" s="69" t="n"/>
      <c r="Q130" s="69" t="n"/>
      <c r="R130" s="69" t="n"/>
      <c r="S130" s="69" t="n"/>
      <c r="T130" s="69" t="n"/>
      <c r="U130" s="69" t="n"/>
      <c r="V130" s="69" t="n"/>
      <c r="W130" s="69" t="n"/>
      <c r="X130" s="69" t="n"/>
      <c r="Y130" s="69" t="n"/>
      <c r="Z130" s="69" t="n"/>
    </row>
    <row r="131">
      <c r="A131" s="69" t="n"/>
      <c r="B131" s="69" t="n"/>
      <c r="C131" s="69" t="n"/>
      <c r="D131" s="69" t="n"/>
      <c r="E131" s="69" t="n"/>
      <c r="F131" s="69" t="n"/>
      <c r="G131" s="69" t="n"/>
      <c r="H131" s="69" t="n"/>
      <c r="I131" s="69" t="n"/>
      <c r="J131" s="69" t="n"/>
      <c r="K131" s="69" t="n"/>
      <c r="L131" s="69" t="n"/>
      <c r="M131" s="69" t="n"/>
      <c r="N131" s="69" t="n"/>
      <c r="O131" s="69" t="n"/>
      <c r="P131" s="69" t="n"/>
      <c r="Q131" s="69" t="n"/>
      <c r="R131" s="69" t="n"/>
      <c r="S131" s="69" t="n"/>
      <c r="T131" s="69" t="n"/>
      <c r="U131" s="69" t="n"/>
      <c r="V131" s="69" t="n"/>
      <c r="W131" s="69" t="n"/>
      <c r="X131" s="69" t="n"/>
      <c r="Y131" s="69" t="n"/>
      <c r="Z131" s="69" t="n"/>
    </row>
    <row r="132">
      <c r="A132" s="69" t="n"/>
      <c r="B132" s="69" t="n"/>
      <c r="C132" s="69" t="n"/>
      <c r="D132" s="69" t="n"/>
      <c r="E132" s="69" t="n"/>
      <c r="F132" s="69" t="n"/>
      <c r="G132" s="69" t="n"/>
      <c r="H132" s="69" t="n"/>
      <c r="I132" s="69" t="n"/>
      <c r="J132" s="69" t="n"/>
      <c r="K132" s="69" t="n"/>
      <c r="L132" s="69" t="n"/>
      <c r="M132" s="69" t="n"/>
      <c r="N132" s="69" t="n"/>
      <c r="O132" s="69" t="n"/>
      <c r="P132" s="69" t="n"/>
      <c r="Q132" s="69" t="n"/>
      <c r="R132" s="69" t="n"/>
      <c r="S132" s="69" t="n"/>
      <c r="T132" s="69" t="n"/>
      <c r="U132" s="69" t="n"/>
      <c r="V132" s="69" t="n"/>
      <c r="W132" s="69" t="n"/>
      <c r="X132" s="69" t="n"/>
      <c r="Y132" s="69" t="n"/>
      <c r="Z132" s="69" t="n"/>
    </row>
    <row r="133">
      <c r="A133" s="69" t="n"/>
      <c r="B133" s="69" t="n"/>
      <c r="C133" s="69" t="n"/>
      <c r="D133" s="69" t="n"/>
      <c r="E133" s="69" t="n"/>
      <c r="F133" s="69" t="n"/>
      <c r="G133" s="69" t="n"/>
      <c r="H133" s="69" t="n"/>
      <c r="I133" s="69" t="n"/>
      <c r="J133" s="69" t="n"/>
      <c r="K133" s="69" t="n"/>
      <c r="L133" s="69" t="n"/>
      <c r="M133" s="69" t="n"/>
      <c r="N133" s="69" t="n"/>
      <c r="O133" s="69" t="n"/>
      <c r="P133" s="69" t="n"/>
      <c r="Q133" s="69" t="n"/>
      <c r="R133" s="69" t="n"/>
      <c r="S133" s="69" t="n"/>
      <c r="T133" s="69" t="n"/>
      <c r="U133" s="69" t="n"/>
      <c r="V133" s="69" t="n"/>
      <c r="W133" s="69" t="n"/>
      <c r="X133" s="69" t="n"/>
      <c r="Y133" s="69" t="n"/>
      <c r="Z133" s="69" t="n"/>
    </row>
    <row r="134">
      <c r="A134" s="69" t="n"/>
      <c r="B134" s="69" t="n"/>
      <c r="C134" s="69" t="n"/>
      <c r="D134" s="69" t="n"/>
      <c r="E134" s="69" t="n"/>
      <c r="F134" s="69" t="n"/>
      <c r="G134" s="69" t="n"/>
      <c r="H134" s="69" t="n"/>
      <c r="I134" s="69" t="n"/>
      <c r="J134" s="69" t="n"/>
      <c r="K134" s="69" t="n"/>
      <c r="L134" s="69" t="n"/>
      <c r="M134" s="69" t="n"/>
      <c r="N134" s="69" t="n"/>
      <c r="O134" s="69" t="n"/>
      <c r="P134" s="69" t="n"/>
      <c r="Q134" s="69" t="n"/>
      <c r="R134" s="69" t="n"/>
      <c r="S134" s="69" t="n"/>
      <c r="T134" s="69" t="n"/>
      <c r="U134" s="69" t="n"/>
      <c r="V134" s="69" t="n"/>
      <c r="W134" s="69" t="n"/>
      <c r="X134" s="69" t="n"/>
      <c r="Y134" s="69" t="n"/>
      <c r="Z134" s="69" t="n"/>
    </row>
    <row r="135">
      <c r="A135" s="69" t="n"/>
      <c r="B135" s="69" t="n"/>
      <c r="C135" s="69" t="n"/>
      <c r="D135" s="69" t="n"/>
      <c r="E135" s="69" t="n"/>
      <c r="F135" s="69" t="n"/>
      <c r="G135" s="69" t="n"/>
      <c r="H135" s="69" t="n"/>
      <c r="I135" s="69" t="n"/>
      <c r="J135" s="69" t="n"/>
      <c r="K135" s="69" t="n"/>
      <c r="L135" s="69" t="n"/>
      <c r="M135" s="69" t="n"/>
      <c r="N135" s="69" t="n"/>
      <c r="O135" s="69" t="n"/>
      <c r="P135" s="69" t="n"/>
      <c r="Q135" s="69" t="n"/>
      <c r="R135" s="69" t="n"/>
      <c r="S135" s="69" t="n"/>
      <c r="T135" s="69" t="n"/>
      <c r="U135" s="69" t="n"/>
      <c r="V135" s="69" t="n"/>
      <c r="W135" s="69" t="n"/>
      <c r="X135" s="69" t="n"/>
      <c r="Y135" s="69" t="n"/>
      <c r="Z135" s="69" t="n"/>
    </row>
    <row r="136">
      <c r="A136" s="69" t="n"/>
      <c r="B136" s="69" t="n"/>
      <c r="C136" s="69" t="n"/>
      <c r="D136" s="69" t="n"/>
      <c r="E136" s="69" t="n"/>
      <c r="F136" s="69" t="n"/>
      <c r="G136" s="69" t="n"/>
      <c r="H136" s="69" t="n"/>
      <c r="I136" s="69" t="n"/>
      <c r="J136" s="69" t="n"/>
      <c r="K136" s="69" t="n"/>
      <c r="L136" s="69" t="n"/>
      <c r="M136" s="69" t="n"/>
      <c r="N136" s="69" t="n"/>
      <c r="O136" s="69" t="n"/>
      <c r="P136" s="69" t="n"/>
      <c r="Q136" s="69" t="n"/>
      <c r="R136" s="69" t="n"/>
      <c r="S136" s="69" t="n"/>
      <c r="T136" s="69" t="n"/>
      <c r="U136" s="69" t="n"/>
      <c r="V136" s="69" t="n"/>
      <c r="W136" s="69" t="n"/>
      <c r="X136" s="69" t="n"/>
      <c r="Y136" s="69" t="n"/>
      <c r="Z136" s="69" t="n"/>
    </row>
    <row r="137">
      <c r="A137" s="69" t="n"/>
      <c r="B137" s="69" t="n"/>
      <c r="C137" s="69" t="n"/>
      <c r="D137" s="69" t="n"/>
      <c r="E137" s="69" t="n"/>
      <c r="F137" s="69" t="n"/>
      <c r="G137" s="69" t="n"/>
      <c r="H137" s="69" t="n"/>
      <c r="I137" s="69" t="n"/>
      <c r="J137" s="69" t="n"/>
      <c r="K137" s="69" t="n"/>
      <c r="L137" s="69" t="n"/>
      <c r="M137" s="69" t="n"/>
      <c r="N137" s="69" t="n"/>
      <c r="O137" s="69" t="n"/>
      <c r="P137" s="69" t="n"/>
      <c r="Q137" s="69" t="n"/>
      <c r="R137" s="69" t="n"/>
      <c r="S137" s="69" t="n"/>
      <c r="T137" s="69" t="n"/>
      <c r="U137" s="69" t="n"/>
      <c r="V137" s="69" t="n"/>
      <c r="W137" s="69" t="n"/>
      <c r="X137" s="69" t="n"/>
      <c r="Y137" s="69" t="n"/>
      <c r="Z137" s="69" t="n"/>
    </row>
    <row r="138">
      <c r="A138" s="69" t="n"/>
      <c r="B138" s="69" t="n"/>
      <c r="C138" s="69" t="n"/>
      <c r="D138" s="69" t="n"/>
      <c r="E138" s="69" t="n"/>
      <c r="F138" s="69" t="n"/>
      <c r="G138" s="69" t="n"/>
      <c r="H138" s="69" t="n"/>
      <c r="I138" s="69" t="n"/>
      <c r="J138" s="69" t="n"/>
      <c r="K138" s="69" t="n"/>
      <c r="L138" s="69" t="n"/>
      <c r="M138" s="69" t="n"/>
      <c r="N138" s="69" t="n"/>
      <c r="O138" s="69" t="n"/>
      <c r="P138" s="69" t="n"/>
      <c r="Q138" s="69" t="n"/>
      <c r="R138" s="69" t="n"/>
      <c r="S138" s="69" t="n"/>
      <c r="T138" s="69" t="n"/>
      <c r="U138" s="69" t="n"/>
      <c r="V138" s="69" t="n"/>
      <c r="W138" s="69" t="n"/>
      <c r="X138" s="69" t="n"/>
      <c r="Y138" s="69" t="n"/>
      <c r="Z138" s="69" t="n"/>
    </row>
    <row r="139">
      <c r="A139" s="69" t="n"/>
      <c r="B139" s="69" t="n"/>
      <c r="C139" s="69" t="n"/>
      <c r="D139" s="69" t="n"/>
      <c r="E139" s="69" t="n"/>
      <c r="F139" s="69" t="n"/>
      <c r="G139" s="69" t="n"/>
      <c r="H139" s="69" t="n"/>
      <c r="I139" s="69" t="n"/>
      <c r="J139" s="69" t="n"/>
      <c r="K139" s="69" t="n"/>
      <c r="L139" s="69" t="n"/>
      <c r="M139" s="69" t="n"/>
      <c r="N139" s="69" t="n"/>
      <c r="O139" s="69" t="n"/>
      <c r="P139" s="69" t="n"/>
      <c r="Q139" s="69" t="n"/>
      <c r="R139" s="69" t="n"/>
      <c r="S139" s="69" t="n"/>
      <c r="T139" s="69" t="n"/>
      <c r="U139" s="69" t="n"/>
      <c r="V139" s="69" t="n"/>
      <c r="W139" s="69" t="n"/>
      <c r="X139" s="69" t="n"/>
      <c r="Y139" s="69" t="n"/>
      <c r="Z139" s="69" t="n"/>
    </row>
    <row r="140">
      <c r="A140" s="69" t="n"/>
      <c r="B140" s="69" t="n"/>
      <c r="C140" s="69" t="n"/>
      <c r="D140" s="69" t="n"/>
      <c r="E140" s="69" t="n"/>
      <c r="F140" s="69" t="n"/>
      <c r="G140" s="69" t="n"/>
      <c r="H140" s="69" t="n"/>
      <c r="I140" s="69" t="n"/>
      <c r="J140" s="69" t="n"/>
      <c r="K140" s="69" t="n"/>
      <c r="L140" s="69" t="n"/>
      <c r="M140" s="69" t="n"/>
      <c r="N140" s="69" t="n"/>
      <c r="O140" s="69" t="n"/>
      <c r="P140" s="69" t="n"/>
      <c r="Q140" s="69" t="n"/>
      <c r="R140" s="69" t="n"/>
      <c r="S140" s="69" t="n"/>
      <c r="T140" s="69" t="n"/>
      <c r="U140" s="69" t="n"/>
      <c r="V140" s="69" t="n"/>
      <c r="W140" s="69" t="n"/>
      <c r="X140" s="69" t="n"/>
      <c r="Y140" s="69" t="n"/>
      <c r="Z140" s="69" t="n"/>
    </row>
    <row r="141">
      <c r="A141" s="69" t="n"/>
      <c r="B141" s="69" t="n"/>
      <c r="C141" s="69" t="n"/>
      <c r="D141" s="69" t="n"/>
      <c r="E141" s="69" t="n"/>
      <c r="F141" s="69" t="n"/>
      <c r="G141" s="69" t="n"/>
      <c r="H141" s="69" t="n"/>
      <c r="I141" s="69" t="n"/>
      <c r="J141" s="69" t="n"/>
      <c r="K141" s="69" t="n"/>
      <c r="L141" s="69" t="n"/>
      <c r="M141" s="69" t="n"/>
      <c r="N141" s="69" t="n"/>
      <c r="O141" s="69" t="n"/>
      <c r="P141" s="69" t="n"/>
      <c r="Q141" s="69" t="n"/>
      <c r="R141" s="69" t="n"/>
      <c r="S141" s="69" t="n"/>
      <c r="T141" s="69" t="n"/>
      <c r="U141" s="69" t="n"/>
      <c r="V141" s="69" t="n"/>
      <c r="W141" s="69" t="n"/>
      <c r="X141" s="69" t="n"/>
      <c r="Y141" s="69" t="n"/>
      <c r="Z141" s="69" t="n"/>
    </row>
    <row r="142">
      <c r="A142" s="69" t="n"/>
      <c r="B142" s="69" t="n"/>
      <c r="C142" s="69" t="n"/>
      <c r="D142" s="69" t="n"/>
      <c r="E142" s="69" t="n"/>
      <c r="F142" s="69" t="n"/>
      <c r="G142" s="69" t="n"/>
      <c r="H142" s="69" t="n"/>
      <c r="I142" s="69" t="n"/>
      <c r="J142" s="69" t="n"/>
      <c r="K142" s="69" t="n"/>
      <c r="L142" s="69" t="n"/>
      <c r="M142" s="69" t="n"/>
      <c r="N142" s="69" t="n"/>
      <c r="O142" s="69" t="n"/>
      <c r="P142" s="69" t="n"/>
      <c r="Q142" s="69" t="n"/>
      <c r="R142" s="69" t="n"/>
      <c r="S142" s="69" t="n"/>
      <c r="T142" s="69" t="n"/>
      <c r="U142" s="69" t="n"/>
      <c r="V142" s="69" t="n"/>
      <c r="W142" s="69" t="n"/>
      <c r="X142" s="69" t="n"/>
      <c r="Y142" s="69" t="n"/>
      <c r="Z142" s="69" t="n"/>
    </row>
    <row r="143">
      <c r="A143" s="69" t="n"/>
      <c r="B143" s="69" t="n"/>
      <c r="C143" s="69" t="n"/>
      <c r="D143" s="69" t="n"/>
      <c r="E143" s="69" t="n"/>
      <c r="F143" s="69" t="n"/>
      <c r="G143" s="69" t="n"/>
      <c r="H143" s="69" t="n"/>
      <c r="I143" s="69" t="n"/>
      <c r="J143" s="69" t="n"/>
      <c r="K143" s="69" t="n"/>
      <c r="L143" s="69" t="n"/>
      <c r="M143" s="69" t="n"/>
      <c r="N143" s="69" t="n"/>
      <c r="O143" s="69" t="n"/>
      <c r="P143" s="69" t="n"/>
      <c r="Q143" s="69" t="n"/>
      <c r="R143" s="69" t="n"/>
      <c r="S143" s="69" t="n"/>
      <c r="T143" s="69" t="n"/>
      <c r="U143" s="69" t="n"/>
      <c r="V143" s="69" t="n"/>
      <c r="W143" s="69" t="n"/>
      <c r="X143" s="69" t="n"/>
      <c r="Y143" s="69" t="n"/>
      <c r="Z143" s="69" t="n"/>
    </row>
    <row r="144">
      <c r="A144" s="69" t="n"/>
      <c r="B144" s="69" t="n"/>
      <c r="C144" s="69" t="n"/>
      <c r="D144" s="69" t="n"/>
      <c r="E144" s="69" t="n"/>
      <c r="F144" s="69" t="n"/>
      <c r="G144" s="69" t="n"/>
      <c r="H144" s="69" t="n"/>
      <c r="I144" s="69" t="n"/>
      <c r="J144" s="69" t="n"/>
      <c r="K144" s="69" t="n"/>
      <c r="L144" s="69" t="n"/>
      <c r="M144" s="69" t="n"/>
      <c r="N144" s="69" t="n"/>
      <c r="O144" s="69" t="n"/>
      <c r="P144" s="69" t="n"/>
      <c r="Q144" s="69" t="n"/>
      <c r="R144" s="69" t="n"/>
      <c r="S144" s="69" t="n"/>
      <c r="T144" s="69" t="n"/>
      <c r="U144" s="69" t="n"/>
      <c r="V144" s="69" t="n"/>
      <c r="W144" s="69" t="n"/>
      <c r="X144" s="69" t="n"/>
      <c r="Y144" s="69" t="n"/>
      <c r="Z144" s="69" t="n"/>
    </row>
    <row r="145">
      <c r="A145" s="69" t="n"/>
      <c r="B145" s="69" t="n"/>
      <c r="C145" s="69" t="n"/>
      <c r="D145" s="69" t="n"/>
      <c r="E145" s="69" t="n"/>
      <c r="F145" s="69" t="n"/>
      <c r="G145" s="69" t="n"/>
      <c r="H145" s="69" t="n"/>
      <c r="I145" s="69" t="n"/>
      <c r="J145" s="69" t="n"/>
      <c r="K145" s="69" t="n"/>
      <c r="L145" s="69" t="n"/>
      <c r="M145" s="69" t="n"/>
      <c r="N145" s="69" t="n"/>
      <c r="O145" s="69" t="n"/>
      <c r="P145" s="69" t="n"/>
      <c r="Q145" s="69" t="n"/>
      <c r="R145" s="69" t="n"/>
      <c r="S145" s="69" t="n"/>
      <c r="T145" s="69" t="n"/>
      <c r="U145" s="69" t="n"/>
      <c r="V145" s="69" t="n"/>
      <c r="W145" s="69" t="n"/>
      <c r="X145" s="69" t="n"/>
      <c r="Y145" s="69" t="n"/>
      <c r="Z145" s="69" t="n"/>
    </row>
    <row r="146">
      <c r="A146" s="69" t="n"/>
      <c r="B146" s="69" t="n"/>
      <c r="C146" s="69" t="n"/>
      <c r="D146" s="69" t="n"/>
      <c r="E146" s="69" t="n"/>
      <c r="F146" s="69" t="n"/>
      <c r="G146" s="69" t="n"/>
      <c r="H146" s="69" t="n"/>
      <c r="I146" s="69" t="n"/>
      <c r="J146" s="69" t="n"/>
      <c r="K146" s="69" t="n"/>
      <c r="L146" s="69" t="n"/>
      <c r="M146" s="69" t="n"/>
      <c r="N146" s="69" t="n"/>
      <c r="O146" s="69" t="n"/>
      <c r="P146" s="69" t="n"/>
      <c r="Q146" s="69" t="n"/>
      <c r="R146" s="69" t="n"/>
      <c r="S146" s="69" t="n"/>
      <c r="T146" s="69" t="n"/>
      <c r="U146" s="69" t="n"/>
      <c r="V146" s="69" t="n"/>
      <c r="W146" s="69" t="n"/>
      <c r="X146" s="69" t="n"/>
      <c r="Y146" s="69" t="n"/>
      <c r="Z146" s="69" t="n"/>
    </row>
    <row r="147">
      <c r="A147" s="69" t="n"/>
      <c r="B147" s="69" t="n"/>
      <c r="C147" s="69" t="n"/>
      <c r="D147" s="69" t="n"/>
      <c r="E147" s="69" t="n"/>
      <c r="F147" s="69" t="n"/>
      <c r="G147" s="69" t="n"/>
      <c r="H147" s="69" t="n"/>
      <c r="I147" s="69" t="n"/>
      <c r="J147" s="69" t="n"/>
      <c r="K147" s="69" t="n"/>
      <c r="L147" s="69" t="n"/>
      <c r="M147" s="69" t="n"/>
      <c r="N147" s="69" t="n"/>
      <c r="O147" s="69" t="n"/>
      <c r="P147" s="69" t="n"/>
      <c r="Q147" s="69" t="n"/>
      <c r="R147" s="69" t="n"/>
      <c r="S147" s="69" t="n"/>
      <c r="T147" s="69" t="n"/>
      <c r="U147" s="69" t="n"/>
      <c r="V147" s="69" t="n"/>
      <c r="W147" s="69" t="n"/>
      <c r="X147" s="69" t="n"/>
      <c r="Y147" s="69" t="n"/>
      <c r="Z147" s="69" t="n"/>
    </row>
    <row r="148">
      <c r="A148" s="69" t="n"/>
      <c r="B148" s="69" t="n"/>
      <c r="C148" s="69" t="n"/>
      <c r="D148" s="69" t="n"/>
      <c r="E148" s="69" t="n"/>
      <c r="F148" s="69" t="n"/>
      <c r="G148" s="69" t="n"/>
      <c r="H148" s="69" t="n"/>
      <c r="I148" s="69" t="n"/>
      <c r="J148" s="69" t="n"/>
      <c r="K148" s="69" t="n"/>
      <c r="L148" s="69" t="n"/>
      <c r="M148" s="69" t="n"/>
      <c r="N148" s="69" t="n"/>
      <c r="O148" s="69" t="n"/>
      <c r="P148" s="69" t="n"/>
      <c r="Q148" s="69" t="n"/>
      <c r="R148" s="69" t="n"/>
      <c r="S148" s="69" t="n"/>
      <c r="T148" s="69" t="n"/>
      <c r="U148" s="69" t="n"/>
      <c r="V148" s="69" t="n"/>
      <c r="W148" s="69" t="n"/>
      <c r="X148" s="69" t="n"/>
      <c r="Y148" s="69" t="n"/>
      <c r="Z148" s="69" t="n"/>
    </row>
    <row r="149">
      <c r="A149" s="69" t="n"/>
      <c r="B149" s="69" t="n"/>
      <c r="C149" s="69" t="n"/>
      <c r="D149" s="69" t="n"/>
      <c r="E149" s="69" t="n"/>
      <c r="F149" s="69" t="n"/>
      <c r="G149" s="69" t="n"/>
      <c r="H149" s="69" t="n"/>
      <c r="I149" s="69" t="n"/>
      <c r="J149" s="69" t="n"/>
      <c r="K149" s="69" t="n"/>
      <c r="L149" s="69" t="n"/>
      <c r="M149" s="69" t="n"/>
      <c r="N149" s="69" t="n"/>
      <c r="O149" s="69" t="n"/>
      <c r="P149" s="69" t="n"/>
      <c r="Q149" s="69" t="n"/>
      <c r="R149" s="69" t="n"/>
      <c r="S149" s="69" t="n"/>
      <c r="T149" s="69" t="n"/>
      <c r="U149" s="69" t="n"/>
      <c r="V149" s="69" t="n"/>
      <c r="W149" s="69" t="n"/>
      <c r="X149" s="69" t="n"/>
      <c r="Y149" s="69" t="n"/>
      <c r="Z149" s="69" t="n"/>
    </row>
    <row r="150">
      <c r="A150" s="69" t="n"/>
      <c r="B150" s="69" t="n"/>
      <c r="C150" s="69" t="n"/>
      <c r="D150" s="69" t="n"/>
      <c r="E150" s="69" t="n"/>
      <c r="F150" s="69" t="n"/>
      <c r="G150" s="69" t="n"/>
      <c r="H150" s="69" t="n"/>
      <c r="I150" s="69" t="n"/>
      <c r="J150" s="69" t="n"/>
      <c r="K150" s="69" t="n"/>
      <c r="L150" s="69" t="n"/>
      <c r="M150" s="69" t="n"/>
      <c r="N150" s="69" t="n"/>
      <c r="O150" s="69" t="n"/>
      <c r="P150" s="69" t="n"/>
      <c r="Q150" s="69" t="n"/>
      <c r="R150" s="69" t="n"/>
      <c r="S150" s="69" t="n"/>
      <c r="T150" s="69" t="n"/>
      <c r="U150" s="69" t="n"/>
      <c r="V150" s="69" t="n"/>
      <c r="W150" s="69" t="n"/>
      <c r="X150" s="69" t="n"/>
      <c r="Y150" s="69" t="n"/>
      <c r="Z150" s="69" t="n"/>
    </row>
    <row r="151">
      <c r="A151" s="69" t="n"/>
      <c r="B151" s="69" t="n"/>
      <c r="C151" s="69" t="n"/>
      <c r="D151" s="69" t="n"/>
      <c r="E151" s="69" t="n"/>
      <c r="F151" s="69" t="n"/>
      <c r="G151" s="69" t="n"/>
      <c r="H151" s="69" t="n"/>
      <c r="I151" s="69" t="n"/>
      <c r="J151" s="69" t="n"/>
      <c r="K151" s="69" t="n"/>
      <c r="L151" s="69" t="n"/>
      <c r="M151" s="69" t="n"/>
      <c r="N151" s="69" t="n"/>
      <c r="O151" s="69" t="n"/>
      <c r="P151" s="69" t="n"/>
      <c r="Q151" s="69" t="n"/>
      <c r="R151" s="69" t="n"/>
      <c r="S151" s="69" t="n"/>
      <c r="T151" s="69" t="n"/>
      <c r="U151" s="69" t="n"/>
      <c r="V151" s="69" t="n"/>
      <c r="W151" s="69" t="n"/>
      <c r="X151" s="69" t="n"/>
      <c r="Y151" s="69" t="n"/>
      <c r="Z151" s="69" t="n"/>
    </row>
    <row r="152">
      <c r="A152" s="69" t="n"/>
      <c r="B152" s="69" t="n"/>
      <c r="C152" s="69" t="n"/>
      <c r="D152" s="69" t="n"/>
      <c r="E152" s="69" t="n"/>
      <c r="F152" s="69" t="n"/>
      <c r="G152" s="69" t="n"/>
      <c r="H152" s="69" t="n"/>
      <c r="I152" s="69" t="n"/>
      <c r="J152" s="69" t="n"/>
      <c r="K152" s="69" t="n"/>
      <c r="L152" s="69" t="n"/>
      <c r="M152" s="69" t="n"/>
      <c r="N152" s="69" t="n"/>
      <c r="O152" s="69" t="n"/>
      <c r="P152" s="69" t="n"/>
      <c r="Q152" s="69" t="n"/>
      <c r="R152" s="69" t="n"/>
      <c r="S152" s="69" t="n"/>
      <c r="T152" s="69" t="n"/>
      <c r="U152" s="69" t="n"/>
      <c r="V152" s="69" t="n"/>
      <c r="W152" s="69" t="n"/>
      <c r="X152" s="69" t="n"/>
      <c r="Y152" s="69" t="n"/>
      <c r="Z152" s="69" t="n"/>
    </row>
    <row r="153">
      <c r="A153" s="69" t="n"/>
      <c r="B153" s="69" t="n"/>
      <c r="C153" s="69" t="n"/>
      <c r="D153" s="69" t="n"/>
      <c r="E153" s="69" t="n"/>
      <c r="F153" s="69" t="n"/>
      <c r="G153" s="69" t="n"/>
      <c r="H153" s="69" t="n"/>
      <c r="I153" s="69" t="n"/>
      <c r="J153" s="69" t="n"/>
      <c r="K153" s="69" t="n"/>
      <c r="L153" s="69" t="n"/>
      <c r="M153" s="69" t="n"/>
      <c r="N153" s="69" t="n"/>
      <c r="O153" s="69" t="n"/>
      <c r="P153" s="69" t="n"/>
      <c r="Q153" s="69" t="n"/>
      <c r="R153" s="69" t="n"/>
      <c r="S153" s="69" t="n"/>
      <c r="T153" s="69" t="n"/>
      <c r="U153" s="69" t="n"/>
      <c r="V153" s="69" t="n"/>
      <c r="W153" s="69" t="n"/>
      <c r="X153" s="69" t="n"/>
      <c r="Y153" s="69" t="n"/>
      <c r="Z153" s="69" t="n"/>
    </row>
    <row r="154">
      <c r="A154" s="69" t="n"/>
      <c r="B154" s="69" t="n"/>
      <c r="C154" s="69" t="n"/>
      <c r="D154" s="69" t="n"/>
      <c r="E154" s="69" t="n"/>
      <c r="F154" s="69" t="n"/>
      <c r="G154" s="69" t="n"/>
      <c r="H154" s="69" t="n"/>
      <c r="I154" s="69" t="n"/>
      <c r="J154" s="69" t="n"/>
      <c r="K154" s="69" t="n"/>
      <c r="L154" s="69" t="n"/>
      <c r="M154" s="69" t="n"/>
      <c r="N154" s="69" t="n"/>
      <c r="O154" s="69" t="n"/>
      <c r="P154" s="69" t="n"/>
      <c r="Q154" s="69" t="n"/>
      <c r="R154" s="69" t="n"/>
      <c r="S154" s="69" t="n"/>
      <c r="T154" s="69" t="n"/>
      <c r="U154" s="69" t="n"/>
      <c r="V154" s="69" t="n"/>
      <c r="W154" s="69" t="n"/>
      <c r="X154" s="69" t="n"/>
      <c r="Y154" s="69" t="n"/>
      <c r="Z154" s="69" t="n"/>
    </row>
    <row r="155">
      <c r="A155" s="69" t="n"/>
      <c r="B155" s="69" t="n"/>
      <c r="C155" s="69" t="n"/>
      <c r="D155" s="69" t="n"/>
      <c r="E155" s="69" t="n"/>
      <c r="F155" s="69" t="n"/>
      <c r="G155" s="69" t="n"/>
      <c r="H155" s="69" t="n"/>
      <c r="I155" s="69" t="n"/>
      <c r="J155" s="69" t="n"/>
      <c r="K155" s="69" t="n"/>
      <c r="L155" s="69" t="n"/>
      <c r="M155" s="69" t="n"/>
      <c r="N155" s="69" t="n"/>
      <c r="O155" s="69" t="n"/>
      <c r="P155" s="69" t="n"/>
      <c r="Q155" s="69" t="n"/>
      <c r="R155" s="69" t="n"/>
      <c r="S155" s="69" t="n"/>
      <c r="T155" s="69" t="n"/>
      <c r="U155" s="69" t="n"/>
      <c r="V155" s="69" t="n"/>
      <c r="W155" s="69" t="n"/>
      <c r="X155" s="69" t="n"/>
      <c r="Y155" s="69" t="n"/>
      <c r="Z155" s="69" t="n"/>
    </row>
    <row r="156">
      <c r="A156" s="69" t="n"/>
      <c r="B156" s="69" t="n"/>
      <c r="C156" s="69" t="n"/>
      <c r="D156" s="69" t="n"/>
      <c r="E156" s="69" t="n"/>
      <c r="F156" s="69" t="n"/>
      <c r="G156" s="69" t="n"/>
      <c r="H156" s="69" t="n"/>
      <c r="I156" s="69" t="n"/>
      <c r="J156" s="69" t="n"/>
      <c r="K156" s="69" t="n"/>
      <c r="L156" s="69" t="n"/>
      <c r="M156" s="69" t="n"/>
      <c r="N156" s="69" t="n"/>
      <c r="O156" s="69" t="n"/>
      <c r="P156" s="69" t="n"/>
      <c r="Q156" s="69" t="n"/>
      <c r="R156" s="69" t="n"/>
      <c r="S156" s="69" t="n"/>
      <c r="T156" s="69" t="n"/>
      <c r="U156" s="69" t="n"/>
      <c r="V156" s="69" t="n"/>
      <c r="W156" s="69" t="n"/>
      <c r="X156" s="69" t="n"/>
      <c r="Y156" s="69" t="n"/>
      <c r="Z156" s="69" t="n"/>
    </row>
    <row r="157">
      <c r="A157" s="69" t="n"/>
      <c r="B157" s="69" t="n"/>
      <c r="C157" s="69" t="n"/>
      <c r="D157" s="69" t="n"/>
      <c r="E157" s="69" t="n"/>
      <c r="F157" s="69" t="n"/>
      <c r="G157" s="69" t="n"/>
      <c r="H157" s="69" t="n"/>
      <c r="I157" s="69" t="n"/>
      <c r="J157" s="69" t="n"/>
      <c r="K157" s="69" t="n"/>
      <c r="L157" s="69" t="n"/>
      <c r="M157" s="69" t="n"/>
      <c r="N157" s="69" t="n"/>
      <c r="O157" s="69" t="n"/>
      <c r="P157" s="69" t="n"/>
      <c r="Q157" s="69" t="n"/>
      <c r="R157" s="69" t="n"/>
      <c r="S157" s="69" t="n"/>
      <c r="T157" s="69" t="n"/>
      <c r="U157" s="69" t="n"/>
      <c r="V157" s="69" t="n"/>
      <c r="W157" s="69" t="n"/>
      <c r="X157" s="69" t="n"/>
      <c r="Y157" s="69" t="n"/>
      <c r="Z157" s="69" t="n"/>
    </row>
    <row r="158">
      <c r="A158" s="69" t="n"/>
      <c r="B158" s="69" t="n"/>
      <c r="C158" s="69" t="n"/>
      <c r="D158" s="69" t="n"/>
      <c r="E158" s="69" t="n"/>
      <c r="F158" s="69" t="n"/>
      <c r="G158" s="69" t="n"/>
      <c r="H158" s="69" t="n"/>
      <c r="I158" s="69" t="n"/>
      <c r="J158" s="69" t="n"/>
      <c r="K158" s="69" t="n"/>
      <c r="L158" s="69" t="n"/>
      <c r="M158" s="69" t="n"/>
      <c r="N158" s="69" t="n"/>
      <c r="O158" s="69" t="n"/>
      <c r="P158" s="69" t="n"/>
      <c r="Q158" s="69" t="n"/>
      <c r="R158" s="69" t="n"/>
      <c r="S158" s="69" t="n"/>
      <c r="T158" s="69" t="n"/>
      <c r="U158" s="69" t="n"/>
      <c r="V158" s="69" t="n"/>
      <c r="W158" s="69" t="n"/>
      <c r="X158" s="69" t="n"/>
      <c r="Y158" s="69" t="n"/>
      <c r="Z158" s="69" t="n"/>
    </row>
    <row r="159">
      <c r="A159" s="69" t="n"/>
      <c r="B159" s="69" t="n"/>
      <c r="C159" s="69" t="n"/>
      <c r="D159" s="69" t="n"/>
      <c r="E159" s="69" t="n"/>
      <c r="F159" s="69" t="n"/>
      <c r="G159" s="69" t="n"/>
      <c r="H159" s="69" t="n"/>
      <c r="I159" s="69" t="n"/>
      <c r="J159" s="69" t="n"/>
      <c r="K159" s="69" t="n"/>
      <c r="L159" s="69" t="n"/>
      <c r="M159" s="69" t="n"/>
      <c r="N159" s="69" t="n"/>
      <c r="O159" s="69" t="n"/>
      <c r="P159" s="69" t="n"/>
      <c r="Q159" s="69" t="n"/>
      <c r="R159" s="69" t="n"/>
      <c r="S159" s="69" t="n"/>
      <c r="T159" s="69" t="n"/>
      <c r="U159" s="69" t="n"/>
      <c r="V159" s="69" t="n"/>
      <c r="W159" s="69" t="n"/>
      <c r="X159" s="69" t="n"/>
      <c r="Y159" s="69" t="n"/>
      <c r="Z159" s="69" t="n"/>
    </row>
    <row r="160">
      <c r="A160" s="69" t="n"/>
      <c r="B160" s="69" t="n"/>
      <c r="C160" s="69" t="n"/>
      <c r="D160" s="69" t="n"/>
      <c r="E160" s="69" t="n"/>
      <c r="F160" s="69" t="n"/>
      <c r="G160" s="69" t="n"/>
      <c r="H160" s="69" t="n"/>
      <c r="I160" s="69" t="n"/>
      <c r="J160" s="69" t="n"/>
      <c r="K160" s="69" t="n"/>
      <c r="L160" s="69" t="n"/>
      <c r="M160" s="69" t="n"/>
      <c r="N160" s="69" t="n"/>
      <c r="O160" s="69" t="n"/>
      <c r="P160" s="69" t="n"/>
      <c r="Q160" s="69" t="n"/>
      <c r="R160" s="69" t="n"/>
      <c r="S160" s="69" t="n"/>
      <c r="T160" s="69" t="n"/>
      <c r="U160" s="69" t="n"/>
      <c r="V160" s="69" t="n"/>
      <c r="W160" s="69" t="n"/>
      <c r="X160" s="69" t="n"/>
      <c r="Y160" s="69" t="n"/>
      <c r="Z160" s="69" t="n"/>
    </row>
    <row r="161">
      <c r="A161" s="69" t="n"/>
      <c r="B161" s="69" t="n"/>
      <c r="C161" s="69" t="n"/>
      <c r="D161" s="69" t="n"/>
      <c r="E161" s="69" t="n"/>
      <c r="F161" s="69" t="n"/>
      <c r="G161" s="69" t="n"/>
      <c r="H161" s="69" t="n"/>
      <c r="I161" s="69" t="n"/>
      <c r="J161" s="69" t="n"/>
      <c r="K161" s="69" t="n"/>
      <c r="L161" s="69" t="n"/>
      <c r="M161" s="69" t="n"/>
      <c r="N161" s="69" t="n"/>
      <c r="O161" s="69" t="n"/>
      <c r="P161" s="69" t="n"/>
      <c r="Q161" s="69" t="n"/>
      <c r="R161" s="69" t="n"/>
      <c r="S161" s="69" t="n"/>
      <c r="T161" s="69" t="n"/>
      <c r="U161" s="69" t="n"/>
      <c r="V161" s="69" t="n"/>
      <c r="W161" s="69" t="n"/>
      <c r="X161" s="69" t="n"/>
      <c r="Y161" s="69" t="n"/>
      <c r="Z161" s="69" t="n"/>
    </row>
    <row r="162">
      <c r="A162" s="69" t="n"/>
      <c r="B162" s="69" t="n"/>
      <c r="C162" s="69" t="n"/>
      <c r="D162" s="69" t="n"/>
      <c r="E162" s="69" t="n"/>
      <c r="F162" s="69" t="n"/>
      <c r="G162" s="69" t="n"/>
      <c r="H162" s="69" t="n"/>
      <c r="I162" s="69" t="n"/>
      <c r="J162" s="69" t="n"/>
      <c r="K162" s="69" t="n"/>
      <c r="L162" s="69" t="n"/>
      <c r="M162" s="69" t="n"/>
      <c r="N162" s="69" t="n"/>
      <c r="O162" s="69" t="n"/>
      <c r="P162" s="69" t="n"/>
      <c r="Q162" s="69" t="n"/>
      <c r="R162" s="69" t="n"/>
      <c r="S162" s="69" t="n"/>
      <c r="T162" s="69" t="n"/>
      <c r="U162" s="69" t="n"/>
      <c r="V162" s="69" t="n"/>
      <c r="W162" s="69" t="n"/>
      <c r="X162" s="69" t="n"/>
      <c r="Y162" s="69" t="n"/>
      <c r="Z162" s="69" t="n"/>
    </row>
    <row r="163">
      <c r="A163" s="69" t="n"/>
      <c r="B163" s="69" t="n"/>
      <c r="C163" s="69" t="n"/>
      <c r="D163" s="69" t="n"/>
      <c r="E163" s="69" t="n"/>
      <c r="F163" s="69" t="n"/>
      <c r="G163" s="69" t="n"/>
      <c r="H163" s="69" t="n"/>
      <c r="I163" s="69" t="n"/>
      <c r="J163" s="69" t="n"/>
      <c r="K163" s="69" t="n"/>
      <c r="L163" s="69" t="n"/>
      <c r="M163" s="69" t="n"/>
      <c r="N163" s="69" t="n"/>
      <c r="O163" s="69" t="n"/>
      <c r="P163" s="69" t="n"/>
      <c r="Q163" s="69" t="n"/>
      <c r="R163" s="69" t="n"/>
      <c r="S163" s="69" t="n"/>
      <c r="T163" s="69" t="n"/>
      <c r="U163" s="69" t="n"/>
      <c r="V163" s="69" t="n"/>
      <c r="W163" s="69" t="n"/>
      <c r="X163" s="69" t="n"/>
      <c r="Y163" s="69" t="n"/>
      <c r="Z163" s="69" t="n"/>
    </row>
    <row r="164">
      <c r="A164" s="69" t="n"/>
      <c r="B164" s="69" t="n"/>
      <c r="C164" s="69" t="n"/>
      <c r="D164" s="69" t="n"/>
      <c r="E164" s="69" t="n"/>
      <c r="F164" s="69" t="n"/>
      <c r="G164" s="69" t="n"/>
      <c r="H164" s="69" t="n"/>
      <c r="I164" s="69" t="n"/>
      <c r="J164" s="69" t="n"/>
      <c r="K164" s="69" t="n"/>
      <c r="L164" s="69" t="n"/>
      <c r="M164" s="69" t="n"/>
      <c r="N164" s="69" t="n"/>
      <c r="O164" s="69" t="n"/>
      <c r="P164" s="69" t="n"/>
      <c r="Q164" s="69" t="n"/>
      <c r="R164" s="69" t="n"/>
      <c r="S164" s="69" t="n"/>
      <c r="T164" s="69" t="n"/>
      <c r="U164" s="69" t="n"/>
      <c r="V164" s="69" t="n"/>
      <c r="W164" s="69" t="n"/>
      <c r="X164" s="69" t="n"/>
      <c r="Y164" s="69" t="n"/>
      <c r="Z164" s="69" t="n"/>
    </row>
    <row r="165">
      <c r="A165" s="69" t="n"/>
      <c r="B165" s="69" t="n"/>
      <c r="C165" s="69" t="n"/>
      <c r="D165" s="69" t="n"/>
      <c r="E165" s="69" t="n"/>
      <c r="F165" s="69" t="n"/>
      <c r="G165" s="69" t="n"/>
      <c r="H165" s="69" t="n"/>
      <c r="I165" s="69" t="n"/>
      <c r="J165" s="69" t="n"/>
      <c r="K165" s="69" t="n"/>
      <c r="L165" s="69" t="n"/>
      <c r="M165" s="69" t="n"/>
      <c r="N165" s="69" t="n"/>
      <c r="O165" s="69" t="n"/>
      <c r="P165" s="69" t="n"/>
      <c r="Q165" s="69" t="n"/>
      <c r="R165" s="69" t="n"/>
      <c r="S165" s="69" t="n"/>
      <c r="T165" s="69" t="n"/>
      <c r="U165" s="69" t="n"/>
      <c r="V165" s="69" t="n"/>
      <c r="W165" s="69" t="n"/>
      <c r="X165" s="69" t="n"/>
      <c r="Y165" s="69" t="n"/>
      <c r="Z165" s="69" t="n"/>
    </row>
    <row r="166">
      <c r="A166" s="69" t="n"/>
      <c r="B166" s="69" t="n"/>
      <c r="C166" s="69" t="n"/>
      <c r="D166" s="69" t="n"/>
      <c r="E166" s="69" t="n"/>
      <c r="F166" s="69" t="n"/>
      <c r="G166" s="69" t="n"/>
      <c r="H166" s="69" t="n"/>
      <c r="I166" s="69" t="n"/>
      <c r="J166" s="69" t="n"/>
      <c r="K166" s="69" t="n"/>
      <c r="L166" s="69" t="n"/>
      <c r="M166" s="69" t="n"/>
      <c r="N166" s="69" t="n"/>
      <c r="O166" s="69" t="n"/>
      <c r="P166" s="69" t="n"/>
      <c r="Q166" s="69" t="n"/>
      <c r="R166" s="69" t="n"/>
      <c r="S166" s="69" t="n"/>
      <c r="T166" s="69" t="n"/>
      <c r="U166" s="69" t="n"/>
      <c r="V166" s="69" t="n"/>
      <c r="W166" s="69" t="n"/>
      <c r="X166" s="69" t="n"/>
      <c r="Y166" s="69" t="n"/>
      <c r="Z166" s="69" t="n"/>
    </row>
    <row r="167">
      <c r="A167" s="69" t="n"/>
      <c r="B167" s="69" t="n"/>
      <c r="C167" s="69" t="n"/>
      <c r="D167" s="69" t="n"/>
      <c r="E167" s="69" t="n"/>
      <c r="F167" s="69" t="n"/>
      <c r="G167" s="69" t="n"/>
      <c r="H167" s="69" t="n"/>
      <c r="I167" s="69" t="n"/>
      <c r="J167" s="69" t="n"/>
      <c r="K167" s="69" t="n"/>
      <c r="L167" s="69" t="n"/>
      <c r="M167" s="69" t="n"/>
      <c r="N167" s="69" t="n"/>
      <c r="O167" s="69" t="n"/>
      <c r="P167" s="69" t="n"/>
      <c r="Q167" s="69" t="n"/>
      <c r="R167" s="69" t="n"/>
      <c r="S167" s="69" t="n"/>
      <c r="T167" s="69" t="n"/>
      <c r="U167" s="69" t="n"/>
      <c r="V167" s="69" t="n"/>
      <c r="W167" s="69" t="n"/>
      <c r="X167" s="69" t="n"/>
      <c r="Y167" s="69" t="n"/>
      <c r="Z167" s="69" t="n"/>
    </row>
    <row r="168">
      <c r="A168" s="69" t="n"/>
      <c r="B168" s="69" t="n"/>
      <c r="C168" s="69" t="n"/>
      <c r="D168" s="69" t="n"/>
      <c r="E168" s="69" t="n"/>
      <c r="F168" s="69" t="n"/>
      <c r="G168" s="69" t="n"/>
      <c r="H168" s="69" t="n"/>
      <c r="I168" s="69" t="n"/>
      <c r="J168" s="69" t="n"/>
      <c r="K168" s="69" t="n"/>
      <c r="L168" s="69" t="n"/>
      <c r="M168" s="69" t="n"/>
      <c r="N168" s="69" t="n"/>
      <c r="O168" s="69" t="n"/>
      <c r="P168" s="69" t="n"/>
      <c r="Q168" s="69" t="n"/>
      <c r="R168" s="69" t="n"/>
      <c r="S168" s="69" t="n"/>
      <c r="T168" s="69" t="n"/>
      <c r="U168" s="69" t="n"/>
      <c r="V168" s="69" t="n"/>
      <c r="W168" s="69" t="n"/>
      <c r="X168" s="69" t="n"/>
      <c r="Y168" s="69" t="n"/>
      <c r="Z168" s="69" t="n"/>
    </row>
    <row r="169">
      <c r="A169" s="69" t="n"/>
      <c r="B169" s="69" t="n"/>
      <c r="C169" s="69" t="n"/>
      <c r="D169" s="69" t="n"/>
      <c r="E169" s="69" t="n"/>
      <c r="F169" s="69" t="n"/>
      <c r="G169" s="69" t="n"/>
      <c r="H169" s="69" t="n"/>
      <c r="I169" s="69" t="n"/>
      <c r="J169" s="69" t="n"/>
      <c r="K169" s="69" t="n"/>
      <c r="L169" s="69" t="n"/>
      <c r="M169" s="69" t="n"/>
      <c r="N169" s="69" t="n"/>
      <c r="O169" s="69" t="n"/>
      <c r="P169" s="69" t="n"/>
      <c r="Q169" s="69" t="n"/>
      <c r="R169" s="69" t="n"/>
      <c r="S169" s="69" t="n"/>
      <c r="T169" s="69" t="n"/>
      <c r="U169" s="69" t="n"/>
      <c r="V169" s="69" t="n"/>
      <c r="W169" s="69" t="n"/>
      <c r="X169" s="69" t="n"/>
      <c r="Y169" s="69" t="n"/>
      <c r="Z169" s="69" t="n"/>
    </row>
    <row r="170">
      <c r="A170" s="69" t="n"/>
      <c r="B170" s="69" t="n"/>
      <c r="C170" s="69" t="n"/>
      <c r="D170" s="69" t="n"/>
      <c r="E170" s="69" t="n"/>
      <c r="F170" s="69" t="n"/>
      <c r="G170" s="69" t="n"/>
      <c r="H170" s="69" t="n"/>
      <c r="I170" s="69" t="n"/>
      <c r="J170" s="69" t="n"/>
      <c r="K170" s="69" t="n"/>
      <c r="L170" s="69" t="n"/>
      <c r="M170" s="69" t="n"/>
      <c r="N170" s="69" t="n"/>
      <c r="O170" s="69" t="n"/>
      <c r="P170" s="69" t="n"/>
      <c r="Q170" s="69" t="n"/>
      <c r="R170" s="69" t="n"/>
      <c r="S170" s="69" t="n"/>
      <c r="T170" s="69" t="n"/>
      <c r="U170" s="69" t="n"/>
      <c r="V170" s="69" t="n"/>
      <c r="W170" s="69" t="n"/>
      <c r="X170" s="69" t="n"/>
      <c r="Y170" s="69" t="n"/>
      <c r="Z170" s="69" t="n"/>
    </row>
    <row r="171">
      <c r="A171" s="69" t="n"/>
      <c r="B171" s="69" t="n"/>
      <c r="C171" s="69" t="n"/>
      <c r="D171" s="69" t="n"/>
      <c r="E171" s="69" t="n"/>
      <c r="F171" s="69" t="n"/>
      <c r="G171" s="69" t="n"/>
      <c r="H171" s="69" t="n"/>
      <c r="I171" s="69" t="n"/>
      <c r="J171" s="69" t="n"/>
      <c r="K171" s="69" t="n"/>
      <c r="L171" s="69" t="n"/>
      <c r="M171" s="69" t="n"/>
      <c r="N171" s="69" t="n"/>
      <c r="O171" s="69" t="n"/>
      <c r="P171" s="69" t="n"/>
      <c r="Q171" s="69" t="n"/>
      <c r="R171" s="69" t="n"/>
      <c r="S171" s="69" t="n"/>
      <c r="T171" s="69" t="n"/>
      <c r="U171" s="69" t="n"/>
      <c r="V171" s="69" t="n"/>
      <c r="W171" s="69" t="n"/>
      <c r="X171" s="69" t="n"/>
      <c r="Y171" s="69" t="n"/>
      <c r="Z171" s="69" t="n"/>
    </row>
    <row r="172">
      <c r="A172" s="69" t="n"/>
      <c r="B172" s="69" t="n"/>
      <c r="C172" s="69" t="n"/>
      <c r="D172" s="69" t="n"/>
      <c r="E172" s="69" t="n"/>
      <c r="F172" s="69" t="n"/>
      <c r="G172" s="69" t="n"/>
      <c r="H172" s="69" t="n"/>
      <c r="I172" s="69" t="n"/>
      <c r="J172" s="69" t="n"/>
      <c r="K172" s="69" t="n"/>
      <c r="L172" s="69" t="n"/>
      <c r="M172" s="69" t="n"/>
      <c r="N172" s="69" t="n"/>
      <c r="O172" s="69" t="n"/>
      <c r="P172" s="69" t="n"/>
      <c r="Q172" s="69" t="n"/>
      <c r="R172" s="69" t="n"/>
      <c r="S172" s="69" t="n"/>
      <c r="T172" s="69" t="n"/>
      <c r="U172" s="69" t="n"/>
      <c r="V172" s="69" t="n"/>
      <c r="W172" s="69" t="n"/>
      <c r="X172" s="69" t="n"/>
      <c r="Y172" s="69" t="n"/>
      <c r="Z172" s="69" t="n"/>
    </row>
    <row r="173">
      <c r="A173" s="69" t="n"/>
      <c r="B173" s="69" t="n"/>
      <c r="C173" s="69" t="n"/>
      <c r="D173" s="69" t="n"/>
      <c r="E173" s="69" t="n"/>
      <c r="F173" s="69" t="n"/>
      <c r="G173" s="69" t="n"/>
      <c r="H173" s="69" t="n"/>
      <c r="I173" s="69" t="n"/>
      <c r="J173" s="69" t="n"/>
      <c r="K173" s="69" t="n"/>
      <c r="L173" s="69" t="n"/>
      <c r="M173" s="69" t="n"/>
      <c r="N173" s="69" t="n"/>
      <c r="O173" s="69" t="n"/>
      <c r="P173" s="69" t="n"/>
      <c r="Q173" s="69" t="n"/>
      <c r="R173" s="69" t="n"/>
      <c r="S173" s="69" t="n"/>
      <c r="T173" s="69" t="n"/>
      <c r="U173" s="69" t="n"/>
      <c r="V173" s="69" t="n"/>
      <c r="W173" s="69" t="n"/>
      <c r="X173" s="69" t="n"/>
      <c r="Y173" s="69" t="n"/>
      <c r="Z173" s="69" t="n"/>
    </row>
    <row r="174">
      <c r="A174" s="69" t="n"/>
      <c r="B174" s="69" t="n"/>
      <c r="C174" s="69" t="n"/>
      <c r="D174" s="69" t="n"/>
      <c r="E174" s="69" t="n"/>
      <c r="F174" s="69" t="n"/>
      <c r="G174" s="69" t="n"/>
      <c r="H174" s="69" t="n"/>
      <c r="I174" s="69" t="n"/>
      <c r="J174" s="69" t="n"/>
      <c r="K174" s="69" t="n"/>
      <c r="L174" s="69" t="n"/>
      <c r="M174" s="69" t="n"/>
      <c r="N174" s="69" t="n"/>
      <c r="O174" s="69" t="n"/>
      <c r="P174" s="69" t="n"/>
      <c r="Q174" s="69" t="n"/>
      <c r="R174" s="69" t="n"/>
      <c r="S174" s="69" t="n"/>
      <c r="T174" s="69" t="n"/>
      <c r="U174" s="69" t="n"/>
      <c r="V174" s="69" t="n"/>
      <c r="W174" s="69" t="n"/>
      <c r="X174" s="69" t="n"/>
      <c r="Y174" s="69" t="n"/>
      <c r="Z174" s="69" t="n"/>
    </row>
    <row r="175">
      <c r="A175" s="69" t="n"/>
      <c r="B175" s="69" t="n"/>
      <c r="C175" s="69" t="n"/>
      <c r="D175" s="69" t="n"/>
      <c r="E175" s="69" t="n"/>
      <c r="F175" s="69" t="n"/>
      <c r="G175" s="69" t="n"/>
      <c r="H175" s="69" t="n"/>
      <c r="I175" s="69" t="n"/>
      <c r="J175" s="69" t="n"/>
      <c r="K175" s="69" t="n"/>
      <c r="L175" s="69" t="n"/>
      <c r="M175" s="69" t="n"/>
      <c r="N175" s="69" t="n"/>
      <c r="O175" s="69" t="n"/>
      <c r="P175" s="69" t="n"/>
      <c r="Q175" s="69" t="n"/>
      <c r="R175" s="69" t="n"/>
      <c r="S175" s="69" t="n"/>
      <c r="T175" s="69" t="n"/>
      <c r="U175" s="69" t="n"/>
      <c r="V175" s="69" t="n"/>
      <c r="W175" s="69" t="n"/>
      <c r="X175" s="69" t="n"/>
      <c r="Y175" s="69" t="n"/>
      <c r="Z175" s="69" t="n"/>
    </row>
    <row r="176">
      <c r="A176" s="69" t="n"/>
      <c r="B176" s="69" t="n"/>
      <c r="C176" s="69" t="n"/>
      <c r="D176" s="69" t="n"/>
      <c r="E176" s="69" t="n"/>
      <c r="F176" s="69" t="n"/>
      <c r="G176" s="69" t="n"/>
      <c r="H176" s="69" t="n"/>
      <c r="I176" s="69" t="n"/>
      <c r="J176" s="69" t="n"/>
      <c r="K176" s="69" t="n"/>
      <c r="L176" s="69" t="n"/>
      <c r="M176" s="69" t="n"/>
      <c r="N176" s="69" t="n"/>
      <c r="O176" s="69" t="n"/>
      <c r="P176" s="69" t="n"/>
      <c r="Q176" s="69" t="n"/>
      <c r="R176" s="69" t="n"/>
      <c r="S176" s="69" t="n"/>
      <c r="T176" s="69" t="n"/>
      <c r="U176" s="69" t="n"/>
      <c r="V176" s="69" t="n"/>
      <c r="W176" s="69" t="n"/>
      <c r="X176" s="69" t="n"/>
      <c r="Y176" s="69" t="n"/>
      <c r="Z176" s="69" t="n"/>
    </row>
    <row r="177">
      <c r="A177" s="69" t="n"/>
      <c r="B177" s="69" t="n"/>
      <c r="C177" s="69" t="n"/>
      <c r="D177" s="69" t="n"/>
      <c r="E177" s="69" t="n"/>
      <c r="F177" s="69" t="n"/>
      <c r="G177" s="69" t="n"/>
      <c r="H177" s="69" t="n"/>
      <c r="I177" s="69" t="n"/>
      <c r="J177" s="69" t="n"/>
      <c r="K177" s="69" t="n"/>
      <c r="L177" s="69" t="n"/>
      <c r="M177" s="69" t="n"/>
      <c r="N177" s="69" t="n"/>
      <c r="O177" s="69" t="n"/>
      <c r="P177" s="69" t="n"/>
      <c r="Q177" s="69" t="n"/>
      <c r="R177" s="69" t="n"/>
      <c r="S177" s="69" t="n"/>
      <c r="T177" s="69" t="n"/>
      <c r="U177" s="69" t="n"/>
      <c r="V177" s="69" t="n"/>
      <c r="W177" s="69" t="n"/>
      <c r="X177" s="69" t="n"/>
      <c r="Y177" s="69" t="n"/>
      <c r="Z177" s="69" t="n"/>
    </row>
    <row r="178">
      <c r="A178" s="69" t="n"/>
      <c r="B178" s="69" t="n"/>
      <c r="C178" s="69" t="n"/>
      <c r="D178" s="69" t="n"/>
      <c r="E178" s="69" t="n"/>
      <c r="F178" s="69" t="n"/>
      <c r="G178" s="69" t="n"/>
      <c r="H178" s="69" t="n"/>
      <c r="I178" s="69" t="n"/>
      <c r="J178" s="69" t="n"/>
      <c r="K178" s="69" t="n"/>
      <c r="L178" s="69" t="n"/>
      <c r="M178" s="69" t="n"/>
      <c r="N178" s="69" t="n"/>
      <c r="O178" s="69" t="n"/>
      <c r="P178" s="69" t="n"/>
      <c r="Q178" s="69" t="n"/>
      <c r="R178" s="69" t="n"/>
      <c r="S178" s="69" t="n"/>
      <c r="T178" s="69" t="n"/>
      <c r="U178" s="69" t="n"/>
      <c r="V178" s="69" t="n"/>
      <c r="W178" s="69" t="n"/>
      <c r="X178" s="69" t="n"/>
      <c r="Y178" s="69" t="n"/>
      <c r="Z178" s="69" t="n"/>
    </row>
    <row r="179">
      <c r="A179" s="69" t="n"/>
      <c r="B179" s="69" t="n"/>
      <c r="C179" s="69" t="n"/>
      <c r="D179" s="69" t="n"/>
      <c r="E179" s="69" t="n"/>
      <c r="F179" s="69" t="n"/>
      <c r="G179" s="69" t="n"/>
      <c r="H179" s="69" t="n"/>
      <c r="I179" s="69" t="n"/>
      <c r="J179" s="69" t="n"/>
      <c r="K179" s="69" t="n"/>
      <c r="L179" s="69" t="n"/>
      <c r="M179" s="69" t="n"/>
      <c r="N179" s="69" t="n"/>
      <c r="O179" s="69" t="n"/>
      <c r="P179" s="69" t="n"/>
      <c r="Q179" s="69" t="n"/>
      <c r="R179" s="69" t="n"/>
      <c r="S179" s="69" t="n"/>
      <c r="T179" s="69" t="n"/>
      <c r="U179" s="69" t="n"/>
      <c r="V179" s="69" t="n"/>
      <c r="W179" s="69" t="n"/>
      <c r="X179" s="69" t="n"/>
      <c r="Y179" s="69" t="n"/>
      <c r="Z179" s="69" t="n"/>
    </row>
    <row r="180">
      <c r="A180" s="69" t="n"/>
      <c r="B180" s="69" t="n"/>
      <c r="C180" s="69" t="n"/>
      <c r="D180" s="69" t="n"/>
      <c r="E180" s="69" t="n"/>
      <c r="F180" s="69" t="n"/>
      <c r="G180" s="69" t="n"/>
      <c r="H180" s="69" t="n"/>
      <c r="I180" s="69" t="n"/>
      <c r="J180" s="69" t="n"/>
      <c r="K180" s="69" t="n"/>
      <c r="L180" s="69" t="n"/>
      <c r="M180" s="69" t="n"/>
      <c r="N180" s="69" t="n"/>
      <c r="O180" s="69" t="n"/>
      <c r="P180" s="69" t="n"/>
      <c r="Q180" s="69" t="n"/>
      <c r="R180" s="69" t="n"/>
      <c r="S180" s="69" t="n"/>
      <c r="T180" s="69" t="n"/>
      <c r="U180" s="69" t="n"/>
      <c r="V180" s="69" t="n"/>
      <c r="W180" s="69" t="n"/>
      <c r="X180" s="69" t="n"/>
      <c r="Y180" s="69" t="n"/>
      <c r="Z180" s="69" t="n"/>
    </row>
    <row r="181">
      <c r="A181" s="69" t="n"/>
      <c r="B181" s="69" t="n"/>
      <c r="C181" s="69" t="n"/>
      <c r="D181" s="69" t="n"/>
      <c r="E181" s="69" t="n"/>
      <c r="F181" s="69" t="n"/>
      <c r="G181" s="69" t="n"/>
      <c r="H181" s="69" t="n"/>
      <c r="I181" s="69" t="n"/>
      <c r="J181" s="69" t="n"/>
      <c r="K181" s="69" t="n"/>
      <c r="L181" s="69" t="n"/>
      <c r="M181" s="69" t="n"/>
      <c r="N181" s="69" t="n"/>
      <c r="O181" s="69" t="n"/>
      <c r="P181" s="69" t="n"/>
      <c r="Q181" s="69" t="n"/>
      <c r="R181" s="69" t="n"/>
      <c r="S181" s="69" t="n"/>
      <c r="T181" s="69" t="n"/>
      <c r="U181" s="69" t="n"/>
      <c r="V181" s="69" t="n"/>
      <c r="W181" s="69" t="n"/>
      <c r="X181" s="69" t="n"/>
      <c r="Y181" s="69" t="n"/>
      <c r="Z181" s="69" t="n"/>
    </row>
    <row r="182">
      <c r="A182" s="69" t="n"/>
      <c r="B182" s="69" t="n"/>
      <c r="C182" s="69" t="n"/>
      <c r="D182" s="69" t="n"/>
      <c r="E182" s="69" t="n"/>
      <c r="F182" s="69" t="n"/>
      <c r="G182" s="69" t="n"/>
      <c r="H182" s="69" t="n"/>
      <c r="I182" s="69" t="n"/>
      <c r="J182" s="69" t="n"/>
      <c r="K182" s="69" t="n"/>
      <c r="L182" s="69" t="n"/>
      <c r="M182" s="69" t="n"/>
      <c r="N182" s="69" t="n"/>
      <c r="O182" s="69" t="n"/>
      <c r="P182" s="69" t="n"/>
      <c r="Q182" s="69" t="n"/>
      <c r="R182" s="69" t="n"/>
      <c r="S182" s="69" t="n"/>
      <c r="T182" s="69" t="n"/>
      <c r="U182" s="69" t="n"/>
      <c r="V182" s="69" t="n"/>
      <c r="W182" s="69" t="n"/>
      <c r="X182" s="69" t="n"/>
      <c r="Y182" s="69" t="n"/>
      <c r="Z182" s="69" t="n"/>
    </row>
    <row r="183">
      <c r="A183" s="69" t="n"/>
      <c r="B183" s="69" t="n"/>
      <c r="C183" s="69" t="n"/>
      <c r="D183" s="69" t="n"/>
      <c r="E183" s="69" t="n"/>
      <c r="F183" s="69" t="n"/>
      <c r="G183" s="69" t="n"/>
      <c r="H183" s="69" t="n"/>
      <c r="I183" s="69" t="n"/>
      <c r="J183" s="69" t="n"/>
      <c r="K183" s="69" t="n"/>
      <c r="L183" s="69" t="n"/>
      <c r="M183" s="69" t="n"/>
      <c r="N183" s="69" t="n"/>
      <c r="O183" s="69" t="n"/>
      <c r="P183" s="69" t="n"/>
      <c r="Q183" s="69" t="n"/>
      <c r="R183" s="69" t="n"/>
      <c r="S183" s="69" t="n"/>
      <c r="T183" s="69" t="n"/>
      <c r="U183" s="69" t="n"/>
      <c r="V183" s="69" t="n"/>
      <c r="W183" s="69" t="n"/>
      <c r="X183" s="69" t="n"/>
      <c r="Y183" s="69" t="n"/>
      <c r="Z183" s="69" t="n"/>
    </row>
    <row r="184">
      <c r="A184" s="69" t="n"/>
      <c r="B184" s="69" t="n"/>
      <c r="C184" s="69" t="n"/>
      <c r="D184" s="69" t="n"/>
      <c r="E184" s="69" t="n"/>
      <c r="F184" s="69" t="n"/>
      <c r="G184" s="69" t="n"/>
      <c r="H184" s="69" t="n"/>
      <c r="I184" s="69" t="n"/>
      <c r="J184" s="69" t="n"/>
      <c r="K184" s="69" t="n"/>
      <c r="L184" s="69" t="n"/>
      <c r="M184" s="69" t="n"/>
      <c r="N184" s="69" t="n"/>
      <c r="O184" s="69" t="n"/>
      <c r="P184" s="69" t="n"/>
      <c r="Q184" s="69" t="n"/>
      <c r="R184" s="69" t="n"/>
      <c r="S184" s="69" t="n"/>
      <c r="T184" s="69" t="n"/>
      <c r="U184" s="69" t="n"/>
      <c r="V184" s="69" t="n"/>
      <c r="W184" s="69" t="n"/>
      <c r="X184" s="69" t="n"/>
      <c r="Y184" s="69" t="n"/>
      <c r="Z184" s="69" t="n"/>
    </row>
    <row r="185">
      <c r="A185" s="69" t="n"/>
      <c r="B185" s="69" t="n"/>
      <c r="C185" s="69" t="n"/>
      <c r="D185" s="69" t="n"/>
      <c r="E185" s="69" t="n"/>
      <c r="F185" s="69" t="n"/>
      <c r="G185" s="69" t="n"/>
      <c r="H185" s="69" t="n"/>
      <c r="I185" s="69" t="n"/>
      <c r="J185" s="69" t="n"/>
      <c r="K185" s="69" t="n"/>
      <c r="L185" s="69" t="n"/>
      <c r="M185" s="69" t="n"/>
      <c r="N185" s="69" t="n"/>
      <c r="O185" s="69" t="n"/>
      <c r="P185" s="69" t="n"/>
      <c r="Q185" s="69" t="n"/>
      <c r="R185" s="69" t="n"/>
      <c r="S185" s="69" t="n"/>
      <c r="T185" s="69" t="n"/>
      <c r="U185" s="69" t="n"/>
      <c r="V185" s="69" t="n"/>
      <c r="W185" s="69" t="n"/>
      <c r="X185" s="69" t="n"/>
      <c r="Y185" s="69" t="n"/>
      <c r="Z185" s="69" t="n"/>
    </row>
    <row r="186">
      <c r="A186" s="69" t="n"/>
      <c r="B186" s="69" t="n"/>
      <c r="C186" s="69" t="n"/>
      <c r="D186" s="69" t="n"/>
      <c r="E186" s="69" t="n"/>
      <c r="F186" s="69" t="n"/>
      <c r="G186" s="69" t="n"/>
      <c r="H186" s="69" t="n"/>
      <c r="I186" s="69" t="n"/>
      <c r="J186" s="69" t="n"/>
      <c r="K186" s="69" t="n"/>
      <c r="L186" s="69" t="n"/>
      <c r="M186" s="69" t="n"/>
      <c r="N186" s="69" t="n"/>
      <c r="O186" s="69" t="n"/>
      <c r="P186" s="69" t="n"/>
      <c r="Q186" s="69" t="n"/>
      <c r="R186" s="69" t="n"/>
      <c r="S186" s="69" t="n"/>
      <c r="T186" s="69" t="n"/>
      <c r="U186" s="69" t="n"/>
      <c r="V186" s="69" t="n"/>
      <c r="W186" s="69" t="n"/>
      <c r="X186" s="69" t="n"/>
      <c r="Y186" s="69" t="n"/>
      <c r="Z186" s="69" t="n"/>
    </row>
    <row r="187">
      <c r="A187" s="69" t="n"/>
      <c r="B187" s="69" t="n"/>
      <c r="C187" s="69" t="n"/>
      <c r="D187" s="69" t="n"/>
      <c r="E187" s="69" t="n"/>
      <c r="F187" s="69" t="n"/>
      <c r="G187" s="69" t="n"/>
      <c r="H187" s="69" t="n"/>
      <c r="I187" s="69" t="n"/>
      <c r="J187" s="69" t="n"/>
      <c r="K187" s="69" t="n"/>
      <c r="L187" s="69" t="n"/>
      <c r="M187" s="69" t="n"/>
      <c r="N187" s="69" t="n"/>
      <c r="O187" s="69" t="n"/>
      <c r="P187" s="69" t="n"/>
      <c r="Q187" s="69" t="n"/>
      <c r="R187" s="69" t="n"/>
      <c r="S187" s="69" t="n"/>
      <c r="T187" s="69" t="n"/>
      <c r="U187" s="69" t="n"/>
      <c r="V187" s="69" t="n"/>
      <c r="W187" s="69" t="n"/>
      <c r="X187" s="69" t="n"/>
      <c r="Y187" s="69" t="n"/>
      <c r="Z187" s="69" t="n"/>
    </row>
    <row r="188">
      <c r="A188" s="69" t="n"/>
      <c r="B188" s="69" t="n"/>
      <c r="C188" s="69" t="n"/>
      <c r="D188" s="69" t="n"/>
      <c r="E188" s="69" t="n"/>
      <c r="F188" s="69" t="n"/>
      <c r="G188" s="69" t="n"/>
      <c r="H188" s="69" t="n"/>
      <c r="I188" s="69" t="n"/>
      <c r="J188" s="69" t="n"/>
      <c r="K188" s="69" t="n"/>
      <c r="L188" s="69" t="n"/>
      <c r="M188" s="69" t="n"/>
      <c r="N188" s="69" t="n"/>
      <c r="O188" s="69" t="n"/>
      <c r="P188" s="69" t="n"/>
      <c r="Q188" s="69" t="n"/>
      <c r="R188" s="69" t="n"/>
      <c r="S188" s="69" t="n"/>
      <c r="T188" s="69" t="n"/>
      <c r="U188" s="69" t="n"/>
      <c r="V188" s="69" t="n"/>
      <c r="W188" s="69" t="n"/>
      <c r="X188" s="69" t="n"/>
      <c r="Y188" s="69" t="n"/>
      <c r="Z188" s="69" t="n"/>
    </row>
    <row r="189">
      <c r="A189" s="69" t="n"/>
      <c r="B189" s="69" t="n"/>
      <c r="C189" s="69" t="n"/>
      <c r="D189" s="69" t="n"/>
      <c r="E189" s="69" t="n"/>
      <c r="F189" s="69" t="n"/>
      <c r="G189" s="69" t="n"/>
      <c r="H189" s="69" t="n"/>
      <c r="I189" s="69" t="n"/>
      <c r="J189" s="69" t="n"/>
      <c r="K189" s="69" t="n"/>
      <c r="L189" s="69" t="n"/>
      <c r="M189" s="69" t="n"/>
      <c r="N189" s="69" t="n"/>
      <c r="O189" s="69" t="n"/>
      <c r="P189" s="69" t="n"/>
      <c r="Q189" s="69" t="n"/>
      <c r="R189" s="69" t="n"/>
      <c r="S189" s="69" t="n"/>
      <c r="T189" s="69" t="n"/>
      <c r="U189" s="69" t="n"/>
      <c r="V189" s="69" t="n"/>
      <c r="W189" s="69" t="n"/>
      <c r="X189" s="69" t="n"/>
      <c r="Y189" s="69" t="n"/>
      <c r="Z189" s="69" t="n"/>
    </row>
    <row r="190">
      <c r="A190" s="69" t="n"/>
      <c r="B190" s="69" t="n"/>
      <c r="C190" s="69" t="n"/>
      <c r="D190" s="69" t="n"/>
      <c r="E190" s="69" t="n"/>
      <c r="F190" s="69" t="n"/>
      <c r="G190" s="69" t="n"/>
      <c r="H190" s="69" t="n"/>
      <c r="I190" s="69" t="n"/>
      <c r="J190" s="69" t="n"/>
      <c r="K190" s="69" t="n"/>
      <c r="L190" s="69" t="n"/>
      <c r="M190" s="69" t="n"/>
      <c r="N190" s="69" t="n"/>
      <c r="O190" s="69" t="n"/>
      <c r="P190" s="69" t="n"/>
      <c r="Q190" s="69" t="n"/>
      <c r="R190" s="69" t="n"/>
      <c r="S190" s="69" t="n"/>
      <c r="T190" s="69" t="n"/>
      <c r="U190" s="69" t="n"/>
      <c r="V190" s="69" t="n"/>
      <c r="W190" s="69" t="n"/>
      <c r="X190" s="69" t="n"/>
      <c r="Y190" s="69" t="n"/>
      <c r="Z190" s="69" t="n"/>
    </row>
    <row r="191">
      <c r="A191" s="69" t="n"/>
      <c r="B191" s="69" t="n"/>
      <c r="C191" s="69" t="n"/>
      <c r="D191" s="69" t="n"/>
      <c r="E191" s="69" t="n"/>
      <c r="F191" s="69" t="n"/>
      <c r="G191" s="69" t="n"/>
      <c r="H191" s="69" t="n"/>
      <c r="I191" s="69" t="n"/>
      <c r="J191" s="69" t="n"/>
      <c r="K191" s="69" t="n"/>
      <c r="L191" s="69" t="n"/>
      <c r="M191" s="69" t="n"/>
      <c r="N191" s="69" t="n"/>
      <c r="O191" s="69" t="n"/>
      <c r="P191" s="69" t="n"/>
      <c r="Q191" s="69" t="n"/>
      <c r="R191" s="69" t="n"/>
      <c r="S191" s="69" t="n"/>
      <c r="T191" s="69" t="n"/>
      <c r="U191" s="69" t="n"/>
      <c r="V191" s="69" t="n"/>
      <c r="W191" s="69" t="n"/>
      <c r="X191" s="69" t="n"/>
      <c r="Y191" s="69" t="n"/>
      <c r="Z191" s="69" t="n"/>
    </row>
    <row r="192">
      <c r="A192" s="69" t="n"/>
      <c r="B192" s="69" t="n"/>
      <c r="C192" s="69" t="n"/>
      <c r="D192" s="69" t="n"/>
      <c r="E192" s="69" t="n"/>
      <c r="F192" s="69" t="n"/>
      <c r="G192" s="69" t="n"/>
      <c r="H192" s="69" t="n"/>
      <c r="I192" s="69" t="n"/>
      <c r="J192" s="69" t="n"/>
      <c r="K192" s="69" t="n"/>
      <c r="L192" s="69" t="n"/>
      <c r="M192" s="69" t="n"/>
      <c r="N192" s="69" t="n"/>
      <c r="O192" s="69" t="n"/>
      <c r="P192" s="69" t="n"/>
      <c r="Q192" s="69" t="n"/>
      <c r="R192" s="69" t="n"/>
      <c r="S192" s="69" t="n"/>
      <c r="T192" s="69" t="n"/>
      <c r="U192" s="69" t="n"/>
      <c r="V192" s="69" t="n"/>
      <c r="W192" s="69" t="n"/>
      <c r="X192" s="69" t="n"/>
      <c r="Y192" s="69" t="n"/>
      <c r="Z192" s="69" t="n"/>
    </row>
    <row r="193">
      <c r="A193" s="69" t="n"/>
      <c r="B193" s="69" t="n"/>
      <c r="C193" s="69" t="n"/>
      <c r="D193" s="69" t="n"/>
      <c r="E193" s="69" t="n"/>
      <c r="F193" s="69" t="n"/>
      <c r="G193" s="69" t="n"/>
      <c r="H193" s="69" t="n"/>
      <c r="I193" s="69" t="n"/>
      <c r="J193" s="69" t="n"/>
      <c r="K193" s="69" t="n"/>
      <c r="L193" s="69" t="n"/>
      <c r="M193" s="69" t="n"/>
      <c r="N193" s="69" t="n"/>
      <c r="O193" s="69" t="n"/>
      <c r="P193" s="69" t="n"/>
      <c r="Q193" s="69" t="n"/>
      <c r="R193" s="69" t="n"/>
      <c r="S193" s="69" t="n"/>
      <c r="T193" s="69" t="n"/>
      <c r="U193" s="69" t="n"/>
      <c r="V193" s="69" t="n"/>
      <c r="W193" s="69" t="n"/>
      <c r="X193" s="69" t="n"/>
      <c r="Y193" s="69" t="n"/>
      <c r="Z193" s="69" t="n"/>
    </row>
    <row r="194">
      <c r="A194" s="69" t="n"/>
      <c r="B194" s="69" t="n"/>
      <c r="C194" s="69" t="n"/>
      <c r="D194" s="69" t="n"/>
      <c r="E194" s="69" t="n"/>
      <c r="F194" s="69" t="n"/>
      <c r="G194" s="69" t="n"/>
      <c r="H194" s="69" t="n"/>
      <c r="I194" s="69" t="n"/>
      <c r="J194" s="69" t="n"/>
      <c r="K194" s="69" t="n"/>
      <c r="L194" s="69" t="n"/>
      <c r="M194" s="69" t="n"/>
      <c r="N194" s="69" t="n"/>
      <c r="O194" s="69" t="n"/>
      <c r="P194" s="69" t="n"/>
      <c r="Q194" s="69" t="n"/>
      <c r="R194" s="69" t="n"/>
      <c r="S194" s="69" t="n"/>
      <c r="T194" s="69" t="n"/>
      <c r="U194" s="69" t="n"/>
      <c r="V194" s="69" t="n"/>
      <c r="W194" s="69" t="n"/>
      <c r="X194" s="69" t="n"/>
      <c r="Y194" s="69" t="n"/>
      <c r="Z194" s="69" t="n"/>
    </row>
    <row r="195">
      <c r="A195" s="69" t="n"/>
      <c r="B195" s="69" t="n"/>
      <c r="C195" s="69" t="n"/>
      <c r="D195" s="69" t="n"/>
      <c r="E195" s="69" t="n"/>
      <c r="F195" s="69" t="n"/>
      <c r="G195" s="69" t="n"/>
      <c r="H195" s="69" t="n"/>
      <c r="I195" s="69" t="n"/>
      <c r="J195" s="69" t="n"/>
      <c r="K195" s="69" t="n"/>
      <c r="L195" s="69" t="n"/>
      <c r="M195" s="69" t="n"/>
      <c r="N195" s="69" t="n"/>
      <c r="O195" s="69" t="n"/>
      <c r="P195" s="69" t="n"/>
      <c r="Q195" s="69" t="n"/>
      <c r="R195" s="69" t="n"/>
      <c r="S195" s="69" t="n"/>
      <c r="T195" s="69" t="n"/>
      <c r="U195" s="69" t="n"/>
      <c r="V195" s="69" t="n"/>
      <c r="W195" s="69" t="n"/>
      <c r="X195" s="69" t="n"/>
      <c r="Y195" s="69" t="n"/>
      <c r="Z195" s="69" t="n"/>
    </row>
    <row r="196">
      <c r="A196" s="69" t="n"/>
      <c r="B196" s="69" t="n"/>
      <c r="C196" s="69" t="n"/>
      <c r="D196" s="69" t="n"/>
      <c r="E196" s="69" t="n"/>
      <c r="F196" s="69" t="n"/>
      <c r="G196" s="69" t="n"/>
      <c r="H196" s="69" t="n"/>
      <c r="I196" s="69" t="n"/>
      <c r="J196" s="69" t="n"/>
      <c r="K196" s="69" t="n"/>
      <c r="L196" s="69" t="n"/>
      <c r="M196" s="69" t="n"/>
      <c r="N196" s="69" t="n"/>
      <c r="O196" s="69" t="n"/>
      <c r="P196" s="69" t="n"/>
      <c r="Q196" s="69" t="n"/>
      <c r="R196" s="69" t="n"/>
      <c r="S196" s="69" t="n"/>
      <c r="T196" s="69" t="n"/>
      <c r="U196" s="69" t="n"/>
      <c r="V196" s="69" t="n"/>
      <c r="W196" s="69" t="n"/>
      <c r="X196" s="69" t="n"/>
      <c r="Y196" s="69" t="n"/>
      <c r="Z196" s="69" t="n"/>
    </row>
    <row r="197">
      <c r="A197" s="69" t="n"/>
      <c r="B197" s="69" t="n"/>
      <c r="C197" s="69" t="n"/>
      <c r="D197" s="69" t="n"/>
      <c r="E197" s="69" t="n"/>
      <c r="F197" s="69" t="n"/>
      <c r="G197" s="69" t="n"/>
      <c r="H197" s="69" t="n"/>
      <c r="I197" s="69" t="n"/>
      <c r="J197" s="69" t="n"/>
      <c r="K197" s="69" t="n"/>
      <c r="L197" s="69" t="n"/>
      <c r="M197" s="69" t="n"/>
      <c r="N197" s="69" t="n"/>
      <c r="O197" s="69" t="n"/>
      <c r="P197" s="69" t="n"/>
      <c r="Q197" s="69" t="n"/>
      <c r="R197" s="69" t="n"/>
      <c r="S197" s="69" t="n"/>
      <c r="T197" s="69" t="n"/>
      <c r="U197" s="69" t="n"/>
      <c r="V197" s="69" t="n"/>
      <c r="W197" s="69" t="n"/>
      <c r="X197" s="69" t="n"/>
      <c r="Y197" s="69" t="n"/>
      <c r="Z197" s="69" t="n"/>
    </row>
    <row r="198">
      <c r="A198" s="69" t="n"/>
      <c r="B198" s="69" t="n"/>
      <c r="C198" s="69" t="n"/>
      <c r="D198" s="69" t="n"/>
      <c r="E198" s="69" t="n"/>
      <c r="F198" s="69" t="n"/>
      <c r="G198" s="69" t="n"/>
      <c r="H198" s="69" t="n"/>
      <c r="I198" s="69" t="n"/>
      <c r="J198" s="69" t="n"/>
      <c r="K198" s="69" t="n"/>
      <c r="L198" s="69" t="n"/>
      <c r="M198" s="69" t="n"/>
      <c r="N198" s="69" t="n"/>
      <c r="O198" s="69" t="n"/>
      <c r="P198" s="69" t="n"/>
      <c r="Q198" s="69" t="n"/>
      <c r="R198" s="69" t="n"/>
      <c r="S198" s="69" t="n"/>
      <c r="T198" s="69" t="n"/>
      <c r="U198" s="69" t="n"/>
      <c r="V198" s="69" t="n"/>
      <c r="W198" s="69" t="n"/>
      <c r="X198" s="69" t="n"/>
      <c r="Y198" s="69" t="n"/>
      <c r="Z198" s="69" t="n"/>
    </row>
    <row r="199">
      <c r="A199" s="69" t="n"/>
      <c r="B199" s="69" t="n"/>
      <c r="C199" s="69" t="n"/>
      <c r="D199" s="69" t="n"/>
      <c r="E199" s="69" t="n"/>
      <c r="F199" s="69" t="n"/>
      <c r="G199" s="69" t="n"/>
      <c r="H199" s="69" t="n"/>
      <c r="I199" s="69" t="n"/>
      <c r="J199" s="69" t="n"/>
      <c r="K199" s="69" t="n"/>
      <c r="L199" s="69" t="n"/>
      <c r="M199" s="69" t="n"/>
      <c r="N199" s="69" t="n"/>
      <c r="O199" s="69" t="n"/>
      <c r="P199" s="69" t="n"/>
      <c r="Q199" s="69" t="n"/>
      <c r="R199" s="69" t="n"/>
      <c r="S199" s="69" t="n"/>
      <c r="T199" s="69" t="n"/>
      <c r="U199" s="69" t="n"/>
      <c r="V199" s="69" t="n"/>
      <c r="W199" s="69" t="n"/>
      <c r="X199" s="69" t="n"/>
      <c r="Y199" s="69" t="n"/>
      <c r="Z199" s="69" t="n"/>
    </row>
    <row r="200">
      <c r="A200" s="69" t="n"/>
      <c r="B200" s="69" t="n"/>
      <c r="C200" s="69" t="n"/>
      <c r="D200" s="69" t="n"/>
      <c r="E200" s="69" t="n"/>
      <c r="F200" s="69" t="n"/>
      <c r="G200" s="69" t="n"/>
      <c r="H200" s="69" t="n"/>
      <c r="I200" s="69" t="n"/>
      <c r="J200" s="69" t="n"/>
      <c r="K200" s="69" t="n"/>
      <c r="L200" s="69" t="n"/>
      <c r="M200" s="69" t="n"/>
      <c r="N200" s="69" t="n"/>
      <c r="O200" s="69" t="n"/>
      <c r="P200" s="69" t="n"/>
      <c r="Q200" s="69" t="n"/>
      <c r="R200" s="69" t="n"/>
      <c r="S200" s="69" t="n"/>
      <c r="T200" s="69" t="n"/>
      <c r="U200" s="69" t="n"/>
      <c r="V200" s="69" t="n"/>
      <c r="W200" s="69" t="n"/>
      <c r="X200" s="69" t="n"/>
      <c r="Y200" s="69" t="n"/>
      <c r="Z200" s="69" t="n"/>
    </row>
    <row r="201">
      <c r="A201" s="69" t="n"/>
      <c r="B201" s="69" t="n"/>
      <c r="C201" s="69" t="n"/>
      <c r="D201" s="69" t="n"/>
      <c r="E201" s="69" t="n"/>
      <c r="F201" s="69" t="n"/>
      <c r="G201" s="69" t="n"/>
      <c r="H201" s="69" t="n"/>
      <c r="I201" s="69" t="n"/>
      <c r="J201" s="69" t="n"/>
      <c r="K201" s="69" t="n"/>
      <c r="L201" s="69" t="n"/>
      <c r="M201" s="69" t="n"/>
      <c r="N201" s="69" t="n"/>
      <c r="O201" s="69" t="n"/>
      <c r="P201" s="69" t="n"/>
      <c r="Q201" s="69" t="n"/>
      <c r="R201" s="69" t="n"/>
      <c r="S201" s="69" t="n"/>
      <c r="T201" s="69" t="n"/>
      <c r="U201" s="69" t="n"/>
      <c r="V201" s="69" t="n"/>
      <c r="W201" s="69" t="n"/>
      <c r="X201" s="69" t="n"/>
      <c r="Y201" s="69" t="n"/>
      <c r="Z201" s="69" t="n"/>
    </row>
    <row r="202">
      <c r="A202" s="69" t="n"/>
      <c r="B202" s="69" t="n"/>
      <c r="C202" s="69" t="n"/>
      <c r="D202" s="69" t="n"/>
      <c r="E202" s="69" t="n"/>
      <c r="F202" s="69" t="n"/>
      <c r="G202" s="69" t="n"/>
      <c r="H202" s="69" t="n"/>
      <c r="I202" s="69" t="n"/>
      <c r="J202" s="69" t="n"/>
      <c r="K202" s="69" t="n"/>
      <c r="L202" s="69" t="n"/>
      <c r="M202" s="69" t="n"/>
      <c r="N202" s="69" t="n"/>
      <c r="O202" s="69" t="n"/>
      <c r="P202" s="69" t="n"/>
      <c r="Q202" s="69" t="n"/>
      <c r="R202" s="69" t="n"/>
      <c r="S202" s="69" t="n"/>
      <c r="T202" s="69" t="n"/>
      <c r="U202" s="69" t="n"/>
      <c r="V202" s="69" t="n"/>
      <c r="W202" s="69" t="n"/>
      <c r="X202" s="69" t="n"/>
      <c r="Y202" s="69" t="n"/>
      <c r="Z202" s="69" t="n"/>
    </row>
    <row r="203">
      <c r="A203" s="69" t="n"/>
      <c r="B203" s="69" t="n"/>
      <c r="C203" s="69" t="n"/>
      <c r="D203" s="69" t="n"/>
      <c r="E203" s="69" t="n"/>
      <c r="F203" s="69" t="n"/>
      <c r="G203" s="69" t="n"/>
      <c r="H203" s="69" t="n"/>
      <c r="I203" s="69" t="n"/>
      <c r="J203" s="69" t="n"/>
      <c r="K203" s="69" t="n"/>
      <c r="L203" s="69" t="n"/>
      <c r="M203" s="69" t="n"/>
      <c r="N203" s="69" t="n"/>
      <c r="O203" s="69" t="n"/>
      <c r="P203" s="69" t="n"/>
      <c r="Q203" s="69" t="n"/>
      <c r="R203" s="69" t="n"/>
      <c r="S203" s="69" t="n"/>
      <c r="T203" s="69" t="n"/>
      <c r="U203" s="69" t="n"/>
      <c r="V203" s="69" t="n"/>
      <c r="W203" s="69" t="n"/>
      <c r="X203" s="69" t="n"/>
      <c r="Y203" s="69" t="n"/>
      <c r="Z203" s="69" t="n"/>
    </row>
    <row r="204">
      <c r="A204" s="69" t="n"/>
      <c r="B204" s="69" t="n"/>
      <c r="C204" s="69" t="n"/>
      <c r="D204" s="69" t="n"/>
      <c r="E204" s="69" t="n"/>
      <c r="F204" s="69" t="n"/>
      <c r="G204" s="69" t="n"/>
      <c r="H204" s="69" t="n"/>
      <c r="I204" s="69" t="n"/>
      <c r="J204" s="69" t="n"/>
      <c r="K204" s="69" t="n"/>
      <c r="L204" s="69" t="n"/>
      <c r="M204" s="69" t="n"/>
      <c r="N204" s="69" t="n"/>
      <c r="O204" s="69" t="n"/>
      <c r="P204" s="69" t="n"/>
      <c r="Q204" s="69" t="n"/>
      <c r="R204" s="69" t="n"/>
      <c r="S204" s="69" t="n"/>
      <c r="T204" s="69" t="n"/>
      <c r="U204" s="69" t="n"/>
      <c r="V204" s="69" t="n"/>
      <c r="W204" s="69" t="n"/>
      <c r="X204" s="69" t="n"/>
      <c r="Y204" s="69" t="n"/>
      <c r="Z204" s="69" t="n"/>
    </row>
    <row r="205">
      <c r="A205" s="69" t="n"/>
      <c r="B205" s="69" t="n"/>
      <c r="C205" s="69" t="n"/>
      <c r="D205" s="69" t="n"/>
      <c r="E205" s="69" t="n"/>
      <c r="F205" s="69" t="n"/>
      <c r="G205" s="69" t="n"/>
      <c r="H205" s="69" t="n"/>
      <c r="I205" s="69" t="n"/>
      <c r="J205" s="69" t="n"/>
      <c r="K205" s="69" t="n"/>
      <c r="L205" s="69" t="n"/>
      <c r="M205" s="69" t="n"/>
      <c r="N205" s="69" t="n"/>
      <c r="O205" s="69" t="n"/>
      <c r="P205" s="69" t="n"/>
      <c r="Q205" s="69" t="n"/>
      <c r="R205" s="69" t="n"/>
      <c r="S205" s="69" t="n"/>
      <c r="T205" s="69" t="n"/>
      <c r="U205" s="69" t="n"/>
      <c r="V205" s="69" t="n"/>
      <c r="W205" s="69" t="n"/>
      <c r="X205" s="69" t="n"/>
      <c r="Y205" s="69" t="n"/>
      <c r="Z205" s="69" t="n"/>
    </row>
    <row r="206">
      <c r="A206" s="69" t="n"/>
      <c r="B206" s="69" t="n"/>
      <c r="C206" s="69" t="n"/>
      <c r="D206" s="69" t="n"/>
      <c r="E206" s="69" t="n"/>
      <c r="F206" s="69" t="n"/>
      <c r="G206" s="69" t="n"/>
      <c r="H206" s="69" t="n"/>
      <c r="I206" s="69" t="n"/>
      <c r="J206" s="69" t="n"/>
      <c r="K206" s="69" t="n"/>
      <c r="L206" s="69" t="n"/>
      <c r="M206" s="69" t="n"/>
      <c r="N206" s="69" t="n"/>
      <c r="O206" s="69" t="n"/>
      <c r="P206" s="69" t="n"/>
      <c r="Q206" s="69" t="n"/>
      <c r="R206" s="69" t="n"/>
      <c r="S206" s="69" t="n"/>
      <c r="T206" s="69" t="n"/>
      <c r="U206" s="69" t="n"/>
      <c r="V206" s="69" t="n"/>
      <c r="W206" s="69" t="n"/>
      <c r="X206" s="69" t="n"/>
      <c r="Y206" s="69" t="n"/>
      <c r="Z206" s="69" t="n"/>
    </row>
    <row r="207">
      <c r="A207" s="69" t="n"/>
      <c r="B207" s="69" t="n"/>
      <c r="C207" s="69" t="n"/>
      <c r="D207" s="69" t="n"/>
      <c r="E207" s="69" t="n"/>
      <c r="F207" s="69" t="n"/>
      <c r="G207" s="69" t="n"/>
      <c r="H207" s="69" t="n"/>
      <c r="I207" s="69" t="n"/>
      <c r="J207" s="69" t="n"/>
      <c r="K207" s="69" t="n"/>
      <c r="L207" s="69" t="n"/>
      <c r="M207" s="69" t="n"/>
      <c r="N207" s="69" t="n"/>
      <c r="O207" s="69" t="n"/>
      <c r="P207" s="69" t="n"/>
      <c r="Q207" s="69" t="n"/>
      <c r="R207" s="69" t="n"/>
      <c r="S207" s="69" t="n"/>
      <c r="T207" s="69" t="n"/>
      <c r="U207" s="69" t="n"/>
      <c r="V207" s="69" t="n"/>
      <c r="W207" s="69" t="n"/>
      <c r="X207" s="69" t="n"/>
      <c r="Y207" s="69" t="n"/>
      <c r="Z207" s="69" t="n"/>
    </row>
    <row r="208">
      <c r="A208" s="69" t="n"/>
      <c r="B208" s="69" t="n"/>
      <c r="C208" s="69" t="n"/>
      <c r="D208" s="69" t="n"/>
      <c r="E208" s="69" t="n"/>
      <c r="F208" s="69" t="n"/>
      <c r="G208" s="69" t="n"/>
      <c r="H208" s="69" t="n"/>
      <c r="I208" s="69" t="n"/>
      <c r="J208" s="69" t="n"/>
      <c r="K208" s="69" t="n"/>
      <c r="L208" s="69" t="n"/>
      <c r="M208" s="69" t="n"/>
      <c r="N208" s="69" t="n"/>
      <c r="O208" s="69" t="n"/>
      <c r="P208" s="69" t="n"/>
      <c r="Q208" s="69" t="n"/>
      <c r="R208" s="69" t="n"/>
      <c r="S208" s="69" t="n"/>
      <c r="T208" s="69" t="n"/>
      <c r="U208" s="69" t="n"/>
      <c r="V208" s="69" t="n"/>
      <c r="W208" s="69" t="n"/>
      <c r="X208" s="69" t="n"/>
      <c r="Y208" s="69" t="n"/>
      <c r="Z208" s="69" t="n"/>
    </row>
    <row r="209">
      <c r="A209" s="69" t="n"/>
      <c r="B209" s="69" t="n"/>
      <c r="C209" s="69" t="n"/>
      <c r="D209" s="69" t="n"/>
      <c r="E209" s="69" t="n"/>
      <c r="F209" s="69" t="n"/>
      <c r="G209" s="69" t="n"/>
      <c r="H209" s="69" t="n"/>
      <c r="I209" s="69" t="n"/>
      <c r="J209" s="69" t="n"/>
      <c r="K209" s="69" t="n"/>
      <c r="L209" s="69" t="n"/>
      <c r="M209" s="69" t="n"/>
      <c r="N209" s="69" t="n"/>
      <c r="O209" s="69" t="n"/>
      <c r="P209" s="69" t="n"/>
      <c r="Q209" s="69" t="n"/>
      <c r="R209" s="69" t="n"/>
      <c r="S209" s="69" t="n"/>
      <c r="T209" s="69" t="n"/>
      <c r="U209" s="69" t="n"/>
      <c r="V209" s="69" t="n"/>
      <c r="W209" s="69" t="n"/>
      <c r="X209" s="69" t="n"/>
      <c r="Y209" s="69" t="n"/>
      <c r="Z209" s="69" t="n"/>
    </row>
    <row r="210">
      <c r="A210" s="69" t="n"/>
      <c r="B210" s="69" t="n"/>
      <c r="C210" s="69" t="n"/>
      <c r="D210" s="69" t="n"/>
      <c r="E210" s="69" t="n"/>
      <c r="F210" s="69" t="n"/>
      <c r="G210" s="69" t="n"/>
      <c r="H210" s="69" t="n"/>
      <c r="I210" s="69" t="n"/>
      <c r="J210" s="69" t="n"/>
      <c r="K210" s="69" t="n"/>
      <c r="L210" s="69" t="n"/>
      <c r="M210" s="69" t="n"/>
      <c r="N210" s="69" t="n"/>
      <c r="O210" s="69" t="n"/>
      <c r="P210" s="69" t="n"/>
      <c r="Q210" s="69" t="n"/>
      <c r="R210" s="69" t="n"/>
      <c r="S210" s="69" t="n"/>
      <c r="T210" s="69" t="n"/>
      <c r="U210" s="69" t="n"/>
      <c r="V210" s="69" t="n"/>
      <c r="W210" s="69" t="n"/>
      <c r="X210" s="69" t="n"/>
      <c r="Y210" s="69" t="n"/>
      <c r="Z210" s="69" t="n"/>
    </row>
    <row r="211">
      <c r="A211" s="69" t="n"/>
      <c r="B211" s="69" t="n"/>
      <c r="C211" s="69" t="n"/>
      <c r="D211" s="69" t="n"/>
      <c r="E211" s="69" t="n"/>
      <c r="F211" s="69" t="n"/>
      <c r="G211" s="69" t="n"/>
      <c r="H211" s="69" t="n"/>
      <c r="I211" s="69" t="n"/>
      <c r="J211" s="69" t="n"/>
      <c r="K211" s="69" t="n"/>
      <c r="L211" s="69" t="n"/>
      <c r="M211" s="69" t="n"/>
      <c r="N211" s="69" t="n"/>
      <c r="O211" s="69" t="n"/>
      <c r="P211" s="69" t="n"/>
      <c r="Q211" s="69" t="n"/>
      <c r="R211" s="69" t="n"/>
      <c r="S211" s="69" t="n"/>
      <c r="T211" s="69" t="n"/>
      <c r="U211" s="69" t="n"/>
      <c r="V211" s="69" t="n"/>
      <c r="W211" s="69" t="n"/>
      <c r="X211" s="69" t="n"/>
      <c r="Y211" s="69" t="n"/>
      <c r="Z211" s="69" t="n"/>
    </row>
    <row r="212">
      <c r="A212" s="69" t="n"/>
      <c r="B212" s="69" t="n"/>
      <c r="C212" s="69" t="n"/>
      <c r="D212" s="69" t="n"/>
      <c r="E212" s="69" t="n"/>
      <c r="F212" s="69" t="n"/>
      <c r="G212" s="69" t="n"/>
      <c r="H212" s="69" t="n"/>
      <c r="I212" s="69" t="n"/>
      <c r="J212" s="69" t="n"/>
      <c r="K212" s="69" t="n"/>
      <c r="L212" s="69" t="n"/>
      <c r="M212" s="69" t="n"/>
      <c r="N212" s="69" t="n"/>
      <c r="O212" s="69" t="n"/>
      <c r="P212" s="69" t="n"/>
      <c r="Q212" s="69" t="n"/>
      <c r="R212" s="69" t="n"/>
      <c r="S212" s="69" t="n"/>
      <c r="T212" s="69" t="n"/>
      <c r="U212" s="69" t="n"/>
      <c r="V212" s="69" t="n"/>
      <c r="W212" s="69" t="n"/>
      <c r="X212" s="69" t="n"/>
      <c r="Y212" s="69" t="n"/>
      <c r="Z212" s="69" t="n"/>
    </row>
    <row r="213">
      <c r="A213" s="69" t="n"/>
      <c r="B213" s="69" t="n"/>
      <c r="C213" s="69" t="n"/>
      <c r="D213" s="69" t="n"/>
      <c r="E213" s="69" t="n"/>
      <c r="F213" s="69" t="n"/>
      <c r="G213" s="69" t="n"/>
      <c r="H213" s="69" t="n"/>
      <c r="I213" s="69" t="n"/>
      <c r="J213" s="69" t="n"/>
      <c r="K213" s="69" t="n"/>
      <c r="L213" s="69" t="n"/>
      <c r="M213" s="69" t="n"/>
      <c r="N213" s="69" t="n"/>
      <c r="O213" s="69" t="n"/>
      <c r="P213" s="69" t="n"/>
      <c r="Q213" s="69" t="n"/>
      <c r="R213" s="69" t="n"/>
      <c r="S213" s="69" t="n"/>
      <c r="T213" s="69" t="n"/>
      <c r="U213" s="69" t="n"/>
      <c r="V213" s="69" t="n"/>
      <c r="W213" s="69" t="n"/>
      <c r="X213" s="69" t="n"/>
      <c r="Y213" s="69" t="n"/>
      <c r="Z213" s="69" t="n"/>
    </row>
    <row r="214">
      <c r="A214" s="69" t="n"/>
      <c r="B214" s="69" t="n"/>
      <c r="C214" s="69" t="n"/>
      <c r="D214" s="69" t="n"/>
      <c r="E214" s="69" t="n"/>
      <c r="F214" s="69" t="n"/>
      <c r="G214" s="69" t="n"/>
      <c r="H214" s="69" t="n"/>
      <c r="I214" s="69" t="n"/>
      <c r="J214" s="69" t="n"/>
      <c r="K214" s="69" t="n"/>
      <c r="L214" s="69" t="n"/>
      <c r="M214" s="69" t="n"/>
      <c r="N214" s="69" t="n"/>
      <c r="O214" s="69" t="n"/>
      <c r="P214" s="69" t="n"/>
      <c r="Q214" s="69" t="n"/>
      <c r="R214" s="69" t="n"/>
      <c r="S214" s="69" t="n"/>
      <c r="T214" s="69" t="n"/>
      <c r="U214" s="69" t="n"/>
      <c r="V214" s="69" t="n"/>
      <c r="W214" s="69" t="n"/>
      <c r="X214" s="69" t="n"/>
      <c r="Y214" s="69" t="n"/>
      <c r="Z214" s="69" t="n"/>
    </row>
    <row r="215">
      <c r="A215" s="69" t="n"/>
      <c r="B215" s="69" t="n"/>
      <c r="C215" s="69" t="n"/>
      <c r="D215" s="69" t="n"/>
      <c r="E215" s="69" t="n"/>
      <c r="F215" s="69" t="n"/>
      <c r="G215" s="69" t="n"/>
      <c r="H215" s="69" t="n"/>
      <c r="I215" s="69" t="n"/>
      <c r="J215" s="69" t="n"/>
      <c r="K215" s="69" t="n"/>
      <c r="L215" s="69" t="n"/>
      <c r="M215" s="69" t="n"/>
      <c r="N215" s="69" t="n"/>
      <c r="O215" s="69" t="n"/>
      <c r="P215" s="69" t="n"/>
      <c r="Q215" s="69" t="n"/>
      <c r="R215" s="69" t="n"/>
      <c r="S215" s="69" t="n"/>
      <c r="T215" s="69" t="n"/>
      <c r="U215" s="69" t="n"/>
      <c r="V215" s="69" t="n"/>
      <c r="W215" s="69" t="n"/>
      <c r="X215" s="69" t="n"/>
      <c r="Y215" s="69" t="n"/>
      <c r="Z215" s="69" t="n"/>
    </row>
    <row r="216">
      <c r="A216" s="69" t="n"/>
      <c r="B216" s="69" t="n"/>
      <c r="C216" s="69" t="n"/>
      <c r="D216" s="69" t="n"/>
      <c r="E216" s="69" t="n"/>
      <c r="F216" s="69" t="n"/>
      <c r="G216" s="69" t="n"/>
      <c r="H216" s="69" t="n"/>
      <c r="I216" s="69" t="n"/>
      <c r="J216" s="69" t="n"/>
      <c r="K216" s="69" t="n"/>
      <c r="L216" s="69" t="n"/>
      <c r="M216" s="69" t="n"/>
      <c r="N216" s="69" t="n"/>
      <c r="O216" s="69" t="n"/>
      <c r="P216" s="69" t="n"/>
      <c r="Q216" s="69" t="n"/>
      <c r="R216" s="69" t="n"/>
      <c r="S216" s="69" t="n"/>
      <c r="T216" s="69" t="n"/>
      <c r="U216" s="69" t="n"/>
      <c r="V216" s="69" t="n"/>
      <c r="W216" s="69" t="n"/>
      <c r="X216" s="69" t="n"/>
      <c r="Y216" s="69" t="n"/>
      <c r="Z216" s="69" t="n"/>
    </row>
    <row r="217">
      <c r="A217" s="69" t="n"/>
      <c r="B217" s="69" t="n"/>
      <c r="C217" s="69" t="n"/>
      <c r="D217" s="69" t="n"/>
      <c r="E217" s="69" t="n"/>
      <c r="F217" s="69" t="n"/>
      <c r="G217" s="69" t="n"/>
      <c r="H217" s="69" t="n"/>
      <c r="I217" s="69" t="n"/>
      <c r="J217" s="69" t="n"/>
      <c r="K217" s="69" t="n"/>
      <c r="L217" s="69" t="n"/>
      <c r="M217" s="69" t="n"/>
      <c r="N217" s="69" t="n"/>
      <c r="O217" s="69" t="n"/>
      <c r="P217" s="69" t="n"/>
      <c r="Q217" s="69" t="n"/>
      <c r="R217" s="69" t="n"/>
      <c r="S217" s="69" t="n"/>
      <c r="T217" s="69" t="n"/>
      <c r="U217" s="69" t="n"/>
      <c r="V217" s="69" t="n"/>
      <c r="W217" s="69" t="n"/>
      <c r="X217" s="69" t="n"/>
      <c r="Y217" s="69" t="n"/>
      <c r="Z217" s="69" t="n"/>
    </row>
    <row r="218">
      <c r="A218" s="69" t="n"/>
      <c r="B218" s="69" t="n"/>
      <c r="C218" s="69" t="n"/>
      <c r="D218" s="69" t="n"/>
      <c r="E218" s="69" t="n"/>
      <c r="F218" s="69" t="n"/>
      <c r="G218" s="69" t="n"/>
      <c r="H218" s="69" t="n"/>
      <c r="I218" s="69" t="n"/>
      <c r="J218" s="69" t="n"/>
      <c r="K218" s="69" t="n"/>
      <c r="L218" s="69" t="n"/>
      <c r="M218" s="69" t="n"/>
      <c r="N218" s="69" t="n"/>
      <c r="O218" s="69" t="n"/>
      <c r="P218" s="69" t="n"/>
      <c r="Q218" s="69" t="n"/>
      <c r="R218" s="69" t="n"/>
      <c r="S218" s="69" t="n"/>
      <c r="T218" s="69" t="n"/>
      <c r="U218" s="69" t="n"/>
      <c r="V218" s="69" t="n"/>
      <c r="W218" s="69" t="n"/>
      <c r="X218" s="69" t="n"/>
      <c r="Y218" s="69" t="n"/>
      <c r="Z218" s="69" t="n"/>
    </row>
    <row r="219">
      <c r="A219" s="69" t="n"/>
      <c r="B219" s="69" t="n"/>
      <c r="C219" s="69" t="n"/>
      <c r="D219" s="69" t="n"/>
      <c r="E219" s="69" t="n"/>
      <c r="F219" s="69" t="n"/>
      <c r="G219" s="69" t="n"/>
      <c r="H219" s="69" t="n"/>
      <c r="I219" s="69" t="n"/>
      <c r="J219" s="69" t="n"/>
      <c r="K219" s="69" t="n"/>
      <c r="L219" s="69" t="n"/>
      <c r="M219" s="69" t="n"/>
      <c r="N219" s="69" t="n"/>
      <c r="O219" s="69" t="n"/>
      <c r="P219" s="69" t="n"/>
      <c r="Q219" s="69" t="n"/>
      <c r="R219" s="69" t="n"/>
      <c r="S219" s="69" t="n"/>
      <c r="T219" s="69" t="n"/>
      <c r="U219" s="69" t="n"/>
      <c r="V219" s="69" t="n"/>
      <c r="W219" s="69" t="n"/>
      <c r="X219" s="69" t="n"/>
      <c r="Y219" s="69" t="n"/>
      <c r="Z219" s="69" t="n"/>
    </row>
    <row r="220">
      <c r="A220" s="69" t="n"/>
      <c r="B220" s="69" t="n"/>
      <c r="C220" s="69" t="n"/>
      <c r="D220" s="69" t="n"/>
      <c r="E220" s="69" t="n"/>
      <c r="F220" s="69" t="n"/>
      <c r="G220" s="69" t="n"/>
      <c r="H220" s="69" t="n"/>
      <c r="I220" s="69" t="n"/>
      <c r="J220" s="69" t="n"/>
      <c r="K220" s="69" t="n"/>
      <c r="L220" s="69" t="n"/>
      <c r="M220" s="69" t="n"/>
      <c r="N220" s="69" t="n"/>
      <c r="O220" s="69" t="n"/>
      <c r="P220" s="69" t="n"/>
      <c r="Q220" s="69" t="n"/>
      <c r="R220" s="69" t="n"/>
      <c r="S220" s="69" t="n"/>
      <c r="T220" s="69" t="n"/>
      <c r="U220" s="69" t="n"/>
      <c r="V220" s="69" t="n"/>
      <c r="W220" s="69" t="n"/>
      <c r="X220" s="69" t="n"/>
      <c r="Y220" s="69" t="n"/>
      <c r="Z220" s="69" t="n"/>
    </row>
    <row r="221">
      <c r="A221" s="69" t="n"/>
      <c r="B221" s="69" t="n"/>
      <c r="C221" s="69" t="n"/>
      <c r="D221" s="69" t="n"/>
      <c r="E221" s="69" t="n"/>
      <c r="F221" s="69" t="n"/>
      <c r="G221" s="69" t="n"/>
      <c r="H221" s="69" t="n"/>
      <c r="I221" s="69" t="n"/>
      <c r="J221" s="69" t="n"/>
      <c r="K221" s="69" t="n"/>
      <c r="L221" s="69" t="n"/>
      <c r="M221" s="69" t="n"/>
      <c r="N221" s="69" t="n"/>
      <c r="O221" s="69" t="n"/>
      <c r="P221" s="69" t="n"/>
      <c r="Q221" s="69" t="n"/>
      <c r="R221" s="69" t="n"/>
      <c r="S221" s="69" t="n"/>
      <c r="T221" s="69" t="n"/>
      <c r="U221" s="69" t="n"/>
      <c r="V221" s="69" t="n"/>
      <c r="W221" s="69" t="n"/>
      <c r="X221" s="69" t="n"/>
      <c r="Y221" s="69" t="n"/>
      <c r="Z221" s="69" t="n"/>
    </row>
    <row r="222">
      <c r="A222" s="69" t="n"/>
      <c r="B222" s="69" t="n"/>
      <c r="C222" s="69" t="n"/>
      <c r="D222" s="69" t="n"/>
      <c r="E222" s="69" t="n"/>
      <c r="F222" s="69" t="n"/>
      <c r="G222" s="69" t="n"/>
      <c r="H222" s="69" t="n"/>
      <c r="I222" s="69" t="n"/>
      <c r="J222" s="69" t="n"/>
      <c r="K222" s="69" t="n"/>
      <c r="L222" s="69" t="n"/>
      <c r="M222" s="69" t="n"/>
      <c r="N222" s="69" t="n"/>
      <c r="O222" s="69" t="n"/>
      <c r="P222" s="69" t="n"/>
      <c r="Q222" s="69" t="n"/>
      <c r="R222" s="69" t="n"/>
      <c r="S222" s="69" t="n"/>
      <c r="T222" s="69" t="n"/>
      <c r="U222" s="69" t="n"/>
      <c r="V222" s="69" t="n"/>
      <c r="W222" s="69" t="n"/>
      <c r="X222" s="69" t="n"/>
      <c r="Y222" s="69" t="n"/>
      <c r="Z222" s="69" t="n"/>
    </row>
    <row r="223">
      <c r="A223" s="69" t="n"/>
      <c r="B223" s="69" t="n"/>
      <c r="C223" s="69" t="n"/>
      <c r="D223" s="69" t="n"/>
      <c r="E223" s="69" t="n"/>
      <c r="F223" s="69" t="n"/>
      <c r="G223" s="69" t="n"/>
      <c r="H223" s="69" t="n"/>
      <c r="I223" s="69" t="n"/>
      <c r="J223" s="69" t="n"/>
      <c r="K223" s="69" t="n"/>
      <c r="L223" s="69" t="n"/>
      <c r="M223" s="69" t="n"/>
      <c r="N223" s="69" t="n"/>
      <c r="O223" s="69" t="n"/>
      <c r="P223" s="69" t="n"/>
      <c r="Q223" s="69" t="n"/>
      <c r="R223" s="69" t="n"/>
      <c r="S223" s="69" t="n"/>
      <c r="T223" s="69" t="n"/>
      <c r="U223" s="69" t="n"/>
      <c r="V223" s="69" t="n"/>
      <c r="W223" s="69" t="n"/>
      <c r="X223" s="69" t="n"/>
      <c r="Y223" s="69" t="n"/>
      <c r="Z223" s="69" t="n"/>
    </row>
    <row r="224">
      <c r="A224" s="69" t="n"/>
      <c r="B224" s="69" t="n"/>
      <c r="C224" s="69" t="n"/>
      <c r="D224" s="69" t="n"/>
      <c r="E224" s="69" t="n"/>
      <c r="F224" s="69" t="n"/>
      <c r="G224" s="69" t="n"/>
      <c r="H224" s="69" t="n"/>
      <c r="I224" s="69" t="n"/>
      <c r="J224" s="69" t="n"/>
      <c r="K224" s="69" t="n"/>
      <c r="L224" s="69" t="n"/>
      <c r="M224" s="69" t="n"/>
      <c r="N224" s="69" t="n"/>
      <c r="O224" s="69" t="n"/>
      <c r="P224" s="69" t="n"/>
      <c r="Q224" s="69" t="n"/>
      <c r="R224" s="69" t="n"/>
      <c r="S224" s="69" t="n"/>
      <c r="T224" s="69" t="n"/>
      <c r="U224" s="69" t="n"/>
      <c r="V224" s="69" t="n"/>
      <c r="W224" s="69" t="n"/>
      <c r="X224" s="69" t="n"/>
      <c r="Y224" s="69" t="n"/>
      <c r="Z224" s="69" t="n"/>
    </row>
    <row r="225">
      <c r="A225" s="69" t="n"/>
      <c r="B225" s="69" t="n"/>
      <c r="C225" s="69" t="n"/>
      <c r="D225" s="69" t="n"/>
      <c r="E225" s="69" t="n"/>
      <c r="F225" s="69" t="n"/>
      <c r="G225" s="69" t="n"/>
      <c r="H225" s="69" t="n"/>
      <c r="I225" s="69" t="n"/>
      <c r="J225" s="69" t="n"/>
      <c r="K225" s="69" t="n"/>
      <c r="L225" s="69" t="n"/>
      <c r="M225" s="69" t="n"/>
      <c r="N225" s="69" t="n"/>
      <c r="O225" s="69" t="n"/>
      <c r="P225" s="69" t="n"/>
      <c r="Q225" s="69" t="n"/>
      <c r="R225" s="69" t="n"/>
      <c r="S225" s="69" t="n"/>
      <c r="T225" s="69" t="n"/>
      <c r="U225" s="69" t="n"/>
      <c r="V225" s="69" t="n"/>
      <c r="W225" s="69" t="n"/>
      <c r="X225" s="69" t="n"/>
      <c r="Y225" s="69" t="n"/>
      <c r="Z225" s="69" t="n"/>
    </row>
    <row r="226">
      <c r="A226" s="69" t="n"/>
      <c r="B226" s="69" t="n"/>
      <c r="C226" s="69" t="n"/>
      <c r="D226" s="69" t="n"/>
      <c r="E226" s="69" t="n"/>
      <c r="F226" s="69" t="n"/>
      <c r="G226" s="69" t="n"/>
      <c r="H226" s="69" t="n"/>
      <c r="I226" s="69" t="n"/>
      <c r="J226" s="69" t="n"/>
      <c r="K226" s="69" t="n"/>
      <c r="L226" s="69" t="n"/>
      <c r="M226" s="69" t="n"/>
      <c r="N226" s="69" t="n"/>
      <c r="O226" s="69" t="n"/>
      <c r="P226" s="69" t="n"/>
      <c r="Q226" s="69" t="n"/>
      <c r="R226" s="69" t="n"/>
      <c r="S226" s="69" t="n"/>
      <c r="T226" s="69" t="n"/>
      <c r="U226" s="69" t="n"/>
      <c r="V226" s="69" t="n"/>
      <c r="W226" s="69" t="n"/>
      <c r="X226" s="69" t="n"/>
      <c r="Y226" s="69" t="n"/>
      <c r="Z226" s="69" t="n"/>
    </row>
    <row r="227">
      <c r="A227" s="69" t="n"/>
      <c r="B227" s="69" t="n"/>
      <c r="C227" s="69" t="n"/>
      <c r="D227" s="69" t="n"/>
      <c r="E227" s="69" t="n"/>
      <c r="F227" s="69" t="n"/>
      <c r="G227" s="69" t="n"/>
      <c r="H227" s="69" t="n"/>
      <c r="I227" s="69" t="n"/>
      <c r="J227" s="69" t="n"/>
      <c r="K227" s="69" t="n"/>
      <c r="L227" s="69" t="n"/>
      <c r="M227" s="69" t="n"/>
      <c r="N227" s="69" t="n"/>
      <c r="O227" s="69" t="n"/>
      <c r="P227" s="69" t="n"/>
      <c r="Q227" s="69" t="n"/>
      <c r="R227" s="69" t="n"/>
      <c r="S227" s="69" t="n"/>
      <c r="T227" s="69" t="n"/>
      <c r="U227" s="69" t="n"/>
      <c r="V227" s="69" t="n"/>
      <c r="W227" s="69" t="n"/>
      <c r="X227" s="69" t="n"/>
      <c r="Y227" s="69" t="n"/>
      <c r="Z227" s="69" t="n"/>
    </row>
    <row r="228">
      <c r="A228" s="69" t="n"/>
      <c r="B228" s="69" t="n"/>
      <c r="C228" s="69" t="n"/>
      <c r="D228" s="69" t="n"/>
      <c r="E228" s="69" t="n"/>
      <c r="F228" s="69" t="n"/>
      <c r="G228" s="69" t="n"/>
      <c r="H228" s="69" t="n"/>
      <c r="I228" s="69" t="n"/>
      <c r="J228" s="69" t="n"/>
      <c r="K228" s="69" t="n"/>
      <c r="L228" s="69" t="n"/>
      <c r="M228" s="69" t="n"/>
      <c r="N228" s="69" t="n"/>
      <c r="O228" s="69" t="n"/>
      <c r="P228" s="69" t="n"/>
      <c r="Q228" s="69" t="n"/>
      <c r="R228" s="69" t="n"/>
      <c r="S228" s="69" t="n"/>
      <c r="T228" s="69" t="n"/>
      <c r="U228" s="69" t="n"/>
      <c r="V228" s="69" t="n"/>
      <c r="W228" s="69" t="n"/>
      <c r="X228" s="69" t="n"/>
      <c r="Y228" s="69" t="n"/>
      <c r="Z228" s="69" t="n"/>
    </row>
    <row r="229">
      <c r="A229" s="69" t="n"/>
      <c r="B229" s="69" t="n"/>
      <c r="C229" s="69" t="n"/>
      <c r="D229" s="69" t="n"/>
      <c r="E229" s="69" t="n"/>
      <c r="F229" s="69" t="n"/>
      <c r="G229" s="69" t="n"/>
      <c r="H229" s="69" t="n"/>
      <c r="I229" s="69" t="n"/>
      <c r="J229" s="69" t="n"/>
      <c r="K229" s="69" t="n"/>
      <c r="L229" s="69" t="n"/>
      <c r="M229" s="69" t="n"/>
      <c r="N229" s="69" t="n"/>
      <c r="O229" s="69" t="n"/>
      <c r="P229" s="69" t="n"/>
      <c r="Q229" s="69" t="n"/>
      <c r="R229" s="69" t="n"/>
      <c r="S229" s="69" t="n"/>
      <c r="T229" s="69" t="n"/>
      <c r="U229" s="69" t="n"/>
      <c r="V229" s="69" t="n"/>
      <c r="W229" s="69" t="n"/>
      <c r="X229" s="69" t="n"/>
      <c r="Y229" s="69" t="n"/>
      <c r="Z229" s="69" t="n"/>
    </row>
    <row r="230">
      <c r="A230" s="69" t="n"/>
      <c r="B230" s="69" t="n"/>
      <c r="C230" s="69" t="n"/>
      <c r="D230" s="69" t="n"/>
      <c r="E230" s="69" t="n"/>
      <c r="F230" s="69" t="n"/>
      <c r="G230" s="69" t="n"/>
      <c r="H230" s="69" t="n"/>
      <c r="I230" s="69" t="n"/>
      <c r="J230" s="69" t="n"/>
      <c r="K230" s="69" t="n"/>
      <c r="L230" s="69" t="n"/>
      <c r="M230" s="69" t="n"/>
      <c r="N230" s="69" t="n"/>
      <c r="O230" s="69" t="n"/>
      <c r="P230" s="69" t="n"/>
      <c r="Q230" s="69" t="n"/>
      <c r="R230" s="69" t="n"/>
      <c r="S230" s="69" t="n"/>
      <c r="T230" s="69" t="n"/>
      <c r="U230" s="69" t="n"/>
      <c r="V230" s="69" t="n"/>
      <c r="W230" s="69" t="n"/>
      <c r="X230" s="69" t="n"/>
      <c r="Y230" s="69" t="n"/>
      <c r="Z230" s="69" t="n"/>
    </row>
    <row r="231">
      <c r="A231" s="69" t="n"/>
      <c r="B231" s="69" t="n"/>
      <c r="C231" s="69" t="n"/>
      <c r="D231" s="69" t="n"/>
      <c r="E231" s="69" t="n"/>
      <c r="F231" s="69" t="n"/>
      <c r="G231" s="69" t="n"/>
      <c r="H231" s="69" t="n"/>
      <c r="I231" s="69" t="n"/>
      <c r="J231" s="69" t="n"/>
      <c r="K231" s="69" t="n"/>
      <c r="L231" s="69" t="n"/>
      <c r="M231" s="69" t="n"/>
      <c r="N231" s="69" t="n"/>
      <c r="O231" s="69" t="n"/>
      <c r="P231" s="69" t="n"/>
      <c r="Q231" s="69" t="n"/>
      <c r="R231" s="69" t="n"/>
      <c r="S231" s="69" t="n"/>
      <c r="T231" s="69" t="n"/>
      <c r="U231" s="69" t="n"/>
      <c r="V231" s="69" t="n"/>
      <c r="W231" s="69" t="n"/>
      <c r="X231" s="69" t="n"/>
      <c r="Y231" s="69" t="n"/>
      <c r="Z231" s="69" t="n"/>
    </row>
    <row r="232">
      <c r="A232" s="69" t="n"/>
      <c r="B232" s="69" t="n"/>
      <c r="C232" s="69" t="n"/>
      <c r="D232" s="69" t="n"/>
      <c r="E232" s="69" t="n"/>
      <c r="F232" s="69" t="n"/>
      <c r="G232" s="69" t="n"/>
      <c r="H232" s="69" t="n"/>
      <c r="I232" s="69" t="n"/>
      <c r="J232" s="69" t="n"/>
      <c r="K232" s="69" t="n"/>
      <c r="L232" s="69" t="n"/>
      <c r="M232" s="69" t="n"/>
      <c r="N232" s="69" t="n"/>
      <c r="O232" s="69" t="n"/>
      <c r="P232" s="69" t="n"/>
      <c r="Q232" s="69" t="n"/>
      <c r="R232" s="69" t="n"/>
      <c r="S232" s="69" t="n"/>
      <c r="T232" s="69" t="n"/>
      <c r="U232" s="69" t="n"/>
      <c r="V232" s="69" t="n"/>
      <c r="W232" s="69" t="n"/>
      <c r="X232" s="69" t="n"/>
      <c r="Y232" s="69" t="n"/>
      <c r="Z232" s="69" t="n"/>
    </row>
    <row r="233">
      <c r="A233" s="69" t="n"/>
      <c r="B233" s="69" t="n"/>
      <c r="C233" s="69" t="n"/>
      <c r="D233" s="69" t="n"/>
      <c r="E233" s="69" t="n"/>
      <c r="F233" s="69" t="n"/>
      <c r="G233" s="69" t="n"/>
      <c r="H233" s="69" t="n"/>
      <c r="I233" s="69" t="n"/>
      <c r="J233" s="69" t="n"/>
      <c r="K233" s="69" t="n"/>
      <c r="L233" s="69" t="n"/>
      <c r="M233" s="69" t="n"/>
      <c r="N233" s="69" t="n"/>
      <c r="O233" s="69" t="n"/>
      <c r="P233" s="69" t="n"/>
      <c r="Q233" s="69" t="n"/>
      <c r="R233" s="69" t="n"/>
      <c r="S233" s="69" t="n"/>
      <c r="T233" s="69" t="n"/>
      <c r="U233" s="69" t="n"/>
      <c r="V233" s="69" t="n"/>
      <c r="W233" s="69" t="n"/>
      <c r="X233" s="69" t="n"/>
      <c r="Y233" s="69" t="n"/>
      <c r="Z233" s="69" t="n"/>
    </row>
    <row r="234">
      <c r="A234" s="69" t="n"/>
      <c r="B234" s="69" t="n"/>
      <c r="C234" s="69" t="n"/>
      <c r="D234" s="69" t="n"/>
      <c r="E234" s="69" t="n"/>
      <c r="F234" s="69" t="n"/>
      <c r="G234" s="69" t="n"/>
      <c r="H234" s="69" t="n"/>
      <c r="I234" s="69" t="n"/>
      <c r="J234" s="69" t="n"/>
      <c r="K234" s="69" t="n"/>
      <c r="L234" s="69" t="n"/>
      <c r="M234" s="69" t="n"/>
      <c r="N234" s="69" t="n"/>
      <c r="O234" s="69" t="n"/>
      <c r="P234" s="69" t="n"/>
      <c r="Q234" s="69" t="n"/>
      <c r="R234" s="69" t="n"/>
      <c r="S234" s="69" t="n"/>
      <c r="T234" s="69" t="n"/>
      <c r="U234" s="69" t="n"/>
      <c r="V234" s="69" t="n"/>
      <c r="W234" s="69" t="n"/>
      <c r="X234" s="69" t="n"/>
      <c r="Y234" s="69" t="n"/>
      <c r="Z234" s="69" t="n"/>
    </row>
    <row r="235">
      <c r="A235" s="69" t="n"/>
      <c r="B235" s="69" t="n"/>
      <c r="C235" s="69" t="n"/>
      <c r="D235" s="69" t="n"/>
      <c r="E235" s="69" t="n"/>
      <c r="F235" s="69" t="n"/>
      <c r="G235" s="69" t="n"/>
      <c r="H235" s="69" t="n"/>
      <c r="I235" s="69" t="n"/>
      <c r="J235" s="69" t="n"/>
      <c r="K235" s="69" t="n"/>
      <c r="L235" s="69" t="n"/>
      <c r="M235" s="69" t="n"/>
      <c r="N235" s="69" t="n"/>
      <c r="O235" s="69" t="n"/>
      <c r="P235" s="69" t="n"/>
      <c r="Q235" s="69" t="n"/>
      <c r="R235" s="69" t="n"/>
      <c r="S235" s="69" t="n"/>
      <c r="T235" s="69" t="n"/>
      <c r="U235" s="69" t="n"/>
      <c r="V235" s="69" t="n"/>
      <c r="W235" s="69" t="n"/>
      <c r="X235" s="69" t="n"/>
      <c r="Y235" s="69" t="n"/>
      <c r="Z235" s="69" t="n"/>
    </row>
    <row r="236">
      <c r="A236" s="69" t="n"/>
      <c r="B236" s="69" t="n"/>
      <c r="C236" s="69" t="n"/>
      <c r="D236" s="69" t="n"/>
      <c r="E236" s="69" t="n"/>
      <c r="F236" s="69" t="n"/>
      <c r="G236" s="69" t="n"/>
      <c r="H236" s="69" t="n"/>
      <c r="I236" s="69" t="n"/>
      <c r="J236" s="69" t="n"/>
      <c r="K236" s="69" t="n"/>
      <c r="L236" s="69" t="n"/>
      <c r="M236" s="69" t="n"/>
      <c r="N236" s="69" t="n"/>
      <c r="O236" s="69" t="n"/>
      <c r="P236" s="69" t="n"/>
      <c r="Q236" s="69" t="n"/>
      <c r="R236" s="69" t="n"/>
      <c r="S236" s="69" t="n"/>
      <c r="T236" s="69" t="n"/>
      <c r="U236" s="69" t="n"/>
      <c r="V236" s="69" t="n"/>
      <c r="W236" s="69" t="n"/>
      <c r="X236" s="69" t="n"/>
      <c r="Y236" s="69" t="n"/>
      <c r="Z236" s="69" t="n"/>
    </row>
    <row r="237">
      <c r="A237" s="69" t="n"/>
      <c r="B237" s="69" t="n"/>
      <c r="C237" s="69" t="n"/>
      <c r="D237" s="69" t="n"/>
      <c r="E237" s="69" t="n"/>
      <c r="F237" s="69" t="n"/>
      <c r="G237" s="69" t="n"/>
      <c r="H237" s="69" t="n"/>
      <c r="I237" s="69" t="n"/>
      <c r="J237" s="69" t="n"/>
      <c r="K237" s="69" t="n"/>
      <c r="L237" s="69" t="n"/>
      <c r="M237" s="69" t="n"/>
      <c r="N237" s="69" t="n"/>
      <c r="O237" s="69" t="n"/>
      <c r="P237" s="69" t="n"/>
      <c r="Q237" s="69" t="n"/>
      <c r="R237" s="69" t="n"/>
      <c r="S237" s="69" t="n"/>
      <c r="T237" s="69" t="n"/>
      <c r="U237" s="69" t="n"/>
      <c r="V237" s="69" t="n"/>
      <c r="W237" s="69" t="n"/>
      <c r="X237" s="69" t="n"/>
      <c r="Y237" s="69" t="n"/>
      <c r="Z237" s="69" t="n"/>
    </row>
    <row r="238">
      <c r="A238" s="69" t="n"/>
      <c r="B238" s="69" t="n"/>
      <c r="C238" s="69" t="n"/>
      <c r="D238" s="69" t="n"/>
      <c r="E238" s="69" t="n"/>
      <c r="F238" s="69" t="n"/>
      <c r="G238" s="69" t="n"/>
      <c r="H238" s="69" t="n"/>
      <c r="I238" s="69" t="n"/>
      <c r="J238" s="69" t="n"/>
      <c r="K238" s="69" t="n"/>
      <c r="L238" s="69" t="n"/>
      <c r="M238" s="69" t="n"/>
      <c r="N238" s="69" t="n"/>
      <c r="O238" s="69" t="n"/>
      <c r="P238" s="69" t="n"/>
      <c r="Q238" s="69" t="n"/>
      <c r="R238" s="69" t="n"/>
      <c r="S238" s="69" t="n"/>
      <c r="T238" s="69" t="n"/>
      <c r="U238" s="69" t="n"/>
      <c r="V238" s="69" t="n"/>
      <c r="W238" s="69" t="n"/>
      <c r="X238" s="69" t="n"/>
      <c r="Y238" s="69" t="n"/>
      <c r="Z238" s="69" t="n"/>
    </row>
    <row r="239">
      <c r="A239" s="69" t="n"/>
      <c r="B239" s="69" t="n"/>
      <c r="C239" s="69" t="n"/>
      <c r="D239" s="69" t="n"/>
      <c r="E239" s="69" t="n"/>
      <c r="F239" s="69" t="n"/>
      <c r="G239" s="69" t="n"/>
      <c r="H239" s="69" t="n"/>
      <c r="I239" s="69" t="n"/>
      <c r="J239" s="69" t="n"/>
      <c r="K239" s="69" t="n"/>
      <c r="L239" s="69" t="n"/>
      <c r="M239" s="69" t="n"/>
      <c r="N239" s="69" t="n"/>
      <c r="O239" s="69" t="n"/>
      <c r="P239" s="69" t="n"/>
      <c r="Q239" s="69" t="n"/>
      <c r="R239" s="69" t="n"/>
      <c r="S239" s="69" t="n"/>
      <c r="T239" s="69" t="n"/>
      <c r="U239" s="69" t="n"/>
      <c r="V239" s="69" t="n"/>
      <c r="W239" s="69" t="n"/>
      <c r="X239" s="69" t="n"/>
      <c r="Y239" s="69" t="n"/>
      <c r="Z239" s="69" t="n"/>
    </row>
    <row r="240">
      <c r="A240" s="69" t="n"/>
      <c r="B240" s="69" t="n"/>
      <c r="C240" s="69" t="n"/>
      <c r="D240" s="69" t="n"/>
      <c r="E240" s="69" t="n"/>
      <c r="F240" s="69" t="n"/>
      <c r="G240" s="69" t="n"/>
      <c r="H240" s="69" t="n"/>
      <c r="I240" s="69" t="n"/>
      <c r="J240" s="69" t="n"/>
      <c r="K240" s="69" t="n"/>
      <c r="L240" s="69" t="n"/>
      <c r="M240" s="69" t="n"/>
      <c r="N240" s="69" t="n"/>
      <c r="O240" s="69" t="n"/>
      <c r="P240" s="69" t="n"/>
      <c r="Q240" s="69" t="n"/>
      <c r="R240" s="69" t="n"/>
      <c r="S240" s="69" t="n"/>
      <c r="T240" s="69" t="n"/>
      <c r="U240" s="69" t="n"/>
      <c r="V240" s="69" t="n"/>
      <c r="W240" s="69" t="n"/>
      <c r="X240" s="69" t="n"/>
      <c r="Y240" s="69" t="n"/>
      <c r="Z240" s="69" t="n"/>
    </row>
    <row r="241">
      <c r="A241" s="69" t="n"/>
      <c r="B241" s="69" t="n"/>
      <c r="C241" s="69" t="n"/>
      <c r="D241" s="69" t="n"/>
      <c r="E241" s="69" t="n"/>
      <c r="F241" s="69" t="n"/>
      <c r="G241" s="69" t="n"/>
      <c r="H241" s="69" t="n"/>
      <c r="I241" s="69" t="n"/>
      <c r="J241" s="69" t="n"/>
      <c r="K241" s="69" t="n"/>
      <c r="L241" s="69" t="n"/>
      <c r="M241" s="69" t="n"/>
      <c r="N241" s="69" t="n"/>
      <c r="O241" s="69" t="n"/>
      <c r="P241" s="69" t="n"/>
      <c r="Q241" s="69" t="n"/>
      <c r="R241" s="69" t="n"/>
      <c r="S241" s="69" t="n"/>
      <c r="T241" s="69" t="n"/>
      <c r="U241" s="69" t="n"/>
      <c r="V241" s="69" t="n"/>
      <c r="W241" s="69" t="n"/>
      <c r="X241" s="69" t="n"/>
      <c r="Y241" s="69" t="n"/>
      <c r="Z241" s="69" t="n"/>
    </row>
    <row r="242">
      <c r="A242" s="69" t="n"/>
      <c r="B242" s="69" t="n"/>
      <c r="C242" s="69" t="n"/>
      <c r="D242" s="69" t="n"/>
      <c r="E242" s="69" t="n"/>
      <c r="F242" s="69" t="n"/>
      <c r="G242" s="69" t="n"/>
      <c r="H242" s="69" t="n"/>
      <c r="I242" s="69" t="n"/>
      <c r="J242" s="69" t="n"/>
      <c r="K242" s="69" t="n"/>
      <c r="L242" s="69" t="n"/>
      <c r="M242" s="69" t="n"/>
      <c r="N242" s="69" t="n"/>
      <c r="O242" s="69" t="n"/>
      <c r="P242" s="69" t="n"/>
      <c r="Q242" s="69" t="n"/>
      <c r="R242" s="69" t="n"/>
      <c r="S242" s="69" t="n"/>
      <c r="T242" s="69" t="n"/>
      <c r="U242" s="69" t="n"/>
      <c r="V242" s="69" t="n"/>
      <c r="W242" s="69" t="n"/>
      <c r="X242" s="69" t="n"/>
      <c r="Y242" s="69" t="n"/>
      <c r="Z242" s="69" t="n"/>
    </row>
    <row r="243">
      <c r="A243" s="69" t="n"/>
      <c r="B243" s="69" t="n"/>
      <c r="C243" s="69" t="n"/>
      <c r="D243" s="69" t="n"/>
      <c r="E243" s="69" t="n"/>
      <c r="F243" s="69" t="n"/>
      <c r="G243" s="69" t="n"/>
      <c r="H243" s="69" t="n"/>
      <c r="I243" s="69" t="n"/>
      <c r="J243" s="69" t="n"/>
      <c r="K243" s="69" t="n"/>
      <c r="L243" s="69" t="n"/>
      <c r="M243" s="69" t="n"/>
      <c r="N243" s="69" t="n"/>
      <c r="O243" s="69" t="n"/>
      <c r="P243" s="69" t="n"/>
      <c r="Q243" s="69" t="n"/>
      <c r="R243" s="69" t="n"/>
      <c r="S243" s="69" t="n"/>
      <c r="T243" s="69" t="n"/>
      <c r="U243" s="69" t="n"/>
      <c r="V243" s="69" t="n"/>
      <c r="W243" s="69" t="n"/>
      <c r="X243" s="69" t="n"/>
      <c r="Y243" s="69" t="n"/>
      <c r="Z243" s="69" t="n"/>
    </row>
    <row r="244">
      <c r="A244" s="69" t="n"/>
      <c r="B244" s="69" t="n"/>
      <c r="C244" s="69" t="n"/>
      <c r="D244" s="69" t="n"/>
      <c r="E244" s="69" t="n"/>
      <c r="F244" s="69" t="n"/>
      <c r="G244" s="69" t="n"/>
      <c r="H244" s="69" t="n"/>
      <c r="I244" s="69" t="n"/>
      <c r="J244" s="69" t="n"/>
      <c r="K244" s="69" t="n"/>
      <c r="L244" s="69" t="n"/>
      <c r="M244" s="69" t="n"/>
      <c r="N244" s="69" t="n"/>
      <c r="O244" s="69" t="n"/>
      <c r="P244" s="69" t="n"/>
      <c r="Q244" s="69" t="n"/>
      <c r="R244" s="69" t="n"/>
      <c r="S244" s="69" t="n"/>
      <c r="T244" s="69" t="n"/>
      <c r="U244" s="69" t="n"/>
      <c r="V244" s="69" t="n"/>
      <c r="W244" s="69" t="n"/>
      <c r="X244" s="69" t="n"/>
      <c r="Y244" s="69" t="n"/>
      <c r="Z244" s="69" t="n"/>
    </row>
    <row r="245">
      <c r="A245" s="69" t="n"/>
      <c r="B245" s="69" t="n"/>
      <c r="C245" s="69" t="n"/>
      <c r="D245" s="69" t="n"/>
      <c r="E245" s="69" t="n"/>
      <c r="F245" s="69" t="n"/>
      <c r="G245" s="69" t="n"/>
      <c r="H245" s="69" t="n"/>
      <c r="I245" s="69" t="n"/>
      <c r="J245" s="69" t="n"/>
      <c r="K245" s="69" t="n"/>
      <c r="L245" s="69" t="n"/>
      <c r="M245" s="69" t="n"/>
      <c r="N245" s="69" t="n"/>
      <c r="O245" s="69" t="n"/>
      <c r="P245" s="69" t="n"/>
      <c r="Q245" s="69" t="n"/>
      <c r="R245" s="69" t="n"/>
      <c r="S245" s="69" t="n"/>
      <c r="T245" s="69" t="n"/>
      <c r="U245" s="69" t="n"/>
      <c r="V245" s="69" t="n"/>
      <c r="W245" s="69" t="n"/>
      <c r="X245" s="69" t="n"/>
      <c r="Y245" s="69" t="n"/>
      <c r="Z245" s="69" t="n"/>
    </row>
    <row r="246">
      <c r="A246" s="69" t="n"/>
      <c r="B246" s="69" t="n"/>
      <c r="C246" s="69" t="n"/>
      <c r="D246" s="69" t="n"/>
      <c r="E246" s="69" t="n"/>
      <c r="F246" s="69" t="n"/>
      <c r="G246" s="69" t="n"/>
      <c r="H246" s="69" t="n"/>
      <c r="I246" s="69" t="n"/>
      <c r="J246" s="69" t="n"/>
      <c r="K246" s="69" t="n"/>
      <c r="L246" s="69" t="n"/>
      <c r="M246" s="69" t="n"/>
      <c r="N246" s="69" t="n"/>
      <c r="O246" s="69" t="n"/>
      <c r="P246" s="69" t="n"/>
      <c r="Q246" s="69" t="n"/>
      <c r="R246" s="69" t="n"/>
      <c r="S246" s="69" t="n"/>
      <c r="T246" s="69" t="n"/>
      <c r="U246" s="69" t="n"/>
      <c r="V246" s="69" t="n"/>
      <c r="W246" s="69" t="n"/>
      <c r="X246" s="69" t="n"/>
      <c r="Y246" s="69" t="n"/>
      <c r="Z246" s="69" t="n"/>
    </row>
    <row r="247">
      <c r="A247" s="69" t="n"/>
      <c r="B247" s="69" t="n"/>
      <c r="C247" s="69" t="n"/>
      <c r="D247" s="69" t="n"/>
      <c r="E247" s="69" t="n"/>
      <c r="F247" s="69" t="n"/>
      <c r="G247" s="69" t="n"/>
      <c r="H247" s="69" t="n"/>
      <c r="I247" s="69" t="n"/>
      <c r="J247" s="69" t="n"/>
      <c r="K247" s="69" t="n"/>
      <c r="L247" s="69" t="n"/>
      <c r="M247" s="69" t="n"/>
      <c r="N247" s="69" t="n"/>
      <c r="O247" s="69" t="n"/>
      <c r="P247" s="69" t="n"/>
      <c r="Q247" s="69" t="n"/>
      <c r="R247" s="69" t="n"/>
      <c r="S247" s="69" t="n"/>
      <c r="T247" s="69" t="n"/>
      <c r="U247" s="69" t="n"/>
      <c r="V247" s="69" t="n"/>
      <c r="W247" s="69" t="n"/>
      <c r="X247" s="69" t="n"/>
      <c r="Y247" s="69" t="n"/>
      <c r="Z247" s="69" t="n"/>
    </row>
    <row r="248">
      <c r="A248" s="69" t="n"/>
      <c r="B248" s="69" t="n"/>
      <c r="C248" s="69" t="n"/>
      <c r="D248" s="69" t="n"/>
      <c r="E248" s="69" t="n"/>
      <c r="F248" s="69" t="n"/>
      <c r="G248" s="69" t="n"/>
      <c r="H248" s="69" t="n"/>
      <c r="I248" s="69" t="n"/>
      <c r="J248" s="69" t="n"/>
      <c r="K248" s="69" t="n"/>
      <c r="L248" s="69" t="n"/>
      <c r="M248" s="69" t="n"/>
      <c r="N248" s="69" t="n"/>
      <c r="O248" s="69" t="n"/>
      <c r="P248" s="69" t="n"/>
      <c r="Q248" s="69" t="n"/>
      <c r="R248" s="69" t="n"/>
      <c r="S248" s="69" t="n"/>
      <c r="T248" s="69" t="n"/>
      <c r="U248" s="69" t="n"/>
      <c r="V248" s="69" t="n"/>
      <c r="W248" s="69" t="n"/>
      <c r="X248" s="69" t="n"/>
      <c r="Y248" s="69" t="n"/>
      <c r="Z248" s="69" t="n"/>
    </row>
    <row r="249">
      <c r="A249" s="69" t="n"/>
      <c r="B249" s="69" t="n"/>
      <c r="C249" s="69" t="n"/>
      <c r="D249" s="69" t="n"/>
      <c r="E249" s="69" t="n"/>
      <c r="F249" s="69" t="n"/>
      <c r="G249" s="69" t="n"/>
      <c r="H249" s="69" t="n"/>
      <c r="I249" s="69" t="n"/>
      <c r="J249" s="69" t="n"/>
      <c r="K249" s="69" t="n"/>
      <c r="L249" s="69" t="n"/>
      <c r="M249" s="69" t="n"/>
      <c r="N249" s="69" t="n"/>
      <c r="O249" s="69" t="n"/>
      <c r="P249" s="69" t="n"/>
      <c r="Q249" s="69" t="n"/>
      <c r="R249" s="69" t="n"/>
      <c r="S249" s="69" t="n"/>
      <c r="T249" s="69" t="n"/>
      <c r="U249" s="69" t="n"/>
      <c r="V249" s="69" t="n"/>
      <c r="W249" s="69" t="n"/>
      <c r="X249" s="69" t="n"/>
      <c r="Y249" s="69" t="n"/>
      <c r="Z249" s="69" t="n"/>
    </row>
    <row r="250">
      <c r="A250" s="69" t="n"/>
      <c r="B250" s="69" t="n"/>
      <c r="C250" s="69" t="n"/>
      <c r="D250" s="69" t="n"/>
      <c r="E250" s="69" t="n"/>
      <c r="F250" s="69" t="n"/>
      <c r="G250" s="69" t="n"/>
      <c r="H250" s="69" t="n"/>
      <c r="I250" s="69" t="n"/>
      <c r="J250" s="69" t="n"/>
      <c r="K250" s="69" t="n"/>
      <c r="L250" s="69" t="n"/>
      <c r="M250" s="69" t="n"/>
      <c r="N250" s="69" t="n"/>
      <c r="O250" s="69" t="n"/>
      <c r="P250" s="69" t="n"/>
      <c r="Q250" s="69" t="n"/>
      <c r="R250" s="69" t="n"/>
      <c r="S250" s="69" t="n"/>
      <c r="T250" s="69" t="n"/>
      <c r="U250" s="69" t="n"/>
      <c r="V250" s="69" t="n"/>
      <c r="W250" s="69" t="n"/>
      <c r="X250" s="69" t="n"/>
      <c r="Y250" s="69" t="n"/>
      <c r="Z250" s="69" t="n"/>
    </row>
  </sheetData>
  <mergeCells count="11">
    <mergeCell ref="A12:H12"/>
    <mergeCell ref="A4:H4"/>
    <mergeCell ref="A15:H15"/>
    <mergeCell ref="A2:H2"/>
    <mergeCell ref="A16:H16"/>
    <mergeCell ref="A13:H13"/>
    <mergeCell ref="A14:H14"/>
    <mergeCell ref="A1:H1"/>
    <mergeCell ref="E19:H19"/>
    <mergeCell ref="E5:H5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pane ySplit="1" topLeftCell="A2" activePane="bottomLeft" state="frozen"/>
      <selection pane="bottomLeft" activeCell="A1" sqref="A1:C1"/>
    </sheetView>
  </sheetViews>
  <sheetFormatPr baseColWidth="8" defaultRowHeight="15"/>
  <cols>
    <col width="35" customWidth="1" style="45" min="1" max="1"/>
    <col width="32" customWidth="1" style="45" min="2" max="2"/>
    <col width="72" customWidth="1" style="45" min="3" max="3"/>
  </cols>
  <sheetData>
    <row r="1" ht="18.75" customHeight="1" s="45">
      <c r="A1" s="44" t="inlineStr">
        <is>
          <t>SAKS New 51HC Production Test - 90% Interval KPI</t>
        </is>
      </c>
    </row>
    <row r="2" ht="45" customHeight="1" s="45">
      <c r="A2" s="33" t="inlineStr">
        <is>
          <t>Pass goal</t>
        </is>
      </c>
      <c r="B2" s="33" t="inlineStr">
        <is>
          <t>100% of active intervals must be &gt;=90%; 80% remains the hard minimum floor.</t>
        </is>
      </c>
      <c r="C2" s="33" t="inlineStr">
        <is>
          <t>No fixed shifts or nesting groups are active.</t>
        </is>
      </c>
    </row>
    <row r="4">
      <c r="A4" s="30" t="inlineStr">
        <is>
          <t>Field</t>
        </is>
      </c>
      <c r="B4" s="30" t="inlineStr">
        <is>
          <t>Value</t>
        </is>
      </c>
      <c r="C4" s="30" t="inlineStr">
        <is>
          <t>Notes</t>
        </is>
      </c>
    </row>
    <row r="5">
      <c r="A5" s="34" t="inlineStr">
        <is>
          <t>Source file</t>
        </is>
      </c>
      <c r="B5" s="31" t="inlineStr">
        <is>
          <t>SAKS New.xlsx</t>
        </is>
      </c>
      <c r="C5" s="31" t="inlineStr">
        <is>
          <t>Uploaded workbook used for Required FTE and Shrinkage grids.</t>
        </is>
      </c>
    </row>
    <row r="6">
      <c r="A6" s="34" t="inlineStr">
        <is>
          <t>Week dates</t>
        </is>
      </c>
      <c r="B6" s="31" t="inlineStr">
        <is>
          <t>2026-07-12 to 2026-07-18</t>
        </is>
      </c>
      <c r="C6" s="31" t="inlineStr">
        <is>
          <t>From uploaded sheet row 3.</t>
        </is>
      </c>
    </row>
    <row r="7">
      <c r="A7" s="34" t="inlineStr">
        <is>
          <t>HC</t>
        </is>
      </c>
      <c r="B7" s="31" t="n">
        <v>51</v>
      </c>
      <c r="C7" s="31" t="inlineStr">
        <is>
          <t>Set by user.</t>
        </is>
      </c>
    </row>
    <row r="8" ht="30" customHeight="1" s="45">
      <c r="A8" s="34" t="inlineStr">
        <is>
          <t>11H / 3OFF allowed</t>
        </is>
      </c>
      <c r="B8" s="31" t="inlineStr">
        <is>
          <t>Yes</t>
        </is>
      </c>
      <c r="C8" s="31" t="inlineStr">
        <is>
          <t>Allowed by user. Engine may still prefer 9H if 100% target needs more weekly productive hours.</t>
        </is>
      </c>
    </row>
    <row r="9">
      <c r="A9" s="34" t="inlineStr">
        <is>
          <t>Rest minimum</t>
        </is>
      </c>
      <c r="B9" s="31" t="inlineStr">
        <is>
          <t>12 hours</t>
        </is>
      </c>
      <c r="C9" s="31" t="inlineStr">
        <is>
          <t>Set by user.</t>
        </is>
      </c>
    </row>
    <row r="10">
      <c r="A10" s="34" t="inlineStr">
        <is>
          <t>Max shift types / week</t>
        </is>
      </c>
      <c r="B10" s="31" t="n">
        <v>3</v>
      </c>
      <c r="C10" s="31" t="inlineStr">
        <is>
          <t>Set by user.</t>
        </is>
      </c>
    </row>
    <row r="11">
      <c r="A11" s="34" t="inlineStr">
        <is>
          <t>Shrinkage source</t>
        </is>
      </c>
      <c r="B11" s="31" t="inlineStr">
        <is>
          <t>Shrinkage 30 Min</t>
        </is>
      </c>
      <c r="C11" s="31" t="inlineStr">
        <is>
          <t>Per-interval shrinkage loaded from uploaded workbook.</t>
        </is>
      </c>
    </row>
    <row r="12">
      <c r="A12" s="34" t="inlineStr">
        <is>
          <t>Positive demand intervals</t>
        </is>
      </c>
      <c r="B12" s="31" t="n">
        <v>252</v>
      </c>
      <c r="C12" s="31" t="inlineStr">
        <is>
          <t>Active weekly 30-minute intervals with requirement &gt; 0.</t>
        </is>
      </c>
    </row>
    <row r="13" ht="30" customHeight="1" s="45">
      <c r="A13" s="34" t="inlineStr">
        <is>
          <t>Required productive hours before shrinkage</t>
        </is>
      </c>
      <c r="B13" s="31" t="n">
        <v>1722.95</v>
      </c>
      <c r="C13" s="31" t="inlineStr">
        <is>
          <t>Sum(required FTE * 0.5h).</t>
        </is>
      </c>
    </row>
    <row r="14" ht="30" customHeight="1" s="45">
      <c r="A14" s="34" t="inlineStr">
        <is>
          <t>Shrinkage-adjusted hours @ 100% target</t>
        </is>
      </c>
      <c r="B14" s="31" t="n">
        <v>2033.62</v>
      </c>
      <c r="C14" s="31" t="inlineStr">
        <is>
          <t>Full target coverage after shrinkage.</t>
        </is>
      </c>
    </row>
    <row r="15" ht="30" customHeight="1" s="45">
      <c r="A15" s="34" t="inlineStr">
        <is>
          <t>Shrinkage-adjusted hours @ 90% quality band</t>
        </is>
      </c>
      <c r="B15" s="31" t="n">
        <v>1830.26</v>
      </c>
      <c r="C15" s="31" t="inlineStr">
        <is>
          <t>Desired operational quality band, not the target.</t>
        </is>
      </c>
    </row>
    <row r="16" ht="30" customHeight="1" s="45">
      <c r="A16" s="34" t="inlineStr">
        <is>
          <t>Shrinkage-adjusted hours @ 80% minimum floor</t>
        </is>
      </c>
      <c r="B16" s="31" t="n">
        <v>1626.9</v>
      </c>
      <c r="C16" s="31" t="inlineStr">
        <is>
          <t>Hard minimum floor.</t>
        </is>
      </c>
    </row>
    <row r="17">
      <c r="A17" s="34" t="inlineStr">
        <is>
          <t>Max interval requirement</t>
        </is>
      </c>
      <c r="B17" s="31" t="n">
        <v>27.4</v>
      </c>
      <c r="C17" s="31" t="inlineStr">
        <is>
          <t>Peak required FTE before shrinkage.</t>
        </is>
      </c>
    </row>
    <row r="18">
      <c r="A18" s="34" t="inlineStr">
        <is>
          <t>Average shrinkage</t>
        </is>
      </c>
      <c r="B18" s="31" t="n">
        <v>0.1539</v>
      </c>
      <c r="C18" s="31" t="inlineStr">
        <is>
          <t>Across positive intervals with shrinkage values.</t>
        </is>
      </c>
    </row>
    <row r="19">
      <c r="A19" s="34" t="inlineStr">
        <is>
          <t>Estimated 9H/2OFF net capacity</t>
        </is>
      </c>
      <c r="B19" s="31" t="n">
        <v>2040</v>
      </c>
      <c r="C19" s="31" t="inlineStr">
        <is>
          <t>Assumes 9h gross with 1h break = 8 productive hours, 5 working days.</t>
        </is>
      </c>
    </row>
    <row r="20">
      <c r="A20" s="34" t="inlineStr">
        <is>
          <t>Estimated 11H/3OFF net capacity</t>
        </is>
      </c>
      <c r="B20" s="31" t="n">
        <v>1989</v>
      </c>
      <c r="C20" s="31" t="inlineStr">
        <is>
          <t>Assumes 11h gross with 1.25h break = 9.75 productive hours, 4 working days.</t>
        </is>
      </c>
    </row>
    <row r="21">
      <c r="A21" s="35" t="inlineStr">
        <is>
          <t>100% diagnostic buffer vs all-9H</t>
        </is>
      </c>
      <c r="B21" s="36" t="n">
        <v>6.38</v>
      </c>
      <c r="C21" s="36" t="inlineStr">
        <is>
          <t>Very tight if positive; infeasible by hours if negative.</t>
        </is>
      </c>
    </row>
    <row r="22">
      <c r="A22" s="35" t="inlineStr">
        <is>
          <t>100% diagnostic deficit vs all-11H</t>
        </is>
      </c>
      <c r="B22" s="36" t="n">
        <v>44.62</v>
      </c>
      <c r="C22" s="36" t="inlineStr">
        <is>
          <t>All-11H is likely insufficient by aggregate hours if positive.</t>
        </is>
      </c>
    </row>
    <row r="23" ht="30" customHeight="1" s="45">
      <c r="A23" s="35" t="inlineStr">
        <is>
          <t>Approx max 11H associates if rest are 9H</t>
        </is>
      </c>
      <c r="B23" s="36" t="n">
        <v>6</v>
      </c>
      <c r="C23" s="36" t="inlineStr">
        <is>
          <t>Rough aggregate-hours limit before shape/break constraints.</t>
        </is>
      </c>
    </row>
    <row r="24">
      <c r="A24" s="35" t="inlineStr">
        <is>
          <t>Target KPI</t>
        </is>
      </c>
      <c r="B24" s="36" t="inlineStr">
        <is>
          <t>90% per active interval</t>
        </is>
      </c>
      <c r="C24" s="36" t="inlineStr">
        <is>
          <t>Actual/Required % must be &gt;=90% after breaks and shrinkage.</t>
        </is>
      </c>
    </row>
    <row r="25" ht="30" customHeight="1" s="45">
      <c r="A25" s="35" t="inlineStr">
        <is>
          <t>Desired production band</t>
        </is>
      </c>
      <c r="B25" s="36" t="inlineStr">
        <is>
          <t>Same as target: &gt;=90% per active interval</t>
        </is>
      </c>
      <c r="C25" s="36" t="inlineStr">
        <is>
          <t>Corrected from earlier 100% target interpretation.</t>
        </is>
      </c>
    </row>
    <row r="26">
      <c r="A26" s="35" t="inlineStr">
        <is>
          <t>Minimum floor</t>
        </is>
      </c>
      <c r="B26" s="36" t="inlineStr">
        <is>
          <t>80% per active interval</t>
        </is>
      </c>
      <c r="C26" s="36" t="inlineStr">
        <is>
          <t>Hard floor; no 70% tolerance.</t>
        </is>
      </c>
    </row>
    <row r="27">
      <c r="A27" s="34" t="inlineStr">
        <is>
          <t>Fixed/nesting requests</t>
        </is>
      </c>
      <c r="B27" s="31" t="inlineStr">
        <is>
          <t>Disabled</t>
        </is>
      </c>
      <c r="C27" s="31" t="inlineStr">
        <is>
          <t>Confirmed by user: no fixed shifts/nesting.</t>
        </is>
      </c>
    </row>
    <row r="28" ht="30" customHeight="1" s="45">
      <c r="A28" s="34" t="inlineStr">
        <is>
          <t>Preferences/leaves</t>
        </is>
      </c>
      <c r="B28" s="31" t="inlineStr">
        <is>
          <t>None supplied</t>
        </is>
      </c>
      <c r="C28" s="31" t="inlineStr">
        <is>
          <t>Generic associate roster used; provide roster/preferences to make final production file exact.</t>
        </is>
      </c>
    </row>
    <row r="29" ht="30" customHeight="1" s="45">
      <c r="A29" s="34" t="inlineStr">
        <is>
          <t>Allowed shift start window</t>
        </is>
      </c>
      <c r="B29" s="31" t="inlineStr">
        <is>
          <t>13:00 - 22:00</t>
        </is>
      </c>
      <c r="C29" s="31" t="inlineStr">
        <is>
          <t>Retained from SAKS template; confirm if starts outside this window are allowed.</t>
        </is>
      </c>
    </row>
    <row r="30">
      <c r="A30" s="34" t="inlineStr">
        <is>
          <t>Shift start step</t>
        </is>
      </c>
      <c r="B30" s="31" t="inlineStr">
        <is>
          <t>60 minutes</t>
        </is>
      </c>
      <c r="C30" s="31" t="inlineStr">
        <is>
          <t>Retained from SAKS template; confirm if half-hour starts should be allowed.</t>
        </is>
      </c>
    </row>
    <row r="31">
      <c r="A31" s="34" t="inlineStr">
        <is>
          <t>Balance Coverage</t>
        </is>
      </c>
      <c r="B31" s="31" t="inlineStr">
        <is>
          <t>Yes</t>
        </is>
      </c>
      <c r="C31" s="31" t="inlineStr">
        <is>
          <t>Enabled for shortage/overage balancing validation.</t>
        </is>
      </c>
    </row>
    <row r="32" ht="30" customHeight="1" s="45">
      <c r="A32" s="35" t="inlineStr">
        <is>
          <t>Capacity warning</t>
        </is>
      </c>
      <c r="B32" s="36" t="inlineStr">
        <is>
          <t>Tight but more realistic for 90% KPI</t>
        </is>
      </c>
      <c r="C32" s="36" t="inlineStr">
        <is>
          <t>100% full coverage is diagnostic; requested pass target is all active intervals at &gt;=90%.</t>
        </is>
      </c>
    </row>
    <row r="33">
      <c r="A33" s="31" t="inlineStr">
        <is>
          <t>Overall schedule KPI</t>
        </is>
      </c>
      <c r="B33" s="31" t="inlineStr">
        <is>
          <t>100% of active intervals &gt;=90%</t>
        </is>
      </c>
      <c r="C33" s="31" t="inlineStr">
        <is>
          <t>Every active interval should meet or exceed the 90% threshold.</t>
        </is>
      </c>
    </row>
    <row r="34">
      <c r="A34" s="31" t="inlineStr">
        <is>
          <t>100% full coverage</t>
        </is>
      </c>
      <c r="B34" s="31" t="inlineStr">
        <is>
          <t>Tracked only</t>
        </is>
      </c>
      <c r="C34" s="31" t="inlineStr">
        <is>
          <t>Diagnostic metric, not the pass target.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style="45" min="1" max="1"/>
    <col width="35" customWidth="1" style="45" min="2" max="2"/>
    <col width="35" customWidth="1" style="45" min="3" max="3"/>
    <col width="12" customWidth="1" style="45" min="4" max="4"/>
  </cols>
  <sheetData>
    <row r="1">
      <c r="A1" s="66" t="inlineStr">
        <is>
          <t>RC7 Contract Audit</t>
        </is>
      </c>
    </row>
    <row r="2">
      <c r="A2" s="67" t="inlineStr">
        <is>
          <t>Field</t>
        </is>
      </c>
      <c r="B2" s="67" t="inlineStr">
        <is>
          <t>Expected</t>
        </is>
      </c>
      <c r="C2" s="67" t="inlineStr">
        <is>
          <t>Parsed</t>
        </is>
      </c>
      <c r="D2" s="67" t="inlineStr">
        <is>
          <t>Status</t>
        </is>
      </c>
    </row>
    <row r="3">
      <c r="A3" t="inlineStr">
        <is>
          <t>roster_count</t>
        </is>
      </c>
      <c r="B3" t="inlineStr">
        <is>
          <t>50</t>
        </is>
      </c>
      <c r="C3" t="inlineStr">
        <is>
          <t>50</t>
        </is>
      </c>
      <c r="D3" t="inlineStr">
        <is>
          <t>PASS</t>
        </is>
      </c>
    </row>
    <row r="4">
      <c r="A4" t="inlineStr">
        <is>
          <t>instructed_headcount</t>
        </is>
      </c>
      <c r="B4" t="inlineStr">
        <is>
          <t>50</t>
        </is>
      </c>
      <c r="C4" t="inlineStr">
        <is>
          <t>50</t>
        </is>
      </c>
      <c r="D4" t="inlineStr">
        <is>
          <t>PASS</t>
        </is>
      </c>
    </row>
    <row r="5">
      <c r="A5" t="inlineStr">
        <is>
          <t>program_name</t>
        </is>
      </c>
      <c r="B5" t="inlineStr">
        <is>
          <t>SAKS</t>
        </is>
      </c>
      <c r="C5" t="inlineStr">
        <is>
          <t>SAKS</t>
        </is>
      </c>
      <c r="D5" t="inlineStr">
        <is>
          <t>PASS</t>
        </is>
      </c>
    </row>
    <row r="6">
      <c r="A6" t="inlineStr">
        <is>
          <t>interval_minutes</t>
        </is>
      </c>
      <c r="B6" t="inlineStr">
        <is>
          <t>30</t>
        </is>
      </c>
      <c r="C6" t="inlineStr">
        <is>
          <t>30</t>
        </is>
      </c>
      <c r="D6" t="inlineStr">
        <is>
          <t>PASS</t>
        </is>
      </c>
    </row>
    <row r="7">
      <c r="A7" t="inlineStr">
        <is>
          <t>requirement_sheet</t>
        </is>
      </c>
      <c r="B7" t="inlineStr">
        <is>
          <t>FT Wise 30 Min</t>
        </is>
      </c>
      <c r="C7" t="inlineStr">
        <is>
          <t>FT Wise 30 Min</t>
        </is>
      </c>
      <c r="D7" t="inlineStr">
        <is>
          <t>PASS</t>
        </is>
      </c>
    </row>
    <row r="8">
      <c r="A8" t="inlineStr">
        <is>
          <t>shrinkage_sheet</t>
        </is>
      </c>
      <c r="B8" t="inlineStr">
        <is>
          <t>Shrinkage 30 Min</t>
        </is>
      </c>
      <c r="C8" t="inlineStr">
        <is>
          <t>Shrinkage 30 Min</t>
        </is>
      </c>
      <c r="D8" t="inlineStr">
        <is>
          <t>PASS</t>
        </is>
      </c>
    </row>
    <row r="9">
      <c r="A9" t="inlineStr">
        <is>
          <t>target_ratio</t>
        </is>
      </c>
      <c r="B9" t="inlineStr">
        <is>
          <t>0.9</t>
        </is>
      </c>
      <c r="C9" t="inlineStr">
        <is>
          <t>0.9</t>
        </is>
      </c>
      <c r="D9" t="inlineStr">
        <is>
          <t>PASS</t>
        </is>
      </c>
    </row>
    <row r="10">
      <c r="A10" t="inlineStr">
        <is>
          <t>floor_ratio</t>
        </is>
      </c>
      <c r="B10" t="inlineStr">
        <is>
          <t>0.8</t>
        </is>
      </c>
      <c r="C10" t="inlineStr">
        <is>
          <t>0.8</t>
        </is>
      </c>
      <c r="D10" t="inlineStr">
        <is>
          <t>PASS</t>
        </is>
      </c>
    </row>
    <row r="11">
      <c r="A11" t="inlineStr">
        <is>
          <t>floor_mode</t>
        </is>
      </c>
      <c r="B11" t="inlineStr">
        <is>
          <t>hard</t>
        </is>
      </c>
      <c r="C11" t="inlineStr">
        <is>
          <t>hard</t>
        </is>
      </c>
      <c r="D11" t="inlineStr">
        <is>
          <t>PASS</t>
        </is>
      </c>
    </row>
    <row r="12">
      <c r="A12" t="inlineStr">
        <is>
          <t>target_priority_confirmed</t>
        </is>
      </c>
      <c r="B12" t="inlineStr">
        <is>
          <t>True</t>
        </is>
      </c>
      <c r="C12" t="inlineStr">
        <is>
          <t>True</t>
        </is>
      </c>
      <c r="D12" t="inlineStr">
        <is>
          <t>PASS</t>
        </is>
      </c>
    </row>
    <row r="13">
      <c r="A13" t="inlineStr">
        <is>
          <t>allow_no_break_exceptions</t>
        </is>
      </c>
      <c r="B13" t="inlineStr">
        <is>
          <t>False</t>
        </is>
      </c>
      <c r="C13" t="inlineStr">
        <is>
          <t>False</t>
        </is>
      </c>
      <c r="D13" t="inlineStr">
        <is>
          <t>PASS</t>
        </is>
      </c>
    </row>
    <row r="14">
      <c r="A14" t="inlineStr">
        <is>
          <t>max_no_break_exceptions</t>
        </is>
      </c>
      <c r="B14" t="inlineStr">
        <is>
          <t>0</t>
        </is>
      </c>
      <c r="C14" t="inlineStr">
        <is>
          <t>0</t>
        </is>
      </c>
      <c r="D14" t="inlineStr">
        <is>
          <t>PASS</t>
        </is>
      </c>
    </row>
    <row r="15">
      <c r="A15" t="inlineStr">
        <is>
          <t>break_window_source</t>
        </is>
      </c>
      <c r="B15" t="inlineStr">
        <is>
          <t>instructions</t>
        </is>
      </c>
      <c r="C15" t="inlineStr">
        <is>
          <t>instructions</t>
        </is>
      </c>
      <c r="D15" t="inlineStr">
        <is>
          <t>PASS</t>
        </is>
      </c>
    </row>
    <row r="16">
      <c r="A16" t="inlineStr">
        <is>
          <t>break_min_gap_q</t>
        </is>
      </c>
      <c r="B16" t="inlineStr">
        <is>
          <t>6</t>
        </is>
      </c>
      <c r="C16" t="inlineStr">
        <is>
          <t>6</t>
        </is>
      </c>
      <c r="D16" t="inlineStr">
        <is>
          <t>PASS</t>
        </is>
      </c>
    </row>
    <row r="17">
      <c r="A17" t="inlineStr">
        <is>
          <t>break_preferred_gap_q</t>
        </is>
      </c>
      <c r="B17" t="inlineStr">
        <is>
          <t>8</t>
        </is>
      </c>
      <c r="C17" t="inlineStr">
        <is>
          <t>8</t>
        </is>
      </c>
      <c r="D17" t="inlineStr">
        <is>
          <t>PASS</t>
        </is>
      </c>
    </row>
    <row r="18">
      <c r="A18" t="inlineStr">
        <is>
          <t>break_normal_max_gap_q</t>
        </is>
      </c>
      <c r="B18" t="inlineStr">
        <is>
          <t>10</t>
        </is>
      </c>
      <c r="C18" t="inlineStr">
        <is>
          <t>10</t>
        </is>
      </c>
      <c r="D18" t="inlineStr">
        <is>
          <t>PASS</t>
        </is>
      </c>
    </row>
    <row r="19">
      <c r="A19" t="inlineStr">
        <is>
          <t>quality_gate_mode</t>
        </is>
      </c>
      <c r="B19" t="inlineStr">
        <is>
          <t>fail</t>
        </is>
      </c>
      <c r="C19" t="inlineStr">
        <is>
          <t>fail</t>
        </is>
      </c>
      <c r="D19" t="inlineStr">
        <is>
          <t>PASS</t>
        </is>
      </c>
    </row>
    <row r="20">
      <c r="A20" t="inlineStr">
        <is>
          <t>break_concurrency_gate_mode</t>
        </is>
      </c>
      <c r="B20" t="inlineStr">
        <is>
          <t>warn</t>
        </is>
      </c>
      <c r="C20" t="inlineStr">
        <is>
          <t>warn</t>
        </is>
      </c>
      <c r="D20" t="inlineStr">
        <is>
          <t>PASS</t>
        </is>
      </c>
    </row>
    <row r="21">
      <c r="A21" t="inlineStr">
        <is>
          <t>next_sunday_balance_gate_mode</t>
        </is>
      </c>
      <c r="B21" t="inlineStr">
        <is>
          <t>warn</t>
        </is>
      </c>
      <c r="C21" t="inlineStr">
        <is>
          <t>warn</t>
        </is>
      </c>
      <c r="D21" t="inlineStr">
        <is>
          <t>PASS</t>
        </is>
      </c>
    </row>
    <row r="22">
      <c r="A22" t="inlineStr">
        <is>
          <t>language_reserve_gate_mode</t>
        </is>
      </c>
      <c r="B22" t="inlineStr">
        <is>
          <t>warn</t>
        </is>
      </c>
      <c r="C22" t="inlineStr">
        <is>
          <t>warn</t>
        </is>
      </c>
      <c r="D22" t="inlineStr">
        <is>
          <t>PASS</t>
        </is>
      </c>
    </row>
    <row r="23">
      <c r="A23" t="inlineStr">
        <is>
          <t>whole_week_gate_mode</t>
        </is>
      </c>
      <c r="B23" t="inlineStr">
        <is>
          <t>warn</t>
        </is>
      </c>
      <c r="C23" t="inlineStr">
        <is>
          <t>warn</t>
        </is>
      </c>
      <c r="D23" t="inlineStr">
        <is>
          <t>PASS</t>
        </is>
      </c>
    </row>
    <row r="24">
      <c r="A24" t="inlineStr">
        <is>
          <t>target_loss_gate_mode</t>
        </is>
      </c>
      <c r="B24" t="inlineStr">
        <is>
          <t>warn</t>
        </is>
      </c>
      <c r="C24" t="inlineStr">
        <is>
          <t>warn</t>
        </is>
      </c>
      <c r="D24" t="inlineStr">
        <is>
          <t>PASS</t>
        </is>
      </c>
    </row>
    <row r="25">
      <c r="A25" t="inlineStr">
        <is>
          <t>employee_quality_gate_mode</t>
        </is>
      </c>
      <c r="B25" t="inlineStr">
        <is>
          <t>warn</t>
        </is>
      </c>
      <c r="C25" t="inlineStr">
        <is>
          <t>warn</t>
        </is>
      </c>
      <c r="D25" t="inlineStr">
        <is>
          <t>PASS</t>
        </is>
      </c>
    </row>
    <row r="26">
      <c r="A26" t="inlineStr">
        <is>
          <t>skill_allocation_gate_mode</t>
        </is>
      </c>
      <c r="B26" t="inlineStr">
        <is>
          <t>warn</t>
        </is>
      </c>
      <c r="C26" t="inlineStr">
        <is>
          <t>warn</t>
        </is>
      </c>
      <c r="D26" t="inlineStr">
        <is>
          <t>PASS</t>
        </is>
      </c>
    </row>
    <row r="27">
      <c r="A27" t="inlineStr">
        <is>
          <t>Parser warnings</t>
        </is>
      </c>
      <c r="B27" t="inlineStr">
        <is>
          <t>0</t>
        </is>
      </c>
      <c r="C27" t="inlineStr">
        <is>
          <t>0</t>
        </is>
      </c>
      <c r="D27" t="inlineStr">
        <is>
          <t>PASS</t>
        </is>
      </c>
    </row>
    <row r="28">
      <c r="A28" t="inlineStr">
        <is>
          <t>Input SHA-256 before audit sheet</t>
        </is>
      </c>
      <c r="B28" t="inlineStr">
        <is>
          <t>1625c219aa6cedf97f729542dc964ce0c5b3fc07c0d5ba0eaa1fd79bf54e998e</t>
        </is>
      </c>
      <c r="D28" t="inlineStr">
        <is>
          <t>INFO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45" min="1" max="2"/>
    <col width="45" customWidth="1" style="45" min="3" max="3"/>
    <col width="70" customWidth="1" style="45" min="4" max="4"/>
  </cols>
  <sheetData>
    <row r="1">
      <c r="A1" s="30" t="inlineStr">
        <is>
          <t>Rule</t>
        </is>
      </c>
      <c r="B1" s="30" t="inlineStr">
        <is>
          <t>Value</t>
        </is>
      </c>
      <c r="C1" s="30" t="inlineStr">
        <is>
          <t>How to evaluate</t>
        </is>
      </c>
      <c r="D1" s="30" t="inlineStr">
        <is>
          <t>Notes</t>
        </is>
      </c>
    </row>
    <row r="2" ht="30" customHeight="1" s="45">
      <c r="A2" s="37" t="inlineStr">
        <is>
          <t>Interval KPI threshold</t>
        </is>
      </c>
      <c r="B2" s="37" t="inlineStr">
        <is>
          <t>90%</t>
        </is>
      </c>
      <c r="C2" s="37" t="inlineStr">
        <is>
          <t>Actual/Required % &gt;= 90%</t>
        </is>
      </c>
      <c r="D2" s="37" t="inlineStr">
        <is>
          <t>This is the main scheduling target per active interval after breaks and shrinkage.</t>
        </is>
      </c>
    </row>
    <row r="3">
      <c r="A3" s="37" t="inlineStr">
        <is>
          <t>Overall schedule KPI</t>
        </is>
      </c>
      <c r="B3" s="37" t="inlineStr">
        <is>
          <t>100%</t>
        </is>
      </c>
      <c r="C3" s="37" t="inlineStr">
        <is>
          <t>100% of active intervals must be &gt;= 90%</t>
        </is>
      </c>
      <c r="D3" s="37" t="inlineStr">
        <is>
          <t>This is what the user means by overall schedule target = 100%.</t>
        </is>
      </c>
    </row>
    <row r="4">
      <c r="A4" s="35" t="inlineStr">
        <is>
          <t>Hard minimum floor</t>
        </is>
      </c>
      <c r="B4" s="35" t="inlineStr">
        <is>
          <t>80%</t>
        </is>
      </c>
      <c r="C4" s="35" t="inlineStr">
        <is>
          <t>Actual/Required % &gt;= 80%</t>
        </is>
      </c>
      <c r="D4" s="35" t="inlineStr">
        <is>
          <t>Below 80% is a hard floor issue unless the case is proven infeasible.</t>
        </is>
      </c>
    </row>
    <row r="5">
      <c r="A5" s="31" t="inlineStr">
        <is>
          <t>100% full-coverage view</t>
        </is>
      </c>
      <c r="B5" s="31" t="inlineStr">
        <is>
          <t>Tracked only</t>
        </is>
      </c>
      <c r="C5" s="31" t="inlineStr">
        <is>
          <t>Actual/Required % &gt;= 100%</t>
        </is>
      </c>
      <c r="D5" s="31" t="inlineStr">
        <is>
          <t>Useful diagnostic, but not the requested pass target.</t>
        </is>
      </c>
    </row>
    <row r="6">
      <c r="A6" s="31" t="inlineStr">
        <is>
          <t>90% KPI gap</t>
        </is>
      </c>
      <c r="B6" s="31" t="inlineStr">
        <is>
          <t>Max(0, 0.9*Required - Staffed)</t>
        </is>
      </c>
      <c r="C6" s="31" t="inlineStr">
        <is>
          <t>Shortage to the requested target threshold.</t>
        </is>
      </c>
      <c r="D6" s="31" t="inlineStr">
        <is>
          <t>Primary shortage metric for this test.</t>
        </is>
      </c>
    </row>
    <row r="7">
      <c r="A7" s="31" t="inlineStr">
        <is>
          <t>80% floor gap</t>
        </is>
      </c>
      <c r="B7" s="31" t="inlineStr">
        <is>
          <t>Max(0, 0.8*Required - Staffed)</t>
        </is>
      </c>
      <c r="C7" s="31" t="inlineStr">
        <is>
          <t>Shortage to the hard minimum floor.</t>
        </is>
      </c>
      <c r="D7" s="31" t="inlineStr">
        <is>
          <t>Should be zero or explained by infeasibility.</t>
        </is>
      </c>
    </row>
    <row r="8" ht="45" customHeight="1" s="45">
      <c r="A8" s="31" t="inlineStr">
        <is>
          <t>Priority order</t>
        </is>
      </c>
      <c r="B8" s="31" t="inlineStr">
        <is>
          <t>Hard rules &gt; staff integrity &gt; 80% floor &gt; 90% KPI &gt; overage balance</t>
        </is>
      </c>
      <c r="C8" s="31" t="inlineStr">
        <is>
          <t>Used to interpret schedule quality.</t>
        </is>
      </c>
      <c r="D8" s="31" t="inlineStr">
        <is>
          <t>Do not improve overage balance by creating floor/KPI shortages.</t>
        </is>
      </c>
    </row>
    <row r="9">
      <c r="A9" s="31" t="inlineStr">
        <is>
          <t>Fixed/nesting</t>
        </is>
      </c>
      <c r="B9" s="31" t="inlineStr">
        <is>
          <t>Disabled</t>
        </is>
      </c>
      <c r="C9" s="31" t="inlineStr">
        <is>
          <t>No fixed/nesting rows should be active.</t>
        </is>
      </c>
      <c r="D9" s="31" t="inlineStr">
        <is>
          <t>This production test uses 51 generic associates with no fixed/nesting lock.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92D050"/>
    <outlinePr summaryBelow="1" summaryRight="1"/>
    <pageSetUpPr/>
  </sheetPr>
  <dimension ref="A1:R252"/>
  <sheetViews>
    <sheetView showGridLines="0" workbookViewId="0">
      <selection activeCell="H2" sqref="H2"/>
    </sheetView>
  </sheetViews>
  <sheetFormatPr baseColWidth="8" defaultRowHeight="15"/>
  <cols>
    <col width="13" customWidth="1" style="45" min="1" max="3"/>
    <col width="16" customWidth="1" style="45" min="4" max="4"/>
    <col width="13" customWidth="1" style="45" min="5" max="5"/>
    <col width="16" customWidth="1" style="45" min="6" max="6"/>
    <col width="13" customWidth="1" style="1" min="7" max="7"/>
    <col width="13" customWidth="1" style="45" min="8" max="8"/>
    <col width="13" customWidth="1" style="2" min="9" max="9"/>
    <col width="13" customWidth="1" style="1" min="10" max="10"/>
    <col width="13" customWidth="1" style="45" min="11" max="13"/>
    <col width="12" customWidth="1" style="2" min="14" max="14"/>
    <col width="16" customWidth="1" style="45" min="15" max="15"/>
    <col width="12" customWidth="1" style="45" min="16" max="16"/>
    <col width="13" customWidth="1" style="45" min="17" max="17"/>
    <col width="16" customWidth="1" style="45" min="18" max="18"/>
    <col width="5.28515625" customWidth="1" style="45" min="20" max="20"/>
  </cols>
  <sheetData>
    <row r="1" ht="18.75" customHeight="1" s="45">
      <c r="A1" s="46" t="inlineStr">
        <is>
          <t>Dynamic Schedule - V10 interval-aware optimized output</t>
        </is>
      </c>
      <c r="G1" s="48" t="inlineStr">
        <is>
          <t>Sun</t>
        </is>
      </c>
      <c r="H1" s="48" t="inlineStr">
        <is>
          <t>Mon</t>
        </is>
      </c>
      <c r="I1" s="48" t="inlineStr">
        <is>
          <t>Tue</t>
        </is>
      </c>
      <c r="J1" s="48" t="inlineStr">
        <is>
          <t>Wed</t>
        </is>
      </c>
      <c r="K1" s="48" t="inlineStr">
        <is>
          <t>Thu</t>
        </is>
      </c>
      <c r="L1" s="48" t="inlineStr">
        <is>
          <t>Fri</t>
        </is>
      </c>
      <c r="M1" s="48" t="inlineStr">
        <is>
          <t>Sat</t>
        </is>
      </c>
    </row>
    <row r="2">
      <c r="A2" s="19" t="inlineStr">
        <is>
          <t>Slot</t>
        </is>
      </c>
      <c r="B2" s="19" t="inlineStr">
        <is>
          <t>Emp ID</t>
        </is>
      </c>
      <c r="C2" s="19" t="inlineStr">
        <is>
          <t>Email</t>
        </is>
      </c>
      <c r="D2" s="19" t="inlineStr">
        <is>
          <t>SF Name</t>
        </is>
      </c>
      <c r="E2" s="19" t="inlineStr">
        <is>
          <t>TL</t>
        </is>
      </c>
      <c r="F2" s="19" t="inlineStr">
        <is>
          <t>Language</t>
        </is>
      </c>
      <c r="G2" s="32" t="n">
        <v>46215</v>
      </c>
      <c r="H2" s="32" t="n">
        <v>46216</v>
      </c>
      <c r="I2" s="32" t="n">
        <v>46217</v>
      </c>
      <c r="J2" s="32" t="n">
        <v>46218</v>
      </c>
      <c r="K2" s="32" t="n">
        <v>46219</v>
      </c>
      <c r="L2" s="32" t="n">
        <v>46220</v>
      </c>
      <c r="M2" s="32" t="n">
        <v>46221</v>
      </c>
      <c r="N2" s="7" t="inlineStr">
        <is>
          <t>OFF</t>
        </is>
      </c>
      <c r="O2" s="7" t="inlineStr">
        <is>
          <t>Primary Shift</t>
        </is>
      </c>
      <c r="P2" s="7" t="inlineStr">
        <is>
          <t>Shift Types</t>
        </is>
      </c>
      <c r="Q2" s="7" t="inlineStr">
        <is>
          <t>Work Hours</t>
        </is>
      </c>
      <c r="R2" s="7" t="inlineStr">
        <is>
          <t>Rule Status</t>
        </is>
      </c>
    </row>
    <row r="3">
      <c r="A3" s="12" t="n">
        <v>1</v>
      </c>
      <c r="B3" s="12" t="n"/>
      <c r="C3" s="12" t="n"/>
      <c r="D3" s="12" t="inlineStr">
        <is>
          <t>Associate 001</t>
        </is>
      </c>
      <c r="E3" s="12" t="n"/>
      <c r="F3" s="12" t="inlineStr">
        <is>
          <t>English</t>
        </is>
      </c>
      <c r="G3" s="20" t="n"/>
      <c r="H3" s="20" t="n"/>
      <c r="I3" s="21" t="n"/>
      <c r="J3" s="21" t="n"/>
      <c r="K3" s="21" t="n"/>
      <c r="L3" s="20" t="n"/>
      <c r="M3" s="21" t="n"/>
      <c r="N3" s="12" t="n"/>
      <c r="O3" s="12" t="n"/>
      <c r="P3" s="12" t="n"/>
      <c r="Q3" s="12" t="n"/>
      <c r="R3" s="12" t="n"/>
    </row>
    <row r="4">
      <c r="A4" s="12" t="n">
        <v>2</v>
      </c>
      <c r="B4" s="12" t="n"/>
      <c r="C4" s="12" t="n"/>
      <c r="D4" s="12" t="inlineStr">
        <is>
          <t>Associate 002</t>
        </is>
      </c>
      <c r="E4" s="12" t="n"/>
      <c r="F4" s="12" t="inlineStr">
        <is>
          <t>English</t>
        </is>
      </c>
      <c r="G4" s="20" t="n"/>
      <c r="H4" s="20" t="n"/>
      <c r="I4" s="21" t="n"/>
      <c r="J4" s="21" t="n"/>
      <c r="K4" s="21" t="n"/>
      <c r="L4" s="20" t="n"/>
      <c r="M4" s="21" t="n"/>
      <c r="N4" s="12" t="n"/>
      <c r="O4" s="12" t="n"/>
      <c r="P4" s="12" t="n"/>
      <c r="Q4" s="12" t="n"/>
      <c r="R4" s="12" t="n"/>
    </row>
    <row r="5">
      <c r="A5" s="12" t="n">
        <v>3</v>
      </c>
      <c r="B5" s="12" t="n"/>
      <c r="C5" s="12" t="n"/>
      <c r="D5" s="12" t="inlineStr">
        <is>
          <t>Associate 003</t>
        </is>
      </c>
      <c r="E5" s="12" t="n"/>
      <c r="F5" s="12" t="inlineStr">
        <is>
          <t>English</t>
        </is>
      </c>
      <c r="G5" s="20" t="n"/>
      <c r="H5" s="21" t="n"/>
      <c r="I5" s="20" t="n"/>
      <c r="J5" s="21" t="n"/>
      <c r="K5" s="21" t="n"/>
      <c r="L5" s="21" t="n"/>
      <c r="M5" s="20" t="n"/>
      <c r="N5" s="12" t="n"/>
      <c r="O5" s="12" t="n"/>
      <c r="P5" s="12" t="n"/>
      <c r="Q5" s="12" t="n"/>
      <c r="R5" s="12" t="n"/>
    </row>
    <row r="6">
      <c r="A6" s="12" t="n">
        <v>4</v>
      </c>
      <c r="B6" s="12" t="n"/>
      <c r="C6" s="12" t="n"/>
      <c r="D6" s="12" t="inlineStr">
        <is>
          <t>Associate 004</t>
        </is>
      </c>
      <c r="E6" s="12" t="n"/>
      <c r="F6" s="12" t="inlineStr">
        <is>
          <t>English</t>
        </is>
      </c>
      <c r="G6" s="20" t="n"/>
      <c r="H6" s="21" t="n"/>
      <c r="I6" s="20" t="n"/>
      <c r="J6" s="21" t="n"/>
      <c r="K6" s="21" t="n"/>
      <c r="L6" s="21" t="n"/>
      <c r="M6" s="20" t="n"/>
      <c r="N6" s="12" t="n"/>
      <c r="O6" s="12" t="n"/>
      <c r="P6" s="12" t="n"/>
      <c r="Q6" s="12" t="n"/>
      <c r="R6" s="12" t="n"/>
    </row>
    <row r="7">
      <c r="A7" s="12" t="n">
        <v>5</v>
      </c>
      <c r="B7" s="12" t="n"/>
      <c r="C7" s="12" t="n"/>
      <c r="D7" s="12" t="inlineStr">
        <is>
          <t>Associate 005</t>
        </is>
      </c>
      <c r="E7" s="12" t="n"/>
      <c r="F7" s="12" t="inlineStr">
        <is>
          <t>English</t>
        </is>
      </c>
      <c r="G7" s="20" t="n"/>
      <c r="H7" s="21" t="n"/>
      <c r="I7" s="21" t="n"/>
      <c r="J7" s="20" t="n"/>
      <c r="K7" s="20" t="n"/>
      <c r="L7" s="21" t="n"/>
      <c r="M7" s="21" t="n"/>
      <c r="N7" s="12" t="n"/>
      <c r="O7" s="12" t="n"/>
      <c r="P7" s="12" t="n"/>
      <c r="Q7" s="12" t="n"/>
      <c r="R7" s="12" t="n"/>
    </row>
    <row r="8">
      <c r="A8" s="12" t="n">
        <v>6</v>
      </c>
      <c r="B8" s="12" t="n"/>
      <c r="C8" s="12" t="n"/>
      <c r="D8" s="12" t="inlineStr">
        <is>
          <t>Associate 006</t>
        </is>
      </c>
      <c r="E8" s="12" t="n"/>
      <c r="F8" s="12" t="inlineStr">
        <is>
          <t>English</t>
        </is>
      </c>
      <c r="G8" s="20" t="n"/>
      <c r="H8" s="21" t="n"/>
      <c r="I8" s="21" t="n"/>
      <c r="J8" s="21" t="n"/>
      <c r="K8" s="20" t="n"/>
      <c r="L8" s="20" t="n"/>
      <c r="M8" s="21" t="n"/>
      <c r="N8" s="12" t="n"/>
      <c r="O8" s="12" t="n"/>
      <c r="P8" s="12" t="n"/>
      <c r="Q8" s="12" t="n"/>
      <c r="R8" s="12" t="n"/>
    </row>
    <row r="9">
      <c r="A9" s="12" t="n">
        <v>7</v>
      </c>
      <c r="B9" s="12" t="n"/>
      <c r="C9" s="12" t="n"/>
      <c r="D9" s="12" t="inlineStr">
        <is>
          <t>Associate 007</t>
        </is>
      </c>
      <c r="E9" s="12" t="n"/>
      <c r="F9" s="12" t="inlineStr">
        <is>
          <t>English</t>
        </is>
      </c>
      <c r="G9" s="20" t="n"/>
      <c r="H9" s="21" t="n"/>
      <c r="I9" s="21" t="n"/>
      <c r="J9" s="21" t="n"/>
      <c r="K9" s="21" t="n"/>
      <c r="L9" s="20" t="n"/>
      <c r="M9" s="20" t="n"/>
      <c r="N9" s="12" t="n"/>
      <c r="O9" s="12" t="n"/>
      <c r="P9" s="12" t="n"/>
      <c r="Q9" s="12" t="n"/>
      <c r="R9" s="12" t="n"/>
    </row>
    <row r="10">
      <c r="A10" s="12" t="n">
        <v>8</v>
      </c>
      <c r="B10" s="12" t="n"/>
      <c r="C10" s="12" t="n"/>
      <c r="D10" s="12" t="inlineStr">
        <is>
          <t>Associate 008</t>
        </is>
      </c>
      <c r="E10" s="12" t="n"/>
      <c r="F10" s="12" t="inlineStr">
        <is>
          <t>English</t>
        </is>
      </c>
      <c r="G10" s="21" t="n"/>
      <c r="H10" s="20" t="n"/>
      <c r="I10" s="20" t="n"/>
      <c r="J10" s="20" t="n"/>
      <c r="K10" s="21" t="n"/>
      <c r="L10" s="21" t="n"/>
      <c r="M10" s="21" t="n"/>
      <c r="N10" s="12" t="n"/>
      <c r="O10" s="12" t="n"/>
      <c r="P10" s="12" t="n"/>
      <c r="Q10" s="12" t="n"/>
      <c r="R10" s="12" t="n"/>
    </row>
    <row r="11">
      <c r="A11" s="12" t="n">
        <v>9</v>
      </c>
      <c r="B11" s="12" t="n"/>
      <c r="C11" s="12" t="n"/>
      <c r="D11" s="12" t="inlineStr">
        <is>
          <t>Associate 009</t>
        </is>
      </c>
      <c r="E11" s="12" t="n"/>
      <c r="F11" s="12" t="inlineStr">
        <is>
          <t>English</t>
        </is>
      </c>
      <c r="G11" s="21" t="n"/>
      <c r="H11" s="20" t="n"/>
      <c r="I11" s="21" t="n"/>
      <c r="J11" s="20" t="n"/>
      <c r="K11" s="20" t="n"/>
      <c r="L11" s="21" t="n"/>
      <c r="M11" s="21" t="n"/>
      <c r="N11" s="12" t="n"/>
      <c r="O11" s="12" t="n"/>
      <c r="P11" s="12" t="n"/>
      <c r="Q11" s="12" t="n"/>
      <c r="R11" s="12" t="n"/>
    </row>
    <row r="12">
      <c r="A12" s="12" t="n">
        <v>10</v>
      </c>
      <c r="B12" s="12" t="n"/>
      <c r="C12" s="12" t="n"/>
      <c r="D12" s="12" t="inlineStr">
        <is>
          <t>Associate 010</t>
        </is>
      </c>
      <c r="E12" s="12" t="n"/>
      <c r="F12" s="12" t="inlineStr">
        <is>
          <t>English</t>
        </is>
      </c>
      <c r="G12" s="21" t="n"/>
      <c r="H12" s="20" t="n"/>
      <c r="I12" s="21" t="n"/>
      <c r="J12" s="21" t="n"/>
      <c r="K12" s="20" t="n"/>
      <c r="L12" s="20" t="n"/>
      <c r="M12" s="21" t="n"/>
      <c r="N12" s="12" t="n"/>
      <c r="O12" s="12" t="n"/>
      <c r="P12" s="12" t="n"/>
      <c r="Q12" s="12" t="n"/>
      <c r="R12" s="12" t="n"/>
    </row>
    <row r="13">
      <c r="A13" s="12" t="n">
        <v>11</v>
      </c>
      <c r="B13" s="12" t="n"/>
      <c r="C13" s="12" t="n"/>
      <c r="D13" s="12" t="inlineStr">
        <is>
          <t>Associate 011</t>
        </is>
      </c>
      <c r="E13" s="12" t="n"/>
      <c r="F13" s="12" t="inlineStr">
        <is>
          <t>English</t>
        </is>
      </c>
      <c r="G13" s="21" t="n"/>
      <c r="H13" s="20" t="n"/>
      <c r="I13" s="21" t="n"/>
      <c r="J13" s="21" t="n"/>
      <c r="K13" s="20" t="n"/>
      <c r="L13" s="20" t="n"/>
      <c r="M13" s="21" t="n"/>
      <c r="N13" s="12" t="n"/>
      <c r="O13" s="12" t="n"/>
      <c r="P13" s="12" t="n"/>
      <c r="Q13" s="12" t="n"/>
      <c r="R13" s="12" t="n"/>
    </row>
    <row r="14">
      <c r="A14" s="12" t="n">
        <v>12</v>
      </c>
      <c r="B14" s="12" t="n"/>
      <c r="C14" s="12" t="n"/>
      <c r="D14" s="12" t="inlineStr">
        <is>
          <t>Associate 012</t>
        </is>
      </c>
      <c r="E14" s="12" t="n"/>
      <c r="F14" s="12" t="inlineStr">
        <is>
          <t>English</t>
        </is>
      </c>
      <c r="G14" s="21" t="n"/>
      <c r="H14" s="21" t="n"/>
      <c r="I14" s="20" t="n"/>
      <c r="J14" s="20" t="n"/>
      <c r="K14" s="21" t="n"/>
      <c r="L14" s="20" t="n"/>
      <c r="M14" s="21" t="n"/>
      <c r="N14" s="12" t="n"/>
      <c r="O14" s="12" t="n"/>
      <c r="P14" s="12" t="n"/>
      <c r="Q14" s="12" t="n"/>
      <c r="R14" s="12" t="n"/>
    </row>
    <row r="15">
      <c r="A15" s="12" t="n">
        <v>13</v>
      </c>
      <c r="B15" s="12" t="n"/>
      <c r="C15" s="12" t="n"/>
      <c r="D15" s="12" t="inlineStr">
        <is>
          <t>Associate 013</t>
        </is>
      </c>
      <c r="E15" s="12" t="n"/>
      <c r="F15" s="12" t="inlineStr">
        <is>
          <t>English</t>
        </is>
      </c>
      <c r="G15" s="21" t="n"/>
      <c r="H15" s="21" t="n"/>
      <c r="I15" s="20" t="n"/>
      <c r="J15" s="21" t="n"/>
      <c r="K15" s="20" t="n"/>
      <c r="L15" s="20" t="n"/>
      <c r="M15" s="21" t="n"/>
      <c r="N15" s="12" t="n"/>
      <c r="O15" s="12" t="n"/>
      <c r="P15" s="12" t="n"/>
      <c r="Q15" s="12" t="n"/>
      <c r="R15" s="12" t="n"/>
    </row>
    <row r="16">
      <c r="A16" s="12" t="n">
        <v>14</v>
      </c>
      <c r="B16" s="12" t="n"/>
      <c r="C16" s="12" t="n"/>
      <c r="D16" s="12" t="inlineStr">
        <is>
          <t>Associate 014</t>
        </is>
      </c>
      <c r="E16" s="12" t="n"/>
      <c r="F16" s="12" t="inlineStr">
        <is>
          <t>English</t>
        </is>
      </c>
      <c r="G16" s="21" t="n"/>
      <c r="H16" s="21" t="n"/>
      <c r="I16" s="21" t="n"/>
      <c r="J16" s="20" t="n"/>
      <c r="K16" s="20" t="n"/>
      <c r="L16" s="21" t="n"/>
      <c r="M16" s="20" t="n"/>
      <c r="N16" s="12" t="n"/>
      <c r="O16" s="12" t="n"/>
      <c r="P16" s="12" t="n"/>
      <c r="Q16" s="12" t="n"/>
      <c r="R16" s="12" t="n"/>
    </row>
    <row r="17">
      <c r="A17" s="12" t="n">
        <v>15</v>
      </c>
      <c r="B17" s="12" t="n"/>
      <c r="C17" s="12" t="n"/>
      <c r="D17" s="12" t="inlineStr">
        <is>
          <t>Associate 015</t>
        </is>
      </c>
      <c r="E17" s="12" t="n"/>
      <c r="F17" s="12" t="inlineStr">
        <is>
          <t>English</t>
        </is>
      </c>
      <c r="G17" s="20" t="n"/>
      <c r="H17" s="20" t="n"/>
      <c r="I17" s="21" t="n"/>
      <c r="J17" s="21" t="n"/>
      <c r="K17" s="21" t="n"/>
      <c r="L17" s="21" t="n"/>
      <c r="M17" s="21" t="n"/>
      <c r="N17" s="12" t="n"/>
      <c r="O17" s="12" t="n"/>
      <c r="P17" s="12" t="n"/>
      <c r="Q17" s="12" t="n"/>
      <c r="R17" s="12" t="n"/>
    </row>
    <row r="18">
      <c r="A18" s="12" t="n">
        <v>16</v>
      </c>
      <c r="B18" s="12" t="n"/>
      <c r="C18" s="12" t="n"/>
      <c r="D18" s="12" t="inlineStr">
        <is>
          <t>Associate 016</t>
        </is>
      </c>
      <c r="E18" s="12" t="n"/>
      <c r="F18" s="12" t="inlineStr">
        <is>
          <t>English</t>
        </is>
      </c>
      <c r="G18" s="20" t="n"/>
      <c r="H18" s="20" t="n"/>
      <c r="I18" s="21" t="n"/>
      <c r="J18" s="21" t="n"/>
      <c r="K18" s="21" t="n"/>
      <c r="L18" s="21" t="n"/>
      <c r="M18" s="21" t="n"/>
      <c r="N18" s="12" t="n"/>
      <c r="O18" s="12" t="n"/>
      <c r="P18" s="12" t="n"/>
      <c r="Q18" s="12" t="n"/>
      <c r="R18" s="12" t="n"/>
    </row>
    <row r="19">
      <c r="A19" s="12" t="n">
        <v>17</v>
      </c>
      <c r="B19" s="12" t="n"/>
      <c r="C19" s="12" t="n"/>
      <c r="D19" s="12" t="inlineStr">
        <is>
          <t>Associate 017</t>
        </is>
      </c>
      <c r="E19" s="12" t="n"/>
      <c r="F19" s="12" t="inlineStr">
        <is>
          <t>English</t>
        </is>
      </c>
      <c r="G19" s="20" t="n"/>
      <c r="H19" s="20" t="n"/>
      <c r="I19" s="21" t="n"/>
      <c r="J19" s="21" t="n"/>
      <c r="K19" s="21" t="n"/>
      <c r="L19" s="21" t="n"/>
      <c r="M19" s="21" t="n"/>
      <c r="N19" s="12" t="n"/>
      <c r="O19" s="12" t="n"/>
      <c r="P19" s="12" t="n"/>
      <c r="Q19" s="12" t="n"/>
      <c r="R19" s="12" t="n"/>
    </row>
    <row r="20">
      <c r="A20" s="12" t="n">
        <v>18</v>
      </c>
      <c r="B20" s="12" t="n"/>
      <c r="C20" s="12" t="n"/>
      <c r="D20" s="12" t="inlineStr">
        <is>
          <t>Associate 018</t>
        </is>
      </c>
      <c r="E20" s="12" t="n"/>
      <c r="F20" s="12" t="inlineStr">
        <is>
          <t>English</t>
        </is>
      </c>
      <c r="G20" s="20" t="n"/>
      <c r="H20" s="20" t="n"/>
      <c r="I20" s="21" t="n"/>
      <c r="J20" s="21" t="n"/>
      <c r="K20" s="21" t="n"/>
      <c r="L20" s="21" t="n"/>
      <c r="M20" s="21" t="n"/>
      <c r="N20" s="12" t="n"/>
      <c r="O20" s="12" t="n"/>
      <c r="P20" s="12" t="n"/>
      <c r="Q20" s="12" t="n"/>
      <c r="R20" s="12" t="n"/>
    </row>
    <row r="21">
      <c r="A21" s="12" t="n">
        <v>19</v>
      </c>
      <c r="B21" s="12" t="n"/>
      <c r="C21" s="12" t="n"/>
      <c r="D21" s="12" t="inlineStr">
        <is>
          <t>Associate 019</t>
        </is>
      </c>
      <c r="E21" s="12" t="n"/>
      <c r="F21" s="12" t="inlineStr">
        <is>
          <t>English</t>
        </is>
      </c>
      <c r="G21" s="20" t="n"/>
      <c r="H21" s="20" t="n"/>
      <c r="I21" s="21" t="n"/>
      <c r="J21" s="21" t="n"/>
      <c r="K21" s="21" t="n"/>
      <c r="L21" s="21" t="n"/>
      <c r="M21" s="21" t="n"/>
      <c r="N21" s="12" t="n"/>
      <c r="O21" s="12" t="n"/>
      <c r="P21" s="12" t="n"/>
      <c r="Q21" s="12" t="n"/>
      <c r="R21" s="12" t="n"/>
    </row>
    <row r="22">
      <c r="A22" s="12" t="n">
        <v>20</v>
      </c>
      <c r="B22" s="12" t="n"/>
      <c r="C22" s="12" t="n"/>
      <c r="D22" s="12" t="inlineStr">
        <is>
          <t>Associate 020</t>
        </is>
      </c>
      <c r="E22" s="12" t="n"/>
      <c r="F22" s="12" t="inlineStr">
        <is>
          <t>English</t>
        </is>
      </c>
      <c r="G22" s="20" t="n"/>
      <c r="H22" s="21" t="n"/>
      <c r="I22" s="21" t="n"/>
      <c r="J22" s="21" t="n"/>
      <c r="K22" s="21" t="n"/>
      <c r="L22" s="21" t="n"/>
      <c r="M22" s="20" t="n"/>
      <c r="N22" s="12" t="n"/>
      <c r="O22" s="12" t="n"/>
      <c r="P22" s="12" t="n"/>
      <c r="Q22" s="12" t="n"/>
      <c r="R22" s="12" t="n"/>
    </row>
    <row r="23">
      <c r="A23" s="12" t="n">
        <v>21</v>
      </c>
      <c r="B23" s="12" t="n"/>
      <c r="C23" s="12" t="n"/>
      <c r="D23" s="12" t="inlineStr">
        <is>
          <t>Associate 021</t>
        </is>
      </c>
      <c r="E23" s="12" t="n"/>
      <c r="F23" s="12" t="inlineStr">
        <is>
          <t>English</t>
        </is>
      </c>
      <c r="G23" s="20" t="n"/>
      <c r="H23" s="21" t="n"/>
      <c r="I23" s="21" t="n"/>
      <c r="J23" s="21" t="n"/>
      <c r="K23" s="21" t="n"/>
      <c r="L23" s="21" t="n"/>
      <c r="M23" s="20" t="n"/>
      <c r="N23" s="12" t="n"/>
      <c r="O23" s="12" t="n"/>
      <c r="P23" s="12" t="n"/>
      <c r="Q23" s="12" t="n"/>
      <c r="R23" s="12" t="n"/>
    </row>
    <row r="24">
      <c r="A24" s="12" t="n">
        <v>22</v>
      </c>
      <c r="B24" s="12" t="n"/>
      <c r="C24" s="12" t="n"/>
      <c r="D24" s="12" t="inlineStr">
        <is>
          <t>Associate 022</t>
        </is>
      </c>
      <c r="E24" s="12" t="n"/>
      <c r="F24" s="12" t="inlineStr">
        <is>
          <t>English</t>
        </is>
      </c>
      <c r="G24" s="20" t="n"/>
      <c r="H24" s="21" t="n"/>
      <c r="I24" s="21" t="n"/>
      <c r="J24" s="21" t="n"/>
      <c r="K24" s="21" t="n"/>
      <c r="L24" s="21" t="n"/>
      <c r="M24" s="20" t="n"/>
      <c r="N24" s="12" t="n"/>
      <c r="O24" s="12" t="n"/>
      <c r="P24" s="12" t="n"/>
      <c r="Q24" s="12" t="n"/>
      <c r="R24" s="12" t="n"/>
    </row>
    <row r="25">
      <c r="A25" s="12" t="n">
        <v>23</v>
      </c>
      <c r="B25" s="12" t="n"/>
      <c r="C25" s="12" t="n"/>
      <c r="D25" s="12" t="inlineStr">
        <is>
          <t>Associate 023</t>
        </is>
      </c>
      <c r="E25" s="12" t="n"/>
      <c r="F25" s="12" t="inlineStr">
        <is>
          <t>English</t>
        </is>
      </c>
      <c r="G25" s="20" t="n"/>
      <c r="H25" s="21" t="n"/>
      <c r="I25" s="21" t="n"/>
      <c r="J25" s="21" t="n"/>
      <c r="K25" s="21" t="n"/>
      <c r="L25" s="21" t="n"/>
      <c r="M25" s="20" t="n"/>
      <c r="N25" s="12" t="n"/>
      <c r="O25" s="12" t="n"/>
      <c r="P25" s="12" t="n"/>
      <c r="Q25" s="12" t="n"/>
      <c r="R25" s="12" t="n"/>
    </row>
    <row r="26">
      <c r="A26" s="12" t="n">
        <v>24</v>
      </c>
      <c r="B26" s="12" t="n"/>
      <c r="C26" s="12" t="n"/>
      <c r="D26" s="12" t="inlineStr">
        <is>
          <t>Associate 024</t>
        </is>
      </c>
      <c r="E26" s="12" t="n"/>
      <c r="F26" s="12" t="inlineStr">
        <is>
          <t>English</t>
        </is>
      </c>
      <c r="G26" s="21" t="n"/>
      <c r="H26" s="20" t="n"/>
      <c r="I26" s="20" t="n"/>
      <c r="J26" s="21" t="n"/>
      <c r="K26" s="21" t="n"/>
      <c r="L26" s="21" t="n"/>
      <c r="M26" s="21" t="n"/>
      <c r="N26" s="12" t="n"/>
      <c r="O26" s="12" t="n"/>
      <c r="P26" s="12" t="n"/>
      <c r="Q26" s="12" t="n"/>
      <c r="R26" s="12" t="n"/>
    </row>
    <row r="27">
      <c r="A27" s="12" t="n">
        <v>25</v>
      </c>
      <c r="B27" s="12" t="n"/>
      <c r="C27" s="12" t="n"/>
      <c r="D27" s="12" t="inlineStr">
        <is>
          <t>Associate 025</t>
        </is>
      </c>
      <c r="E27" s="12" t="n"/>
      <c r="F27" s="12" t="inlineStr">
        <is>
          <t>English</t>
        </is>
      </c>
      <c r="G27" s="21" t="n"/>
      <c r="H27" s="20" t="n"/>
      <c r="I27" s="20" t="n"/>
      <c r="J27" s="21" t="n"/>
      <c r="K27" s="21" t="n"/>
      <c r="L27" s="21" t="n"/>
      <c r="M27" s="21" t="n"/>
      <c r="N27" s="12" t="n"/>
      <c r="O27" s="12" t="n"/>
      <c r="P27" s="12" t="n"/>
      <c r="Q27" s="12" t="n"/>
      <c r="R27" s="12" t="n"/>
    </row>
    <row r="28">
      <c r="A28" s="12" t="n">
        <v>26</v>
      </c>
      <c r="B28" s="12" t="n"/>
      <c r="C28" s="12" t="n"/>
      <c r="D28" s="12" t="inlineStr">
        <is>
          <t>Associate 026</t>
        </is>
      </c>
      <c r="E28" s="12" t="n"/>
      <c r="F28" s="12" t="inlineStr">
        <is>
          <t>English</t>
        </is>
      </c>
      <c r="G28" s="21" t="n"/>
      <c r="H28" s="21" t="n"/>
      <c r="I28" s="20" t="n"/>
      <c r="J28" s="20" t="n"/>
      <c r="K28" s="21" t="n"/>
      <c r="L28" s="21" t="n"/>
      <c r="M28" s="21" t="n"/>
      <c r="N28" s="12" t="n"/>
      <c r="O28" s="12" t="n"/>
      <c r="P28" s="12" t="n"/>
      <c r="Q28" s="12" t="n"/>
      <c r="R28" s="12" t="n"/>
    </row>
    <row r="29" ht="15.75" customHeight="1" s="45">
      <c r="A29" s="12" t="n">
        <v>27</v>
      </c>
      <c r="B29" s="12" t="n"/>
      <c r="C29" s="12" t="n"/>
      <c r="D29" s="12" t="inlineStr">
        <is>
          <t>Associate 027</t>
        </is>
      </c>
      <c r="E29" s="12" t="n"/>
      <c r="F29" s="12" t="inlineStr">
        <is>
          <t>English</t>
        </is>
      </c>
      <c r="G29" s="21" t="n"/>
      <c r="H29" s="21" t="n"/>
      <c r="I29" s="20" t="n"/>
      <c r="J29" s="20" t="n"/>
      <c r="K29" s="21" t="n"/>
      <c r="L29" s="21" t="n"/>
      <c r="M29" s="21" t="n"/>
      <c r="N29" s="12" t="n"/>
      <c r="O29" s="12" t="n"/>
      <c r="P29" s="12" t="n"/>
      <c r="Q29" s="12" t="n"/>
      <c r="R29" s="12" t="n"/>
    </row>
    <row r="30" ht="15.75" customHeight="1" s="45">
      <c r="A30" s="12" t="n">
        <v>28</v>
      </c>
      <c r="B30" s="12" t="n"/>
      <c r="C30" s="12" t="n"/>
      <c r="D30" s="12" t="inlineStr">
        <is>
          <t>Associate 028</t>
        </is>
      </c>
      <c r="E30" s="12" t="n"/>
      <c r="F30" s="12" t="inlineStr">
        <is>
          <t>English</t>
        </is>
      </c>
      <c r="G30" s="21" t="n"/>
      <c r="H30" s="21" t="n"/>
      <c r="I30" s="20" t="n"/>
      <c r="J30" s="20" t="n"/>
      <c r="K30" s="21" t="n"/>
      <c r="L30" s="21" t="n"/>
      <c r="M30" s="21" t="n"/>
      <c r="N30" s="12" t="n"/>
      <c r="O30" s="12" t="n"/>
      <c r="P30" s="12" t="n"/>
      <c r="Q30" s="12" t="n"/>
      <c r="R30" s="12" t="n"/>
    </row>
    <row r="31">
      <c r="A31" s="12" t="n">
        <v>29</v>
      </c>
      <c r="B31" s="12" t="n"/>
      <c r="C31" s="12" t="n"/>
      <c r="D31" s="12" t="inlineStr">
        <is>
          <t>Associate 029</t>
        </is>
      </c>
      <c r="E31" s="12" t="n"/>
      <c r="F31" s="12" t="inlineStr">
        <is>
          <t>English</t>
        </is>
      </c>
      <c r="G31" s="21" t="n"/>
      <c r="H31" s="21" t="n"/>
      <c r="I31" s="20" t="n"/>
      <c r="J31" s="20" t="n"/>
      <c r="K31" s="21" t="n"/>
      <c r="L31" s="21" t="n"/>
      <c r="M31" s="21" t="n"/>
      <c r="N31" s="12" t="n"/>
      <c r="O31" s="12" t="n"/>
      <c r="P31" s="12" t="n"/>
      <c r="Q31" s="12" t="n"/>
      <c r="R31" s="12" t="n"/>
    </row>
    <row r="32">
      <c r="A32" s="12" t="n">
        <v>30</v>
      </c>
      <c r="B32" s="12" t="n"/>
      <c r="C32" s="12" t="n"/>
      <c r="D32" s="12" t="inlineStr">
        <is>
          <t>Associate 030</t>
        </is>
      </c>
      <c r="E32" s="12" t="n"/>
      <c r="F32" s="12" t="inlineStr">
        <is>
          <t>English</t>
        </is>
      </c>
      <c r="G32" s="21" t="n"/>
      <c r="H32" s="21" t="n"/>
      <c r="I32" s="20" t="n"/>
      <c r="J32" s="20" t="n"/>
      <c r="K32" s="21" t="n"/>
      <c r="L32" s="21" t="n"/>
      <c r="M32" s="21" t="n"/>
      <c r="N32" s="12" t="n"/>
      <c r="O32" s="12" t="n"/>
      <c r="P32" s="12" t="n"/>
      <c r="Q32" s="12" t="n"/>
      <c r="R32" s="12" t="n"/>
    </row>
    <row r="33">
      <c r="A33" s="12" t="n">
        <v>31</v>
      </c>
      <c r="B33" s="12" t="n"/>
      <c r="C33" s="12" t="n"/>
      <c r="D33" s="12" t="inlineStr">
        <is>
          <t>Associate 031</t>
        </is>
      </c>
      <c r="E33" s="12" t="n"/>
      <c r="F33" s="12" t="inlineStr">
        <is>
          <t>English</t>
        </is>
      </c>
      <c r="G33" s="21" t="n"/>
      <c r="H33" s="21" t="n"/>
      <c r="I33" s="20" t="n"/>
      <c r="J33" s="20" t="n"/>
      <c r="K33" s="21" t="n"/>
      <c r="L33" s="21" t="n"/>
      <c r="M33" s="21" t="n"/>
      <c r="N33" s="12" t="n"/>
      <c r="O33" s="12" t="n"/>
      <c r="P33" s="12" t="n"/>
      <c r="Q33" s="12" t="n"/>
      <c r="R33" s="12" t="n"/>
    </row>
    <row r="34">
      <c r="A34" s="12" t="n">
        <v>32</v>
      </c>
      <c r="B34" s="12" t="n"/>
      <c r="C34" s="12" t="n"/>
      <c r="D34" s="12" t="inlineStr">
        <is>
          <t>Associate 032</t>
        </is>
      </c>
      <c r="E34" s="12" t="n"/>
      <c r="F34" s="12" t="inlineStr">
        <is>
          <t>English</t>
        </is>
      </c>
      <c r="G34" s="21" t="n"/>
      <c r="H34" s="21" t="n"/>
      <c r="I34" s="20" t="n"/>
      <c r="J34" s="20" t="n"/>
      <c r="K34" s="21" t="n"/>
      <c r="L34" s="21" t="n"/>
      <c r="M34" s="21" t="n"/>
      <c r="N34" s="12" t="n"/>
      <c r="O34" s="12" t="n"/>
      <c r="P34" s="12" t="n"/>
      <c r="Q34" s="12" t="n"/>
      <c r="R34" s="12" t="n"/>
    </row>
    <row r="35">
      <c r="A35" s="12" t="n">
        <v>33</v>
      </c>
      <c r="B35" s="12" t="n"/>
      <c r="C35" s="12" t="n"/>
      <c r="D35" s="12" t="inlineStr">
        <is>
          <t>Associate 033</t>
        </is>
      </c>
      <c r="E35" s="12" t="n"/>
      <c r="F35" s="12" t="inlineStr">
        <is>
          <t>English</t>
        </is>
      </c>
      <c r="G35" s="21" t="n"/>
      <c r="H35" s="21" t="n"/>
      <c r="I35" s="21" t="n"/>
      <c r="J35" s="20" t="n"/>
      <c r="K35" s="20" t="n"/>
      <c r="L35" s="21" t="n"/>
      <c r="M35" s="21" t="n"/>
      <c r="N35" s="12" t="n"/>
      <c r="O35" s="12" t="n"/>
      <c r="P35" s="12" t="n"/>
      <c r="Q35" s="12" t="n"/>
      <c r="R35" s="12" t="n"/>
    </row>
    <row r="36">
      <c r="A36" s="12" t="n">
        <v>34</v>
      </c>
      <c r="B36" s="12" t="n"/>
      <c r="C36" s="12" t="n"/>
      <c r="D36" s="12" t="inlineStr">
        <is>
          <t>Associate 034</t>
        </is>
      </c>
      <c r="E36" s="12" t="n"/>
      <c r="F36" s="12" t="inlineStr">
        <is>
          <t>English</t>
        </is>
      </c>
      <c r="G36" s="21" t="n"/>
      <c r="H36" s="21" t="n"/>
      <c r="I36" s="21" t="n"/>
      <c r="J36" s="20" t="n"/>
      <c r="K36" s="20" t="n"/>
      <c r="L36" s="21" t="n"/>
      <c r="M36" s="21" t="n"/>
      <c r="N36" s="12" t="n"/>
      <c r="O36" s="12" t="n"/>
      <c r="P36" s="12" t="n"/>
      <c r="Q36" s="12" t="n"/>
      <c r="R36" s="12" t="n"/>
    </row>
    <row r="37">
      <c r="A37" s="12" t="n">
        <v>35</v>
      </c>
      <c r="B37" s="12" t="n"/>
      <c r="C37" s="12" t="n"/>
      <c r="D37" s="12" t="inlineStr">
        <is>
          <t>Associate 035</t>
        </is>
      </c>
      <c r="E37" s="12" t="n"/>
      <c r="F37" s="12" t="inlineStr">
        <is>
          <t>English</t>
        </is>
      </c>
      <c r="G37" s="21" t="n"/>
      <c r="H37" s="21" t="n"/>
      <c r="I37" s="21" t="n"/>
      <c r="J37" s="21" t="n"/>
      <c r="K37" s="20" t="n"/>
      <c r="L37" s="20" t="n"/>
      <c r="M37" s="21" t="n"/>
      <c r="N37" s="12" t="n"/>
      <c r="O37" s="12" t="n"/>
      <c r="P37" s="12" t="n"/>
      <c r="Q37" s="12" t="n"/>
      <c r="R37" s="12" t="n"/>
    </row>
    <row r="38">
      <c r="A38" s="12" t="n">
        <v>36</v>
      </c>
      <c r="B38" s="12" t="n"/>
      <c r="C38" s="12" t="n"/>
      <c r="D38" s="12" t="inlineStr">
        <is>
          <t>Associate 036</t>
        </is>
      </c>
      <c r="E38" s="12" t="n"/>
      <c r="F38" s="12" t="inlineStr">
        <is>
          <t>English</t>
        </is>
      </c>
      <c r="G38" s="21" t="n"/>
      <c r="H38" s="21" t="n"/>
      <c r="I38" s="21" t="n"/>
      <c r="J38" s="21" t="n"/>
      <c r="K38" s="20" t="n"/>
      <c r="L38" s="20" t="n"/>
      <c r="M38" s="21" t="n"/>
      <c r="N38" s="12" t="n"/>
      <c r="O38" s="12" t="n"/>
      <c r="P38" s="12" t="n"/>
      <c r="Q38" s="12" t="n"/>
      <c r="R38" s="12" t="n"/>
    </row>
    <row r="39">
      <c r="A39" s="12" t="n">
        <v>37</v>
      </c>
      <c r="B39" s="12" t="n"/>
      <c r="C39" s="12" t="n"/>
      <c r="D39" s="12" t="inlineStr">
        <is>
          <t>Associate 037</t>
        </is>
      </c>
      <c r="E39" s="12" t="n"/>
      <c r="F39" s="12" t="inlineStr">
        <is>
          <t>English</t>
        </is>
      </c>
      <c r="G39" s="21" t="n"/>
      <c r="H39" s="21" t="n"/>
      <c r="I39" s="21" t="n"/>
      <c r="J39" s="21" t="n"/>
      <c r="K39" s="20" t="n"/>
      <c r="L39" s="20" t="n"/>
      <c r="M39" s="21" t="n"/>
      <c r="N39" s="12" t="n"/>
      <c r="O39" s="12" t="n"/>
      <c r="P39" s="12" t="n"/>
      <c r="Q39" s="12" t="n"/>
      <c r="R39" s="12" t="n"/>
    </row>
    <row r="40">
      <c r="A40" s="12" t="n">
        <v>38</v>
      </c>
      <c r="B40" s="12" t="n"/>
      <c r="C40" s="12" t="n"/>
      <c r="D40" s="12" t="inlineStr">
        <is>
          <t>Associate 038</t>
        </is>
      </c>
      <c r="E40" s="12" t="n"/>
      <c r="F40" s="12" t="inlineStr">
        <is>
          <t>English</t>
        </is>
      </c>
      <c r="G40" s="21" t="n"/>
      <c r="H40" s="21" t="n"/>
      <c r="I40" s="21" t="n"/>
      <c r="J40" s="21" t="n"/>
      <c r="K40" s="20" t="n"/>
      <c r="L40" s="20" t="n"/>
      <c r="M40" s="21" t="n"/>
      <c r="N40" s="12" t="n"/>
      <c r="O40" s="12" t="n"/>
      <c r="P40" s="12" t="n"/>
      <c r="Q40" s="12" t="n"/>
      <c r="R40" s="12" t="n"/>
    </row>
    <row r="41">
      <c r="A41" s="12" t="n">
        <v>39</v>
      </c>
      <c r="B41" s="12" t="n"/>
      <c r="C41" s="12" t="n"/>
      <c r="D41" s="12" t="inlineStr">
        <is>
          <t>Associate 039</t>
        </is>
      </c>
      <c r="E41" s="12" t="n"/>
      <c r="F41" s="12" t="inlineStr">
        <is>
          <t>English</t>
        </is>
      </c>
      <c r="G41" s="21" t="n"/>
      <c r="H41" s="21" t="n"/>
      <c r="I41" s="21" t="n"/>
      <c r="J41" s="21" t="n"/>
      <c r="K41" s="20" t="n"/>
      <c r="L41" s="20" t="n"/>
      <c r="M41" s="21" t="n"/>
      <c r="N41" s="12" t="n"/>
      <c r="O41" s="12" t="n"/>
      <c r="P41" s="12" t="n"/>
      <c r="Q41" s="12" t="n"/>
      <c r="R41" s="12" t="n"/>
    </row>
    <row r="42">
      <c r="A42" s="12" t="n">
        <v>40</v>
      </c>
      <c r="B42" s="12" t="n"/>
      <c r="C42" s="12" t="n"/>
      <c r="D42" s="12" t="inlineStr">
        <is>
          <t>Associate 040</t>
        </is>
      </c>
      <c r="E42" s="12" t="n"/>
      <c r="F42" s="12" t="inlineStr">
        <is>
          <t>English</t>
        </is>
      </c>
      <c r="G42" s="21" t="n"/>
      <c r="H42" s="21" t="n"/>
      <c r="I42" s="21" t="n"/>
      <c r="J42" s="21" t="n"/>
      <c r="K42" s="21" t="n"/>
      <c r="L42" s="20" t="n"/>
      <c r="M42" s="20" t="n"/>
      <c r="N42" s="12" t="n"/>
      <c r="O42" s="12" t="n"/>
      <c r="P42" s="12" t="n"/>
      <c r="Q42" s="12" t="n"/>
      <c r="R42" s="12" t="n"/>
    </row>
    <row r="43">
      <c r="A43" s="12" t="n">
        <v>41</v>
      </c>
      <c r="B43" s="12" t="n"/>
      <c r="C43" s="12" t="n"/>
      <c r="D43" s="12" t="inlineStr">
        <is>
          <t>Associate 041</t>
        </is>
      </c>
      <c r="E43" s="12" t="n"/>
      <c r="F43" s="12" t="inlineStr">
        <is>
          <t>English</t>
        </is>
      </c>
      <c r="G43" s="21" t="n"/>
      <c r="H43" s="21" t="n"/>
      <c r="I43" s="21" t="n"/>
      <c r="J43" s="21" t="n"/>
      <c r="K43" s="21" t="n"/>
      <c r="L43" s="20" t="n"/>
      <c r="M43" s="20" t="n"/>
      <c r="N43" s="12" t="n"/>
      <c r="O43" s="12" t="n"/>
      <c r="P43" s="12" t="n"/>
      <c r="Q43" s="12" t="n"/>
      <c r="R43" s="12" t="n"/>
    </row>
    <row r="44">
      <c r="A44" s="12" t="n">
        <v>42</v>
      </c>
      <c r="B44" s="12" t="n"/>
      <c r="C44" s="12" t="n"/>
      <c r="D44" s="12" t="inlineStr">
        <is>
          <t>Associate 042</t>
        </is>
      </c>
      <c r="E44" s="12" t="n"/>
      <c r="F44" s="12" t="inlineStr">
        <is>
          <t>English</t>
        </is>
      </c>
      <c r="G44" s="21" t="n"/>
      <c r="H44" s="21" t="n"/>
      <c r="I44" s="21" t="n"/>
      <c r="J44" s="21" t="n"/>
      <c r="K44" s="21" t="n"/>
      <c r="L44" s="20" t="n"/>
      <c r="M44" s="20" t="n"/>
      <c r="N44" s="12" t="n"/>
      <c r="O44" s="12" t="n"/>
      <c r="P44" s="12" t="n"/>
      <c r="Q44" s="12" t="n"/>
      <c r="R44" s="12" t="n"/>
    </row>
    <row r="45">
      <c r="A45" s="12" t="n">
        <v>43</v>
      </c>
      <c r="B45" s="12" t="n"/>
      <c r="C45" s="12" t="n"/>
      <c r="D45" s="12" t="inlineStr">
        <is>
          <t>Associate 043</t>
        </is>
      </c>
      <c r="E45" s="12" t="n"/>
      <c r="F45" s="12" t="inlineStr">
        <is>
          <t>English</t>
        </is>
      </c>
      <c r="G45" s="21" t="n"/>
      <c r="H45" s="21" t="n"/>
      <c r="I45" s="21" t="n"/>
      <c r="J45" s="21" t="n"/>
      <c r="K45" s="21" t="n"/>
      <c r="L45" s="20" t="n"/>
      <c r="M45" s="20" t="n"/>
      <c r="N45" s="12" t="n"/>
      <c r="O45" s="12" t="n"/>
      <c r="P45" s="12" t="n"/>
      <c r="Q45" s="12" t="n"/>
      <c r="R45" s="12" t="n"/>
    </row>
    <row r="46">
      <c r="A46" s="12" t="n">
        <v>44</v>
      </c>
      <c r="B46" s="12" t="n"/>
      <c r="C46" s="12" t="n"/>
      <c r="D46" s="12" t="inlineStr">
        <is>
          <t>Associate 044</t>
        </is>
      </c>
      <c r="E46" s="12" t="n"/>
      <c r="F46" s="12" t="inlineStr">
        <is>
          <t>English</t>
        </is>
      </c>
      <c r="G46" s="20" t="n"/>
      <c r="H46" s="22" t="n"/>
      <c r="I46" s="22" t="n"/>
      <c r="J46" s="22" t="n"/>
      <c r="K46" s="22" t="n"/>
      <c r="L46" s="22" t="n"/>
      <c r="M46" s="20" t="n"/>
      <c r="N46" s="12" t="n"/>
      <c r="O46" s="12" t="n"/>
      <c r="P46" s="12" t="n"/>
      <c r="Q46" s="12" t="n"/>
      <c r="R46" s="12" t="n"/>
    </row>
    <row r="47" ht="15.75" customHeight="1" s="45">
      <c r="A47" s="12" t="n">
        <v>45</v>
      </c>
      <c r="B47" s="12" t="n"/>
      <c r="C47" s="12" t="n"/>
      <c r="D47" s="12" t="inlineStr">
        <is>
          <t>Associate 045</t>
        </is>
      </c>
      <c r="E47" s="12" t="n"/>
      <c r="F47" s="12" t="inlineStr">
        <is>
          <t>English</t>
        </is>
      </c>
      <c r="G47" s="20" t="n"/>
      <c r="H47" s="22" t="n"/>
      <c r="I47" s="22" t="n"/>
      <c r="J47" s="22" t="n"/>
      <c r="K47" s="22" t="n"/>
      <c r="L47" s="22" t="n"/>
      <c r="M47" s="20" t="n"/>
      <c r="N47" s="12" t="n"/>
      <c r="O47" s="12" t="n"/>
      <c r="P47" s="12" t="n"/>
      <c r="Q47" s="12" t="n"/>
      <c r="R47" s="12" t="n"/>
    </row>
    <row r="48" ht="15.75" customHeight="1" s="45">
      <c r="A48" s="12" t="n">
        <v>46</v>
      </c>
      <c r="B48" s="12" t="n"/>
      <c r="C48" s="12" t="n"/>
      <c r="D48" s="12" t="inlineStr">
        <is>
          <t>Associate 046</t>
        </is>
      </c>
      <c r="E48" s="12" t="n"/>
      <c r="F48" s="12" t="inlineStr">
        <is>
          <t>English</t>
        </is>
      </c>
      <c r="G48" s="20" t="n"/>
      <c r="H48" s="22" t="n"/>
      <c r="I48" s="22" t="n"/>
      <c r="J48" s="22" t="n"/>
      <c r="K48" s="22" t="n"/>
      <c r="L48" s="22" t="n"/>
      <c r="M48" s="20" t="n"/>
      <c r="N48" s="12" t="n"/>
      <c r="O48" s="12" t="n"/>
      <c r="P48" s="12" t="n"/>
      <c r="Q48" s="12" t="n"/>
      <c r="R48" s="12" t="n"/>
    </row>
    <row r="49" ht="15.75" customHeight="1" s="45">
      <c r="A49" s="12" t="n">
        <v>47</v>
      </c>
      <c r="B49" s="12" t="n"/>
      <c r="C49" s="12" t="n"/>
      <c r="D49" s="12" t="inlineStr">
        <is>
          <t>Associate 047</t>
        </is>
      </c>
      <c r="E49" s="12" t="n"/>
      <c r="F49" s="12" t="inlineStr">
        <is>
          <t>English</t>
        </is>
      </c>
      <c r="G49" s="20" t="n"/>
      <c r="H49" s="22" t="n"/>
      <c r="I49" s="22" t="n"/>
      <c r="J49" s="22" t="n"/>
      <c r="K49" s="22" t="n"/>
      <c r="L49" s="22" t="n"/>
      <c r="M49" s="20" t="n"/>
      <c r="N49" s="12" t="n"/>
      <c r="O49" s="12" t="n"/>
      <c r="P49" s="12" t="n"/>
      <c r="Q49" s="12" t="n"/>
      <c r="R49" s="12" t="n"/>
    </row>
    <row r="50">
      <c r="A50" s="12" t="n">
        <v>48</v>
      </c>
      <c r="B50" s="12" t="n"/>
      <c r="C50" s="12" t="n"/>
      <c r="D50" s="12" t="inlineStr">
        <is>
          <t>Associate 048</t>
        </is>
      </c>
      <c r="E50" s="12" t="n"/>
      <c r="F50" s="12" t="inlineStr">
        <is>
          <t>English</t>
        </is>
      </c>
      <c r="G50" s="20" t="n"/>
      <c r="H50" s="22" t="n"/>
      <c r="I50" s="22" t="n"/>
      <c r="J50" s="22" t="n"/>
      <c r="K50" s="22" t="n"/>
      <c r="L50" s="22" t="n"/>
      <c r="M50" s="20" t="n"/>
      <c r="N50" s="12" t="n"/>
      <c r="O50" s="12" t="n"/>
      <c r="P50" s="12" t="n"/>
      <c r="Q50" s="12" t="n"/>
      <c r="R50" s="12" t="n"/>
    </row>
    <row r="51">
      <c r="A51" s="12" t="n">
        <v>49</v>
      </c>
      <c r="B51" s="12" t="n"/>
      <c r="C51" s="12" t="n"/>
      <c r="D51" s="12" t="inlineStr">
        <is>
          <t>Associate 049</t>
        </is>
      </c>
      <c r="E51" s="12" t="n"/>
      <c r="F51" s="12" t="inlineStr">
        <is>
          <t>English</t>
        </is>
      </c>
      <c r="G51" s="20" t="n"/>
      <c r="H51" s="22" t="n"/>
      <c r="I51" s="22" t="n"/>
      <c r="J51" s="22" t="n"/>
      <c r="K51" s="22" t="n"/>
      <c r="L51" s="22" t="n"/>
      <c r="M51" s="20" t="n"/>
      <c r="N51" s="12" t="n"/>
      <c r="O51" s="12" t="n"/>
      <c r="P51" s="12" t="n"/>
      <c r="Q51" s="12" t="n"/>
      <c r="R51" s="12" t="n"/>
    </row>
    <row r="52">
      <c r="A52" s="12" t="n">
        <v>50</v>
      </c>
      <c r="B52" s="12" t="n"/>
      <c r="C52" s="12" t="n"/>
      <c r="D52" s="12" t="inlineStr">
        <is>
          <t>Associate 050</t>
        </is>
      </c>
      <c r="E52" s="12" t="n"/>
      <c r="F52" s="12" t="inlineStr">
        <is>
          <t>English</t>
        </is>
      </c>
      <c r="G52" s="20" t="n"/>
      <c r="H52" s="22" t="n"/>
      <c r="I52" s="22" t="n"/>
      <c r="J52" s="22" t="n"/>
      <c r="K52" s="22" t="n"/>
      <c r="L52" s="22" t="n"/>
      <c r="M52" s="20" t="n"/>
      <c r="N52" s="12" t="n"/>
      <c r="O52" s="12" t="n"/>
      <c r="P52" s="12" t="n"/>
      <c r="Q52" s="12" t="n"/>
      <c r="R52" s="12" t="n"/>
    </row>
    <row r="53">
      <c r="A53" s="12" t="n"/>
      <c r="B53" s="12" t="n"/>
      <c r="C53" s="12" t="n"/>
      <c r="D53" s="12" t="n"/>
      <c r="E53" s="12" t="n"/>
      <c r="F53" s="12" t="n"/>
      <c r="G53" s="20" t="n"/>
      <c r="H53" s="22" t="n"/>
      <c r="I53" s="22" t="n"/>
      <c r="J53" s="22" t="n"/>
      <c r="K53" s="22" t="n"/>
      <c r="L53" s="22" t="n"/>
      <c r="M53" s="20" t="n"/>
      <c r="N53" s="12" t="n"/>
      <c r="O53" s="12" t="n"/>
      <c r="P53" s="12" t="n"/>
      <c r="Q53" s="12" t="n"/>
      <c r="R53" s="12" t="n"/>
    </row>
    <row r="54">
      <c r="A54" s="12" t="n"/>
      <c r="B54" s="12" t="n"/>
      <c r="C54" s="12" t="n"/>
      <c r="D54" s="12" t="n"/>
      <c r="E54" s="12" t="n"/>
      <c r="F54" s="12" t="n"/>
      <c r="G54" s="20" t="n"/>
      <c r="H54" s="22" t="n"/>
      <c r="I54" s="22" t="n"/>
      <c r="J54" s="22" t="n"/>
      <c r="K54" s="22" t="n"/>
      <c r="L54" s="22" t="n"/>
      <c r="M54" s="20" t="n"/>
      <c r="N54" s="12" t="n"/>
      <c r="O54" s="12" t="n"/>
      <c r="P54" s="12" t="n"/>
      <c r="Q54" s="12" t="n"/>
      <c r="R54" s="12" t="n"/>
    </row>
    <row r="55">
      <c r="A55" s="12" t="n"/>
      <c r="B55" s="12" t="n"/>
      <c r="C55" s="12" t="n"/>
      <c r="D55" s="12" t="n"/>
      <c r="E55" s="12" t="n"/>
      <c r="F55" s="12" t="n"/>
      <c r="G55" s="20" t="n"/>
      <c r="H55" s="22" t="n"/>
      <c r="I55" s="22" t="n"/>
      <c r="J55" s="22" t="n"/>
      <c r="K55" s="22" t="n"/>
      <c r="L55" s="22" t="n"/>
      <c r="M55" s="20" t="n"/>
      <c r="N55" s="12" t="n"/>
      <c r="O55" s="12" t="n"/>
      <c r="P55" s="12" t="n"/>
      <c r="Q55" s="12" t="n"/>
      <c r="R55" s="12" t="n"/>
    </row>
    <row r="56">
      <c r="A56" s="12" t="n"/>
      <c r="B56" s="12" t="n"/>
      <c r="C56" s="12" t="n"/>
      <c r="D56" s="12" t="n"/>
      <c r="E56" s="12" t="n"/>
      <c r="F56" s="12" t="n"/>
      <c r="G56" s="20" t="n"/>
      <c r="H56" s="22" t="n"/>
      <c r="I56" s="22" t="n"/>
      <c r="J56" s="22" t="n"/>
      <c r="K56" s="22" t="n"/>
      <c r="L56" s="22" t="n"/>
      <c r="M56" s="20" t="n"/>
      <c r="N56" s="12" t="n"/>
      <c r="O56" s="12" t="n"/>
      <c r="P56" s="12" t="n"/>
      <c r="Q56" s="12" t="n"/>
      <c r="R56" s="12" t="n"/>
    </row>
    <row r="57">
      <c r="A57" s="12" t="n"/>
      <c r="B57" s="12" t="n"/>
      <c r="C57" s="12" t="n"/>
      <c r="D57" s="12" t="n"/>
      <c r="E57" s="12" t="n"/>
      <c r="F57" s="12" t="n"/>
      <c r="G57" s="20" t="n"/>
      <c r="H57" s="22" t="n"/>
      <c r="I57" s="22" t="n"/>
      <c r="J57" s="22" t="n"/>
      <c r="K57" s="22" t="n"/>
      <c r="L57" s="22" t="n"/>
      <c r="M57" s="20" t="n"/>
      <c r="N57" s="12" t="n"/>
      <c r="O57" s="12" t="n"/>
      <c r="P57" s="12" t="n"/>
      <c r="Q57" s="12" t="n"/>
      <c r="R57" s="12" t="n"/>
    </row>
    <row r="58">
      <c r="A58" s="12" t="n"/>
      <c r="B58" s="12" t="n"/>
      <c r="C58" s="12" t="n"/>
      <c r="D58" s="12" t="n"/>
      <c r="E58" s="12" t="n"/>
      <c r="F58" s="12" t="n"/>
      <c r="G58" s="20" t="n"/>
      <c r="H58" s="22" t="n"/>
      <c r="I58" s="22" t="n"/>
      <c r="J58" s="22" t="n"/>
      <c r="K58" s="22" t="n"/>
      <c r="L58" s="22" t="n"/>
      <c r="M58" s="20" t="n"/>
      <c r="N58" s="12" t="n"/>
      <c r="O58" s="12" t="n"/>
      <c r="P58" s="12" t="n"/>
      <c r="Q58" s="12" t="n"/>
      <c r="R58" s="12" t="n"/>
    </row>
    <row r="59">
      <c r="A59" s="12" t="n"/>
      <c r="B59" s="12" t="n"/>
      <c r="C59" s="12" t="n"/>
      <c r="D59" s="12" t="n"/>
      <c r="E59" s="12" t="n"/>
      <c r="F59" s="12" t="n"/>
      <c r="G59" s="20" t="n"/>
      <c r="H59" s="22" t="n"/>
      <c r="I59" s="22" t="n"/>
      <c r="J59" s="22" t="n"/>
      <c r="K59" s="22" t="n"/>
      <c r="L59" s="22" t="n"/>
      <c r="M59" s="20" t="n"/>
      <c r="N59" s="12" t="n"/>
      <c r="O59" s="12" t="n"/>
      <c r="P59" s="12" t="n"/>
      <c r="Q59" s="12" t="n"/>
      <c r="R59" s="12" t="n"/>
    </row>
    <row r="60">
      <c r="A60" s="12" t="n"/>
      <c r="B60" s="12" t="n"/>
      <c r="C60" s="12" t="n"/>
      <c r="D60" s="12" t="n"/>
      <c r="E60" s="12" t="n"/>
      <c r="F60" s="12" t="n"/>
      <c r="G60" s="20" t="n"/>
      <c r="H60" s="22" t="n"/>
      <c r="I60" s="22" t="n"/>
      <c r="J60" s="22" t="n"/>
      <c r="K60" s="22" t="n"/>
      <c r="L60" s="22" t="n"/>
      <c r="M60" s="20" t="n"/>
      <c r="N60" s="12" t="n"/>
      <c r="O60" s="12" t="n"/>
      <c r="P60" s="12" t="n"/>
      <c r="Q60" s="12" t="n"/>
      <c r="R60" s="12" t="n"/>
    </row>
    <row r="61">
      <c r="A61" s="12" t="n"/>
      <c r="B61" s="12" t="n"/>
      <c r="C61" s="12" t="n"/>
      <c r="D61" s="12" t="n"/>
      <c r="E61" s="12" t="n"/>
      <c r="F61" s="12" t="n"/>
      <c r="G61" s="20" t="n"/>
      <c r="H61" s="22" t="n"/>
      <c r="I61" s="22" t="n"/>
      <c r="J61" s="22" t="n"/>
      <c r="K61" s="22" t="n"/>
      <c r="L61" s="22" t="n"/>
      <c r="M61" s="20" t="n"/>
      <c r="N61" s="12" t="n"/>
      <c r="O61" s="12" t="n"/>
      <c r="P61" s="12" t="n"/>
      <c r="Q61" s="12" t="n"/>
      <c r="R61" s="12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</row>
  </sheetData>
  <mergeCells count="1">
    <mergeCell ref="A1:F1"/>
  </mergeCells>
  <conditionalFormatting sqref="E29">
    <cfRule type="cellIs" priority="13103" operator="equal" dxfId="7">
      <formula>"22:00 - 07:00"</formula>
    </cfRule>
  </conditionalFormatting>
  <conditionalFormatting sqref="G15">
    <cfRule type="cellIs" priority="70" operator="equal" dxfId="31">
      <formula>"16:00 - 01:00"</formula>
    </cfRule>
    <cfRule type="cellIs" priority="69" operator="equal" dxfId="2">
      <formula>"17:00 - 02:00"</formula>
    </cfRule>
    <cfRule type="cellIs" priority="68" operator="equal" dxfId="3">
      <formula>"18:00 - 03:00"</formula>
    </cfRule>
    <cfRule type="cellIs" priority="67" operator="equal" dxfId="4">
      <formula>"19:00 - 04:00"</formula>
    </cfRule>
    <cfRule type="cellIs" priority="65" operator="equal" dxfId="6">
      <formula>"21:00 - 06:00"</formula>
    </cfRule>
    <cfRule type="cellIs" priority="64" operator="equal" dxfId="7">
      <formula>"22:00 - 07:00"</formula>
    </cfRule>
    <cfRule type="cellIs" priority="63" operator="equal" dxfId="8">
      <formula>"OFF"</formula>
    </cfRule>
    <cfRule type="cellIs" priority="61" operator="equal" dxfId="10">
      <formula>"Planned"</formula>
    </cfRule>
    <cfRule type="cellIs" priority="62" operator="equal" dxfId="9">
      <formula>"EXAM"</formula>
    </cfRule>
    <cfRule type="cellIs" priority="66" operator="equal" dxfId="30">
      <formula>"20:00 - 05:00"</formula>
    </cfRule>
  </conditionalFormatting>
  <conditionalFormatting sqref="G22">
    <cfRule type="cellIs" priority="263" operator="equal" dxfId="8">
      <formula>"OFF"</formula>
    </cfRule>
    <cfRule type="cellIs" priority="262" operator="equal" dxfId="9">
      <formula>"EXAM"</formula>
    </cfRule>
    <cfRule type="cellIs" priority="261" operator="equal" dxfId="10">
      <formula>"Planned"</formula>
    </cfRule>
    <cfRule type="cellIs" priority="265" operator="equal" dxfId="6">
      <formula>"21:00 - 06:00"</formula>
    </cfRule>
    <cfRule type="cellIs" priority="266" operator="equal" dxfId="30">
      <formula>"20:00 - 05:00"</formula>
    </cfRule>
    <cfRule type="cellIs" priority="267" operator="equal" dxfId="4">
      <formula>"19:00 - 04:00"</formula>
    </cfRule>
    <cfRule type="cellIs" priority="269" operator="equal" dxfId="2">
      <formula>"17:00 - 02:00"</formula>
    </cfRule>
    <cfRule type="cellIs" priority="270" operator="equal" dxfId="31">
      <formula>"16:00 - 01:00"</formula>
    </cfRule>
    <cfRule type="cellIs" priority="264" operator="equal" dxfId="7">
      <formula>"22:00 - 07:00"</formula>
    </cfRule>
    <cfRule type="cellIs" priority="268" operator="equal" dxfId="3">
      <formula>"18:00 - 03:00"</formula>
    </cfRule>
  </conditionalFormatting>
  <conditionalFormatting sqref="G23:I24">
    <cfRule type="cellIs" priority="631" operator="equal" dxfId="10">
      <formula>"Planned"</formula>
    </cfRule>
    <cfRule type="cellIs" priority="632" operator="equal" dxfId="9">
      <formula>"EXAM"</formula>
    </cfRule>
    <cfRule type="cellIs" priority="633" operator="equal" dxfId="8">
      <formula>"OFF"</formula>
    </cfRule>
    <cfRule type="cellIs" priority="634" operator="equal" dxfId="7">
      <formula>"22:00 - 07:00"</formula>
    </cfRule>
    <cfRule type="cellIs" priority="635" operator="equal" dxfId="6">
      <formula>"21:00 - 06:00"</formula>
    </cfRule>
    <cfRule type="cellIs" priority="636" operator="equal" dxfId="30">
      <formula>"20:00 - 05:00"</formula>
    </cfRule>
    <cfRule type="cellIs" priority="637" operator="equal" dxfId="4">
      <formula>"19:00 - 04:00"</formula>
    </cfRule>
    <cfRule type="cellIs" priority="638" operator="equal" dxfId="3">
      <formula>"18:00 - 03:00"</formula>
    </cfRule>
    <cfRule type="cellIs" priority="639" operator="equal" dxfId="2">
      <formula>"17:00 - 02:00"</formula>
    </cfRule>
    <cfRule type="cellIs" priority="640" operator="equal" dxfId="31">
      <formula>"16:00 - 01:00"</formula>
    </cfRule>
  </conditionalFormatting>
  <conditionalFormatting sqref="G6:J6">
    <cfRule type="cellIs" priority="73" operator="equal" dxfId="8">
      <formula>"OFF"</formula>
    </cfRule>
    <cfRule type="cellIs" priority="71" operator="equal" dxfId="10">
      <formula>"Planned"</formula>
    </cfRule>
    <cfRule type="cellIs" priority="80" operator="equal" dxfId="31">
      <formula>"16:00 - 01:00"</formula>
    </cfRule>
    <cfRule type="cellIs" priority="79" operator="equal" dxfId="2">
      <formula>"17:00 - 02:00"</formula>
    </cfRule>
    <cfRule type="cellIs" priority="78" operator="equal" dxfId="3">
      <formula>"18:00 - 03:00"</formula>
    </cfRule>
    <cfRule type="cellIs" priority="77" operator="equal" dxfId="4">
      <formula>"19:00 - 04:00"</formula>
    </cfRule>
    <cfRule type="cellIs" priority="76" operator="equal" dxfId="30">
      <formula>"20:00 - 05:00"</formula>
    </cfRule>
    <cfRule type="cellIs" priority="75" operator="equal" dxfId="6">
      <formula>"21:00 - 06:00"</formula>
    </cfRule>
    <cfRule type="cellIs" priority="74" operator="equal" dxfId="7">
      <formula>"22:00 - 07:00"</formula>
    </cfRule>
    <cfRule type="cellIs" priority="72" operator="equal" dxfId="9">
      <formula>"EXAM"</formula>
    </cfRule>
  </conditionalFormatting>
  <conditionalFormatting sqref="G13:J14">
    <cfRule type="cellIs" priority="350" operator="equal" dxfId="31">
      <formula>"16:00 - 01:00"</formula>
    </cfRule>
    <cfRule type="cellIs" priority="349" operator="equal" dxfId="2">
      <formula>"17:00 - 02:00"</formula>
    </cfRule>
    <cfRule type="cellIs" priority="348" operator="equal" dxfId="3">
      <formula>"18:00 - 03:00"</formula>
    </cfRule>
    <cfRule type="cellIs" priority="346" operator="equal" dxfId="30">
      <formula>"20:00 - 05:00"</formula>
    </cfRule>
    <cfRule type="cellIs" priority="345" operator="equal" dxfId="6">
      <formula>"21:00 - 06:00"</formula>
    </cfRule>
    <cfRule type="cellIs" priority="344" operator="equal" dxfId="7">
      <formula>"22:00 - 07:00"</formula>
    </cfRule>
    <cfRule type="cellIs" priority="343" operator="equal" dxfId="8">
      <formula>"OFF"</formula>
    </cfRule>
    <cfRule type="cellIs" priority="342" operator="equal" dxfId="9">
      <formula>"EXAM"</formula>
    </cfRule>
    <cfRule type="cellIs" priority="341" operator="equal" dxfId="10">
      <formula>"Planned"</formula>
    </cfRule>
    <cfRule type="cellIs" priority="347" operator="equal" dxfId="4">
      <formula>"19:00 - 04:00"</formula>
    </cfRule>
  </conditionalFormatting>
  <conditionalFormatting sqref="G12:K12">
    <cfRule type="cellIs" priority="811" operator="equal" dxfId="10">
      <formula>"Planned"</formula>
    </cfRule>
    <cfRule type="cellIs" priority="819" operator="equal" dxfId="2">
      <formula>"17:00 - 02:00"</formula>
    </cfRule>
    <cfRule type="cellIs" priority="818" operator="equal" dxfId="3">
      <formula>"18:00 - 03:00"</formula>
    </cfRule>
    <cfRule type="cellIs" priority="817" operator="equal" dxfId="4">
      <formula>"19:00 - 04:00"</formula>
    </cfRule>
    <cfRule type="cellIs" priority="816" operator="equal" dxfId="30">
      <formula>"20:00 - 05:00"</formula>
    </cfRule>
    <cfRule type="cellIs" priority="815" operator="equal" dxfId="6">
      <formula>"21:00 - 06:00"</formula>
    </cfRule>
    <cfRule type="cellIs" priority="813" operator="equal" dxfId="8">
      <formula>"OFF"</formula>
    </cfRule>
    <cfRule type="cellIs" priority="812" operator="equal" dxfId="9">
      <formula>"EXAM"</formula>
    </cfRule>
    <cfRule type="cellIs" priority="820" operator="equal" dxfId="31">
      <formula>"16:00 - 01:00"</formula>
    </cfRule>
    <cfRule type="cellIs" priority="814" operator="equal" dxfId="7">
      <formula>"22:00 - 07:00"</formula>
    </cfRule>
  </conditionalFormatting>
  <conditionalFormatting sqref="G18:K18">
    <cfRule type="cellIs" priority="103" operator="equal" dxfId="8">
      <formula>"OFF"</formula>
    </cfRule>
    <cfRule type="cellIs" priority="105" operator="equal" dxfId="6">
      <formula>"21:00 - 06:00"</formula>
    </cfRule>
    <cfRule type="cellIs" priority="102" operator="equal" dxfId="9">
      <formula>"EXAM"</formula>
    </cfRule>
    <cfRule type="cellIs" priority="101" operator="equal" dxfId="10">
      <formula>"Planned"</formula>
    </cfRule>
    <cfRule type="cellIs" priority="109" operator="equal" dxfId="2">
      <formula>"17:00 - 02:00"</formula>
    </cfRule>
    <cfRule type="cellIs" priority="106" operator="equal" dxfId="30">
      <formula>"20:00 - 05:00"</formula>
    </cfRule>
    <cfRule type="cellIs" priority="104" operator="equal" dxfId="7">
      <formula>"22:00 - 07:00"</formula>
    </cfRule>
    <cfRule type="cellIs" priority="108" operator="equal" dxfId="3">
      <formula>"18:00 - 03:00"</formula>
    </cfRule>
    <cfRule type="cellIs" priority="107" operator="equal" dxfId="4">
      <formula>"19:00 - 04:00"</formula>
    </cfRule>
    <cfRule type="cellIs" priority="110" operator="equal" dxfId="31">
      <formula>"16:00 - 01:00"</formula>
    </cfRule>
  </conditionalFormatting>
  <conditionalFormatting sqref="G4:L4">
    <cfRule type="cellIs" priority="593" operator="equal" dxfId="8">
      <formula>"OFF"</formula>
    </cfRule>
    <cfRule type="cellIs" priority="591" operator="equal" dxfId="10">
      <formula>"Planned"</formula>
    </cfRule>
    <cfRule type="cellIs" priority="600" operator="equal" dxfId="31">
      <formula>"16:00 - 01:00"</formula>
    </cfRule>
    <cfRule type="cellIs" priority="599" operator="equal" dxfId="2">
      <formula>"17:00 - 02:00"</formula>
    </cfRule>
    <cfRule type="cellIs" priority="598" operator="equal" dxfId="3">
      <formula>"18:00 - 03:00"</formula>
    </cfRule>
    <cfRule type="cellIs" priority="592" operator="equal" dxfId="9">
      <formula>"EXAM"</formula>
    </cfRule>
    <cfRule type="cellIs" priority="597" operator="equal" dxfId="4">
      <formula>"19:00 - 04:00"</formula>
    </cfRule>
    <cfRule type="cellIs" priority="596" operator="equal" dxfId="30">
      <formula>"20:00 - 05:00"</formula>
    </cfRule>
    <cfRule type="cellIs" priority="595" operator="equal" dxfId="6">
      <formula>"21:00 - 06:00"</formula>
    </cfRule>
    <cfRule type="cellIs" priority="594" operator="equal" dxfId="7">
      <formula>"22:00 - 07:00"</formula>
    </cfRule>
  </conditionalFormatting>
  <conditionalFormatting sqref="G7:L9">
    <cfRule type="cellIs" priority="710" operator="equal" dxfId="31">
      <formula>"16:00 - 01:00"</formula>
    </cfRule>
    <cfRule type="cellIs" priority="703" operator="equal" dxfId="8">
      <formula>"OFF"</formula>
    </cfRule>
    <cfRule type="cellIs" priority="704" operator="equal" dxfId="7">
      <formula>"22:00 - 07:00"</formula>
    </cfRule>
    <cfRule type="cellIs" priority="708" operator="equal" dxfId="3">
      <formula>"18:00 - 03:00"</formula>
    </cfRule>
    <cfRule type="cellIs" priority="709" operator="equal" dxfId="2">
      <formula>"17:00 - 02:00"</formula>
    </cfRule>
    <cfRule type="cellIs" priority="702" operator="equal" dxfId="9">
      <formula>"EXAM"</formula>
    </cfRule>
    <cfRule type="cellIs" priority="701" operator="equal" dxfId="10">
      <formula>"Planned"</formula>
    </cfRule>
    <cfRule type="cellIs" priority="705" operator="equal" dxfId="6">
      <formula>"21:00 - 06:00"</formula>
    </cfRule>
    <cfRule type="cellIs" priority="706" operator="equal" dxfId="30">
      <formula>"20:00 - 05:00"</formula>
    </cfRule>
    <cfRule type="cellIs" priority="707" operator="equal" dxfId="4">
      <formula>"19:00 - 04:00"</formula>
    </cfRule>
  </conditionalFormatting>
  <conditionalFormatting sqref="G21:L21">
    <cfRule type="cellIs" priority="716" operator="equal" dxfId="30">
      <formula>"20:00 - 05:00"</formula>
    </cfRule>
    <cfRule type="cellIs" priority="715" operator="equal" dxfId="6">
      <formula>"21:00 - 06:00"</formula>
    </cfRule>
    <cfRule type="cellIs" priority="713" operator="equal" dxfId="8">
      <formula>"OFF"</formula>
    </cfRule>
    <cfRule type="cellIs" priority="712" operator="equal" dxfId="9">
      <formula>"EXAM"</formula>
    </cfRule>
    <cfRule type="cellIs" priority="711" operator="equal" dxfId="10">
      <formula>"Planned"</formula>
    </cfRule>
    <cfRule type="cellIs" priority="714" operator="equal" dxfId="7">
      <formula>"22:00 - 07:00"</formula>
    </cfRule>
    <cfRule type="cellIs" priority="717" operator="equal" dxfId="4">
      <formula>"19:00 - 04:00"</formula>
    </cfRule>
    <cfRule type="cellIs" priority="720" operator="equal" dxfId="31">
      <formula>"16:00 - 01:00"</formula>
    </cfRule>
    <cfRule type="cellIs" priority="718" operator="equal" dxfId="3">
      <formula>"18:00 - 03:00"</formula>
    </cfRule>
    <cfRule type="cellIs" priority="719" operator="equal" dxfId="2">
      <formula>"17:00 - 02:00"</formula>
    </cfRule>
  </conditionalFormatting>
  <conditionalFormatting sqref="G3:M3">
    <cfRule type="cellIs" priority="303" operator="equal" dxfId="8">
      <formula>"OFF"</formula>
    </cfRule>
    <cfRule type="cellIs" priority="305" operator="equal" dxfId="6">
      <formula>"21:00 - 06:00"</formula>
    </cfRule>
    <cfRule type="cellIs" priority="306" operator="equal" dxfId="30">
      <formula>"20:00 - 05:00"</formula>
    </cfRule>
    <cfRule type="cellIs" priority="307" operator="equal" dxfId="4">
      <formula>"19:00 - 04:00"</formula>
    </cfRule>
    <cfRule type="cellIs" priority="308" operator="equal" dxfId="3">
      <formula>"18:00 - 03:00"</formula>
    </cfRule>
    <cfRule type="cellIs" priority="310" operator="equal" dxfId="31">
      <formula>"16:00 - 01:00"</formula>
    </cfRule>
    <cfRule type="cellIs" priority="304" operator="equal" dxfId="7">
      <formula>"22:00 - 07:00"</formula>
    </cfRule>
    <cfRule type="cellIs" priority="309" operator="equal" dxfId="2">
      <formula>"17:00 - 02:00"</formula>
    </cfRule>
    <cfRule type="cellIs" priority="301" operator="equal" dxfId="10">
      <formula>"Planned"</formula>
    </cfRule>
    <cfRule type="cellIs" priority="302" operator="equal" dxfId="9">
      <formula>"EXAM"</formula>
    </cfRule>
  </conditionalFormatting>
  <conditionalFormatting sqref="G3:M26">
    <cfRule type="expression" priority="822" dxfId="16">
      <formula>G3="Leave"</formula>
    </cfRule>
    <cfRule type="expression" priority="821" dxfId="404">
      <formula>G3="OFF"</formula>
    </cfRule>
  </conditionalFormatting>
  <conditionalFormatting sqref="G3:M252">
    <cfRule type="expression" priority="825" dxfId="12">
      <formula>G3="Leave"</formula>
    </cfRule>
    <cfRule type="expression" priority="824" dxfId="402">
      <formula>G3="OFF"</formula>
    </cfRule>
  </conditionalFormatting>
  <conditionalFormatting sqref="G26:M26">
    <cfRule type="cellIs" priority="1" operator="equal" dxfId="10">
      <formula>"Planned"</formula>
    </cfRule>
    <cfRule type="cellIs" priority="10" operator="equal" dxfId="31">
      <formula>"16:00 - 01:00"</formula>
    </cfRule>
    <cfRule type="cellIs" priority="9" operator="equal" dxfId="2">
      <formula>"17:00 - 02:00"</formula>
    </cfRule>
    <cfRule type="cellIs" priority="8" operator="equal" dxfId="3">
      <formula>"18:00 - 03:00"</formula>
    </cfRule>
    <cfRule type="cellIs" priority="7" operator="equal" dxfId="4">
      <formula>"19:00 - 04:00"</formula>
    </cfRule>
    <cfRule type="cellIs" priority="6" operator="equal" dxfId="30">
      <formula>"20:00 - 05:00"</formula>
    </cfRule>
    <cfRule type="cellIs" priority="2" operator="equal" dxfId="9">
      <formula>"EXAM"</formula>
    </cfRule>
    <cfRule type="cellIs" priority="5" operator="equal" dxfId="6">
      <formula>"21:00 - 06:00"</formula>
    </cfRule>
    <cfRule type="cellIs" priority="3" operator="equal" dxfId="8">
      <formula>"OFF"</formula>
    </cfRule>
    <cfRule type="cellIs" priority="4" operator="equal" dxfId="7">
      <formula>"22:00 - 07:00"</formula>
    </cfRule>
  </conditionalFormatting>
  <conditionalFormatting sqref="H8">
    <cfRule type="cellIs" priority="251" operator="equal" dxfId="10">
      <formula>"Planned"</formula>
    </cfRule>
    <cfRule type="cellIs" priority="260" operator="equal" dxfId="31">
      <formula>"16:00 - 01:00"</formula>
    </cfRule>
    <cfRule type="cellIs" priority="259" operator="equal" dxfId="2">
      <formula>"17:00 - 02:00"</formula>
    </cfRule>
    <cfRule type="cellIs" priority="258" operator="equal" dxfId="3">
      <formula>"18:00 - 03:00"</formula>
    </cfRule>
    <cfRule type="cellIs" priority="257" operator="equal" dxfId="4">
      <formula>"19:00 - 04:00"</formula>
    </cfRule>
    <cfRule type="cellIs" priority="255" operator="equal" dxfId="6">
      <formula>"21:00 - 06:00"</formula>
    </cfRule>
    <cfRule type="cellIs" priority="256" operator="equal" dxfId="30">
      <formula>"20:00 - 05:00"</formula>
    </cfRule>
    <cfRule type="cellIs" priority="254" operator="equal" dxfId="7">
      <formula>"22:00 - 07:00"</formula>
    </cfRule>
    <cfRule type="cellIs" priority="253" operator="equal" dxfId="8">
      <formula>"OFF"</formula>
    </cfRule>
    <cfRule type="cellIs" priority="252" operator="equal" dxfId="9">
      <formula>"EXAM"</formula>
    </cfRule>
  </conditionalFormatting>
  <conditionalFormatting sqref="H10:H22">
    <cfRule type="cellIs" priority="100" operator="equal" dxfId="31">
      <formula>"16:00 - 01:00"</formula>
    </cfRule>
    <cfRule type="cellIs" priority="92" operator="equal" dxfId="9">
      <formula>"EXAM"</formula>
    </cfRule>
    <cfRule type="cellIs" priority="93" operator="equal" dxfId="8">
      <formula>"OFF"</formula>
    </cfRule>
    <cfRule type="cellIs" priority="94" operator="equal" dxfId="7">
      <formula>"22:00 - 07:00"</formula>
    </cfRule>
    <cfRule type="cellIs" priority="95" operator="equal" dxfId="6">
      <formula>"21:00 - 06:00"</formula>
    </cfRule>
    <cfRule type="cellIs" priority="96" operator="equal" dxfId="30">
      <formula>"20:00 - 05:00"</formula>
    </cfRule>
    <cfRule type="cellIs" priority="97" operator="equal" dxfId="4">
      <formula>"19:00 - 04:00"</formula>
    </cfRule>
    <cfRule type="cellIs" priority="91" operator="equal" dxfId="10">
      <formula>"Planned"</formula>
    </cfRule>
    <cfRule type="cellIs" priority="98" operator="equal" dxfId="3">
      <formula>"18:00 - 03:00"</formula>
    </cfRule>
    <cfRule type="cellIs" priority="99" operator="equal" dxfId="2">
      <formula>"17:00 - 02:00"</formula>
    </cfRule>
  </conditionalFormatting>
  <conditionalFormatting sqref="H9:I10">
    <cfRule type="cellIs" priority="620" operator="equal" dxfId="31">
      <formula>"16:00 - 01:00"</formula>
    </cfRule>
    <cfRule type="cellIs" priority="619" operator="equal" dxfId="2">
      <formula>"17:00 - 02:00"</formula>
    </cfRule>
    <cfRule type="cellIs" priority="618" operator="equal" dxfId="3">
      <formula>"18:00 - 03:00"</formula>
    </cfRule>
    <cfRule type="cellIs" priority="617" operator="equal" dxfId="4">
      <formula>"19:00 - 04:00"</formula>
    </cfRule>
    <cfRule type="cellIs" priority="615" operator="equal" dxfId="6">
      <formula>"21:00 - 06:00"</formula>
    </cfRule>
    <cfRule type="cellIs" priority="614" operator="equal" dxfId="7">
      <formula>"22:00 - 07:00"</formula>
    </cfRule>
    <cfRule type="cellIs" priority="612" operator="equal" dxfId="9">
      <formula>"EXAM"</formula>
    </cfRule>
    <cfRule type="cellIs" priority="611" operator="equal" dxfId="10">
      <formula>"Planned"</formula>
    </cfRule>
    <cfRule type="cellIs" priority="616" operator="equal" dxfId="30">
      <formula>"20:00 - 05:00"</formula>
    </cfRule>
    <cfRule type="cellIs" priority="613" operator="equal" dxfId="8">
      <formula>"OFF"</formula>
    </cfRule>
  </conditionalFormatting>
  <conditionalFormatting sqref="H12:I14">
    <cfRule type="cellIs" priority="604" operator="equal" dxfId="7">
      <formula>"22:00 - 07:00"</formula>
    </cfRule>
    <cfRule type="cellIs" priority="603" operator="equal" dxfId="8">
      <formula>"OFF"</formula>
    </cfRule>
    <cfRule type="cellIs" priority="602" operator="equal" dxfId="9">
      <formula>"EXAM"</formula>
    </cfRule>
    <cfRule type="cellIs" priority="601" operator="equal" dxfId="10">
      <formula>"Planned"</formula>
    </cfRule>
    <cfRule type="cellIs" priority="607" operator="equal" dxfId="4">
      <formula>"19:00 - 04:00"</formula>
    </cfRule>
    <cfRule type="cellIs" priority="608" operator="equal" dxfId="3">
      <formula>"18:00 - 03:00"</formula>
    </cfRule>
    <cfRule type="cellIs" priority="609" operator="equal" dxfId="2">
      <formula>"17:00 - 02:00"</formula>
    </cfRule>
    <cfRule type="cellIs" priority="610" operator="equal" dxfId="31">
      <formula>"16:00 - 01:00"</formula>
    </cfRule>
    <cfRule type="cellIs" priority="606" operator="equal" dxfId="30">
      <formula>"20:00 - 05:00"</formula>
    </cfRule>
    <cfRule type="cellIs" priority="605" operator="equal" dxfId="6">
      <formula>"21:00 - 06:00"</formula>
    </cfRule>
  </conditionalFormatting>
  <conditionalFormatting sqref="H24:I25">
    <cfRule type="cellIs" priority="287" operator="equal" dxfId="4">
      <formula>"19:00 - 04:00"</formula>
    </cfRule>
    <cfRule type="cellIs" priority="286" operator="equal" dxfId="30">
      <formula>"20:00 - 05:00"</formula>
    </cfRule>
    <cfRule type="cellIs" priority="285" operator="equal" dxfId="6">
      <formula>"21:00 - 06:00"</formula>
    </cfRule>
    <cfRule type="cellIs" priority="284" operator="equal" dxfId="7">
      <formula>"22:00 - 07:00"</formula>
    </cfRule>
    <cfRule type="cellIs" priority="283" operator="equal" dxfId="8">
      <formula>"OFF"</formula>
    </cfRule>
    <cfRule type="cellIs" priority="282" operator="equal" dxfId="9">
      <formula>"EXAM"</formula>
    </cfRule>
    <cfRule type="cellIs" priority="281" operator="equal" dxfId="10">
      <formula>"Planned"</formula>
    </cfRule>
    <cfRule type="cellIs" priority="288" operator="equal" dxfId="3">
      <formula>"18:00 - 03:00"</formula>
    </cfRule>
    <cfRule type="cellIs" priority="289" operator="equal" dxfId="2">
      <formula>"17:00 - 02:00"</formula>
    </cfRule>
    <cfRule type="cellIs" priority="290" operator="equal" dxfId="31">
      <formula>"16:00 - 01:00"</formula>
    </cfRule>
  </conditionalFormatting>
  <conditionalFormatting sqref="H19:J19">
    <cfRule type="cellIs" priority="415" operator="equal" dxfId="6">
      <formula>"21:00 - 06:00"</formula>
    </cfRule>
    <cfRule type="cellIs" priority="414" operator="equal" dxfId="7">
      <formula>"22:00 - 07:00"</formula>
    </cfRule>
    <cfRule type="cellIs" priority="413" operator="equal" dxfId="8">
      <formula>"OFF"</formula>
    </cfRule>
    <cfRule type="cellIs" priority="412" operator="equal" dxfId="9">
      <formula>"EXAM"</formula>
    </cfRule>
    <cfRule type="cellIs" priority="411" operator="equal" dxfId="10">
      <formula>"Planned"</formula>
    </cfRule>
    <cfRule type="cellIs" priority="416" operator="equal" dxfId="30">
      <formula>"20:00 - 05:00"</formula>
    </cfRule>
    <cfRule type="cellIs" priority="419" operator="equal" dxfId="2">
      <formula>"17:00 - 02:00"</formula>
    </cfRule>
    <cfRule type="cellIs" priority="418" operator="equal" dxfId="3">
      <formula>"18:00 - 03:00"</formula>
    </cfRule>
    <cfRule type="cellIs" priority="417" operator="equal" dxfId="4">
      <formula>"19:00 - 04:00"</formula>
    </cfRule>
    <cfRule type="cellIs" priority="420" operator="equal" dxfId="31">
      <formula>"16:00 - 01:00"</formula>
    </cfRule>
  </conditionalFormatting>
  <conditionalFormatting sqref="H9:K9">
    <cfRule type="cellIs" priority="376" operator="equal" dxfId="30">
      <formula>"20:00 - 05:00"</formula>
    </cfRule>
    <cfRule type="cellIs" priority="377" operator="equal" dxfId="4">
      <formula>"19:00 - 04:00"</formula>
    </cfRule>
    <cfRule type="cellIs" priority="378" operator="equal" dxfId="3">
      <formula>"18:00 - 03:00"</formula>
    </cfRule>
    <cfRule type="cellIs" priority="379" operator="equal" dxfId="2">
      <formula>"17:00 - 02:00"</formula>
    </cfRule>
    <cfRule type="cellIs" priority="380" operator="equal" dxfId="31">
      <formula>"16:00 - 01:00"</formula>
    </cfRule>
    <cfRule type="cellIs" priority="372" operator="equal" dxfId="9">
      <formula>"EXAM"</formula>
    </cfRule>
    <cfRule type="cellIs" priority="374" operator="equal" dxfId="7">
      <formula>"22:00 - 07:00"</formula>
    </cfRule>
    <cfRule type="cellIs" priority="375" operator="equal" dxfId="6">
      <formula>"21:00 - 06:00"</formula>
    </cfRule>
    <cfRule type="cellIs" priority="371" operator="equal" dxfId="10">
      <formula>"Planned"</formula>
    </cfRule>
    <cfRule type="cellIs" priority="373" operator="equal" dxfId="8">
      <formula>"OFF"</formula>
    </cfRule>
  </conditionalFormatting>
  <conditionalFormatting sqref="H11:L11">
    <cfRule type="cellIs" priority="316" operator="equal" dxfId="30">
      <formula>"20:00 - 05:00"</formula>
    </cfRule>
    <cfRule type="cellIs" priority="317" operator="equal" dxfId="4">
      <formula>"19:00 - 04:00"</formula>
    </cfRule>
    <cfRule type="cellIs" priority="318" operator="equal" dxfId="3">
      <formula>"18:00 - 03:00"</formula>
    </cfRule>
    <cfRule type="cellIs" priority="319" operator="equal" dxfId="2">
      <formula>"17:00 - 02:00"</formula>
    </cfRule>
    <cfRule type="cellIs" priority="320" operator="equal" dxfId="31">
      <formula>"16:00 - 01:00"</formula>
    </cfRule>
    <cfRule type="cellIs" priority="311" operator="equal" dxfId="10">
      <formula>"Planned"</formula>
    </cfRule>
    <cfRule type="cellIs" priority="312" operator="equal" dxfId="9">
      <formula>"EXAM"</formula>
    </cfRule>
    <cfRule type="cellIs" priority="313" operator="equal" dxfId="8">
      <formula>"OFF"</formula>
    </cfRule>
    <cfRule type="cellIs" priority="314" operator="equal" dxfId="7">
      <formula>"22:00 - 07:00"</formula>
    </cfRule>
    <cfRule type="cellIs" priority="315" operator="equal" dxfId="6">
      <formula>"21:00 - 06:00"</formula>
    </cfRule>
  </conditionalFormatting>
  <conditionalFormatting sqref="H17:L17">
    <cfRule type="cellIs" priority="364" operator="equal" dxfId="7">
      <formula>"22:00 - 07:00"</formula>
    </cfRule>
    <cfRule type="cellIs" priority="368" operator="equal" dxfId="3">
      <formula>"18:00 - 03:00"</formula>
    </cfRule>
    <cfRule type="cellIs" priority="367" operator="equal" dxfId="4">
      <formula>"19:00 - 04:00"</formula>
    </cfRule>
    <cfRule type="cellIs" priority="362" operator="equal" dxfId="9">
      <formula>"EXAM"</formula>
    </cfRule>
    <cfRule type="cellIs" priority="366" operator="equal" dxfId="30">
      <formula>"20:00 - 05:00"</formula>
    </cfRule>
    <cfRule type="cellIs" priority="365" operator="equal" dxfId="6">
      <formula>"21:00 - 06:00"</formula>
    </cfRule>
    <cfRule type="cellIs" priority="370" operator="equal" dxfId="31">
      <formula>"16:00 - 01:00"</formula>
    </cfRule>
    <cfRule type="cellIs" priority="369" operator="equal" dxfId="2">
      <formula>"17:00 - 02:00"</formula>
    </cfRule>
    <cfRule type="cellIs" priority="363" operator="equal" dxfId="8">
      <formula>"OFF"</formula>
    </cfRule>
    <cfRule type="cellIs" priority="361" operator="equal" dxfId="10">
      <formula>"Planned"</formula>
    </cfRule>
  </conditionalFormatting>
  <conditionalFormatting sqref="H23:L23">
    <cfRule type="cellIs" priority="806" operator="equal" dxfId="30">
      <formula>"20:00 - 05:00"</formula>
    </cfRule>
    <cfRule type="cellIs" priority="805" operator="equal" dxfId="6">
      <formula>"21:00 - 06:00"</formula>
    </cfRule>
    <cfRule type="cellIs" priority="804" operator="equal" dxfId="7">
      <formula>"22:00 - 07:00"</formula>
    </cfRule>
    <cfRule type="cellIs" priority="802" operator="equal" dxfId="9">
      <formula>"EXAM"</formula>
    </cfRule>
    <cfRule type="cellIs" priority="801" operator="equal" dxfId="10">
      <formula>"Planned"</formula>
    </cfRule>
    <cfRule type="cellIs" priority="803" operator="equal" dxfId="8">
      <formula>"OFF"</formula>
    </cfRule>
    <cfRule type="cellIs" priority="810" operator="equal" dxfId="31">
      <formula>"16:00 - 01:00"</formula>
    </cfRule>
    <cfRule type="cellIs" priority="809" operator="equal" dxfId="2">
      <formula>"17:00 - 02:00"</formula>
    </cfRule>
    <cfRule type="cellIs" priority="808" operator="equal" dxfId="3">
      <formula>"18:00 - 03:00"</formula>
    </cfRule>
    <cfRule type="cellIs" priority="807" operator="equal" dxfId="4">
      <formula>"19:00 - 04:00"</formula>
    </cfRule>
  </conditionalFormatting>
  <conditionalFormatting sqref="H25:L26">
    <cfRule type="cellIs" priority="440" operator="equal" dxfId="31">
      <formula>"16:00 - 01:00"</formula>
    </cfRule>
    <cfRule type="cellIs" priority="435" operator="equal" dxfId="6">
      <formula>"21:00 - 06:00"</formula>
    </cfRule>
    <cfRule type="cellIs" priority="434" operator="equal" dxfId="7">
      <formula>"22:00 - 07:00"</formula>
    </cfRule>
    <cfRule type="cellIs" priority="433" operator="equal" dxfId="8">
      <formula>"OFF"</formula>
    </cfRule>
    <cfRule type="cellIs" priority="432" operator="equal" dxfId="9">
      <formula>"EXAM"</formula>
    </cfRule>
    <cfRule type="cellIs" priority="439" operator="equal" dxfId="2">
      <formula>"17:00 - 02:00"</formula>
    </cfRule>
    <cfRule type="cellIs" priority="431" operator="equal" dxfId="10">
      <formula>"Planned"</formula>
    </cfRule>
    <cfRule type="cellIs" priority="438" operator="equal" dxfId="3">
      <formula>"18:00 - 03:00"</formula>
    </cfRule>
    <cfRule type="cellIs" priority="437" operator="equal" dxfId="4">
      <formula>"19:00 - 04:00"</formula>
    </cfRule>
    <cfRule type="cellIs" priority="436" operator="equal" dxfId="30">
      <formula>"20:00 - 05:00"</formula>
    </cfRule>
  </conditionalFormatting>
  <conditionalFormatting sqref="H10:M10">
    <cfRule type="cellIs" priority="487" operator="equal" dxfId="4">
      <formula>"19:00 - 04:00"</formula>
    </cfRule>
    <cfRule type="cellIs" priority="486" operator="equal" dxfId="30">
      <formula>"20:00 - 05:00"</formula>
    </cfRule>
    <cfRule type="cellIs" priority="485" operator="equal" dxfId="6">
      <formula>"21:00 - 06:00"</formula>
    </cfRule>
    <cfRule type="cellIs" priority="481" operator="equal" dxfId="10">
      <formula>"Planned"</formula>
    </cfRule>
    <cfRule type="cellIs" priority="482" operator="equal" dxfId="9">
      <formula>"EXAM"</formula>
    </cfRule>
    <cfRule type="cellIs" priority="483" operator="equal" dxfId="8">
      <formula>"OFF"</formula>
    </cfRule>
    <cfRule type="cellIs" priority="484" operator="equal" dxfId="7">
      <formula>"22:00 - 07:00"</formula>
    </cfRule>
    <cfRule type="cellIs" priority="490" operator="equal" dxfId="31">
      <formula>"16:00 - 01:00"</formula>
    </cfRule>
    <cfRule type="cellIs" priority="489" operator="equal" dxfId="2">
      <formula>"17:00 - 02:00"</formula>
    </cfRule>
    <cfRule type="cellIs" priority="488" operator="equal" dxfId="3">
      <formula>"18:00 - 03:00"</formula>
    </cfRule>
  </conditionalFormatting>
  <conditionalFormatting sqref="H16:M16">
    <cfRule type="cellIs" priority="664" operator="equal" dxfId="7">
      <formula>"22:00 - 07:00"</formula>
    </cfRule>
    <cfRule type="cellIs" priority="663" operator="equal" dxfId="8">
      <formula>"OFF"</formula>
    </cfRule>
    <cfRule type="cellIs" priority="662" operator="equal" dxfId="9">
      <formula>"EXAM"</formula>
    </cfRule>
    <cfRule type="cellIs" priority="661" operator="equal" dxfId="10">
      <formula>"Planned"</formula>
    </cfRule>
    <cfRule type="cellIs" priority="669" operator="equal" dxfId="2">
      <formula>"17:00 - 02:00"</formula>
    </cfRule>
    <cfRule type="cellIs" priority="670" operator="equal" dxfId="31">
      <formula>"16:00 - 01:00"</formula>
    </cfRule>
    <cfRule type="cellIs" priority="665" operator="equal" dxfId="6">
      <formula>"21:00 - 06:00"</formula>
    </cfRule>
    <cfRule type="cellIs" priority="666" operator="equal" dxfId="30">
      <formula>"20:00 - 05:00"</formula>
    </cfRule>
    <cfRule type="cellIs" priority="667" operator="equal" dxfId="4">
      <formula>"19:00 - 04:00"</formula>
    </cfRule>
    <cfRule type="cellIs" priority="668" operator="equal" dxfId="3">
      <formula>"18:00 - 03:00"</formula>
    </cfRule>
  </conditionalFormatting>
  <conditionalFormatting sqref="H19:M20">
    <cfRule type="cellIs" priority="393" operator="equal" dxfId="8">
      <formula>"OFF"</formula>
    </cfRule>
    <cfRule type="cellIs" priority="399" operator="equal" dxfId="2">
      <formula>"17:00 - 02:00"</formula>
    </cfRule>
    <cfRule type="cellIs" priority="391" operator="equal" dxfId="10">
      <formula>"Planned"</formula>
    </cfRule>
    <cfRule type="cellIs" priority="398" operator="equal" dxfId="3">
      <formula>"18:00 - 03:00"</formula>
    </cfRule>
    <cfRule type="cellIs" priority="397" operator="equal" dxfId="4">
      <formula>"19:00 - 04:00"</formula>
    </cfRule>
    <cfRule type="cellIs" priority="392" operator="equal" dxfId="9">
      <formula>"EXAM"</formula>
    </cfRule>
    <cfRule type="cellIs" priority="394" operator="equal" dxfId="7">
      <formula>"22:00 - 07:00"</formula>
    </cfRule>
    <cfRule type="cellIs" priority="396" operator="equal" dxfId="30">
      <formula>"20:00 - 05:00"</formula>
    </cfRule>
    <cfRule type="cellIs" priority="400" operator="equal" dxfId="31">
      <formula>"16:00 - 01:00"</formula>
    </cfRule>
    <cfRule type="cellIs" priority="395" operator="equal" dxfId="6">
      <formula>"21:00 - 06:00"</formula>
    </cfRule>
  </conditionalFormatting>
  <conditionalFormatting sqref="H24:M24">
    <cfRule type="cellIs" priority="273" operator="equal" dxfId="8">
      <formula>"OFF"</formula>
    </cfRule>
    <cfRule type="cellIs" priority="280" operator="equal" dxfId="31">
      <formula>"16:00 - 01:00"</formula>
    </cfRule>
    <cfRule type="cellIs" priority="272" operator="equal" dxfId="9">
      <formula>"EXAM"</formula>
    </cfRule>
    <cfRule type="cellIs" priority="279" operator="equal" dxfId="2">
      <formula>"17:00 - 02:00"</formula>
    </cfRule>
    <cfRule type="cellIs" priority="274" operator="equal" dxfId="7">
      <formula>"22:00 - 07:00"</formula>
    </cfRule>
    <cfRule type="cellIs" priority="275" operator="equal" dxfId="6">
      <formula>"21:00 - 06:00"</formula>
    </cfRule>
    <cfRule type="cellIs" priority="276" operator="equal" dxfId="30">
      <formula>"20:00 - 05:00"</formula>
    </cfRule>
    <cfRule type="cellIs" priority="277" operator="equal" dxfId="4">
      <formula>"19:00 - 04:00"</formula>
    </cfRule>
    <cfRule type="cellIs" priority="278" operator="equal" dxfId="3">
      <formula>"18:00 - 03:00"</formula>
    </cfRule>
    <cfRule type="cellIs" priority="271" operator="equal" dxfId="10">
      <formula>"Planned"</formula>
    </cfRule>
  </conditionalFormatting>
  <conditionalFormatting sqref="I3:I26">
    <cfRule type="cellIs" priority="40" operator="equal" dxfId="31">
      <formula>"16:00 - 01:00"</formula>
    </cfRule>
    <cfRule type="cellIs" priority="37" operator="equal" dxfId="4">
      <formula>"19:00 - 04:00"</formula>
    </cfRule>
    <cfRule type="cellIs" priority="39" operator="equal" dxfId="2">
      <formula>"17:00 - 02:00"</formula>
    </cfRule>
    <cfRule type="cellIs" priority="31" operator="equal" dxfId="10">
      <formula>"Planned"</formula>
    </cfRule>
    <cfRule type="cellIs" priority="32" operator="equal" dxfId="9">
      <formula>"EXAM"</formula>
    </cfRule>
    <cfRule type="cellIs" priority="33" operator="equal" dxfId="8">
      <formula>"OFF"</formula>
    </cfRule>
    <cfRule type="cellIs" priority="34" operator="equal" dxfId="7">
      <formula>"22:00 - 07:00"</formula>
    </cfRule>
    <cfRule type="cellIs" priority="35" operator="equal" dxfId="6">
      <formula>"21:00 - 06:00"</formula>
    </cfRule>
    <cfRule type="cellIs" priority="36" operator="equal" dxfId="30">
      <formula>"20:00 - 05:00"</formula>
    </cfRule>
    <cfRule type="cellIs" priority="38" operator="equal" dxfId="3">
      <formula>"18:00 - 03:00"</formula>
    </cfRule>
  </conditionalFormatting>
  <conditionalFormatting sqref="I5:J6">
    <cfRule type="cellIs" priority="358" operator="equal" dxfId="3">
      <formula>"18:00 - 03:00"</formula>
    </cfRule>
    <cfRule type="cellIs" priority="359" operator="equal" dxfId="2">
      <formula>"17:00 - 02:00"</formula>
    </cfRule>
    <cfRule type="cellIs" priority="355" operator="equal" dxfId="6">
      <formula>"21:00 - 06:00"</formula>
    </cfRule>
    <cfRule type="cellIs" priority="356" operator="equal" dxfId="30">
      <formula>"20:00 - 05:00"</formula>
    </cfRule>
    <cfRule type="cellIs" priority="354" operator="equal" dxfId="7">
      <formula>"22:00 - 07:00"</formula>
    </cfRule>
    <cfRule type="cellIs" priority="353" operator="equal" dxfId="8">
      <formula>"OFF"</formula>
    </cfRule>
    <cfRule type="cellIs" priority="352" operator="equal" dxfId="9">
      <formula>"EXAM"</formula>
    </cfRule>
    <cfRule type="cellIs" priority="351" operator="equal" dxfId="10">
      <formula>"Planned"</formula>
    </cfRule>
    <cfRule type="cellIs" priority="360" operator="equal" dxfId="31">
      <formula>"16:00 - 01:00"</formula>
    </cfRule>
    <cfRule type="cellIs" priority="357" operator="equal" dxfId="4">
      <formula>"19:00 - 04:00"</formula>
    </cfRule>
  </conditionalFormatting>
  <conditionalFormatting sqref="I20:J20">
    <cfRule type="cellIs" priority="179" operator="equal" dxfId="2">
      <formula>"17:00 - 02:00"</formula>
    </cfRule>
    <cfRule type="cellIs" priority="178" operator="equal" dxfId="3">
      <formula>"18:00 - 03:00"</formula>
    </cfRule>
    <cfRule type="cellIs" priority="177" operator="equal" dxfId="4">
      <formula>"19:00 - 04:00"</formula>
    </cfRule>
    <cfRule type="cellIs" priority="176" operator="equal" dxfId="30">
      <formula>"20:00 - 05:00"</formula>
    </cfRule>
    <cfRule type="cellIs" priority="175" operator="equal" dxfId="6">
      <formula>"21:00 - 06:00"</formula>
    </cfRule>
    <cfRule type="cellIs" priority="174" operator="equal" dxfId="7">
      <formula>"22:00 - 07:00"</formula>
    </cfRule>
    <cfRule type="cellIs" priority="172" operator="equal" dxfId="9">
      <formula>"EXAM"</formula>
    </cfRule>
    <cfRule type="cellIs" priority="171" operator="equal" dxfId="10">
      <formula>"Planned"</formula>
    </cfRule>
    <cfRule type="cellIs" priority="180" operator="equal" dxfId="31">
      <formula>"16:00 - 01:00"</formula>
    </cfRule>
    <cfRule type="cellIs" priority="173" operator="equal" dxfId="8">
      <formula>"OFF"</formula>
    </cfRule>
  </conditionalFormatting>
  <conditionalFormatting sqref="I6:K7">
    <cfRule type="cellIs" priority="333" operator="equal" dxfId="8">
      <formula>"OFF"</formula>
    </cfRule>
    <cfRule type="cellIs" priority="332" operator="equal" dxfId="9">
      <formula>"EXAM"</formula>
    </cfRule>
    <cfRule type="cellIs" priority="336" operator="equal" dxfId="30">
      <formula>"20:00 - 05:00"</formula>
    </cfRule>
    <cfRule type="cellIs" priority="335" operator="equal" dxfId="6">
      <formula>"21:00 - 06:00"</formula>
    </cfRule>
    <cfRule type="cellIs" priority="334" operator="equal" dxfId="7">
      <formula>"22:00 - 07:00"</formula>
    </cfRule>
    <cfRule type="cellIs" priority="340" operator="equal" dxfId="31">
      <formula>"16:00 - 01:00"</formula>
    </cfRule>
    <cfRule type="cellIs" priority="339" operator="equal" dxfId="2">
      <formula>"17:00 - 02:00"</formula>
    </cfRule>
    <cfRule type="cellIs" priority="338" operator="equal" dxfId="3">
      <formula>"18:00 - 03:00"</formula>
    </cfRule>
    <cfRule type="cellIs" priority="337" operator="equal" dxfId="4">
      <formula>"19:00 - 04:00"</formula>
    </cfRule>
    <cfRule type="cellIs" priority="331" operator="equal" dxfId="10">
      <formula>"Planned"</formula>
    </cfRule>
  </conditionalFormatting>
  <conditionalFormatting sqref="I14:K14">
    <cfRule type="cellIs" priority="192" operator="equal" dxfId="9">
      <formula>"EXAM"</formula>
    </cfRule>
    <cfRule type="cellIs" priority="193" operator="equal" dxfId="8">
      <formula>"OFF"</formula>
    </cfRule>
    <cfRule type="cellIs" priority="194" operator="equal" dxfId="7">
      <formula>"22:00 - 07:00"</formula>
    </cfRule>
    <cfRule type="cellIs" priority="195" operator="equal" dxfId="6">
      <formula>"21:00 - 06:00"</formula>
    </cfRule>
    <cfRule type="cellIs" priority="198" operator="equal" dxfId="3">
      <formula>"18:00 - 03:00"</formula>
    </cfRule>
    <cfRule type="cellIs" priority="197" operator="equal" dxfId="4">
      <formula>"19:00 - 04:00"</formula>
    </cfRule>
    <cfRule type="cellIs" priority="191" operator="equal" dxfId="10">
      <formula>"Planned"</formula>
    </cfRule>
    <cfRule type="cellIs" priority="196" operator="equal" dxfId="30">
      <formula>"20:00 - 05:00"</formula>
    </cfRule>
    <cfRule type="cellIs" priority="200" operator="equal" dxfId="31">
      <formula>"16:00 - 01:00"</formula>
    </cfRule>
    <cfRule type="cellIs" priority="199" operator="equal" dxfId="2">
      <formula>"17:00 - 02:00"</formula>
    </cfRule>
  </conditionalFormatting>
  <conditionalFormatting sqref="I17:L19">
    <cfRule type="cellIs" priority="130" operator="equal" dxfId="31">
      <formula>"16:00 - 01:00"</formula>
    </cfRule>
    <cfRule type="cellIs" priority="129" operator="equal" dxfId="2">
      <formula>"17:00 - 02:00"</formula>
    </cfRule>
    <cfRule type="cellIs" priority="128" operator="equal" dxfId="3">
      <formula>"18:00 - 03:00"</formula>
    </cfRule>
    <cfRule type="cellIs" priority="127" operator="equal" dxfId="4">
      <formula>"19:00 - 04:00"</formula>
    </cfRule>
    <cfRule type="cellIs" priority="126" operator="equal" dxfId="30">
      <formula>"20:00 - 05:00"</formula>
    </cfRule>
    <cfRule type="cellIs" priority="125" operator="equal" dxfId="6">
      <formula>"21:00 - 06:00"</formula>
    </cfRule>
    <cfRule type="cellIs" priority="124" operator="equal" dxfId="7">
      <formula>"22:00 - 07:00"</formula>
    </cfRule>
    <cfRule type="cellIs" priority="123" operator="equal" dxfId="8">
      <formula>"OFF"</formula>
    </cfRule>
    <cfRule type="cellIs" priority="122" operator="equal" dxfId="9">
      <formula>"EXAM"</formula>
    </cfRule>
    <cfRule type="cellIs" priority="121" operator="equal" dxfId="10">
      <formula>"Planned"</formula>
    </cfRule>
  </conditionalFormatting>
  <conditionalFormatting sqref="I22:L23">
    <cfRule type="cellIs" priority="570" operator="equal" dxfId="31">
      <formula>"16:00 - 01:00"</formula>
    </cfRule>
    <cfRule type="cellIs" priority="565" operator="equal" dxfId="6">
      <formula>"21:00 - 06:00"</formula>
    </cfRule>
    <cfRule type="cellIs" priority="561" operator="equal" dxfId="10">
      <formula>"Planned"</formula>
    </cfRule>
    <cfRule type="cellIs" priority="563" operator="equal" dxfId="8">
      <formula>"OFF"</formula>
    </cfRule>
    <cfRule type="cellIs" priority="566" operator="equal" dxfId="30">
      <formula>"20:00 - 05:00"</formula>
    </cfRule>
    <cfRule type="cellIs" priority="567" operator="equal" dxfId="4">
      <formula>"19:00 - 04:00"</formula>
    </cfRule>
    <cfRule type="cellIs" priority="568" operator="equal" dxfId="3">
      <formula>"18:00 - 03:00"</formula>
    </cfRule>
    <cfRule type="cellIs" priority="564" operator="equal" dxfId="7">
      <formula>"22:00 - 07:00"</formula>
    </cfRule>
    <cfRule type="cellIs" priority="569" operator="equal" dxfId="2">
      <formula>"17:00 - 02:00"</formula>
    </cfRule>
    <cfRule type="cellIs" priority="562" operator="equal" dxfId="9">
      <formula>"EXAM"</formula>
    </cfRule>
  </conditionalFormatting>
  <conditionalFormatting sqref="I5:M5">
    <cfRule type="cellIs" priority="466" operator="equal" dxfId="30">
      <formula>"20:00 - 05:00"</formula>
    </cfRule>
    <cfRule type="cellIs" priority="465" operator="equal" dxfId="6">
      <formula>"21:00 - 06:00"</formula>
    </cfRule>
    <cfRule type="cellIs" priority="464" operator="equal" dxfId="7">
      <formula>"22:00 - 07:00"</formula>
    </cfRule>
    <cfRule type="cellIs" priority="463" operator="equal" dxfId="8">
      <formula>"OFF"</formula>
    </cfRule>
    <cfRule type="cellIs" priority="462" operator="equal" dxfId="9">
      <formula>"EXAM"</formula>
    </cfRule>
    <cfRule type="cellIs" priority="470" operator="equal" dxfId="31">
      <formula>"16:00 - 01:00"</formula>
    </cfRule>
    <cfRule type="cellIs" priority="469" operator="equal" dxfId="2">
      <formula>"17:00 - 02:00"</formula>
    </cfRule>
    <cfRule type="cellIs" priority="468" operator="equal" dxfId="3">
      <formula>"18:00 - 03:00"</formula>
    </cfRule>
    <cfRule type="cellIs" priority="467" operator="equal" dxfId="4">
      <formula>"19:00 - 04:00"</formula>
    </cfRule>
    <cfRule type="cellIs" priority="461" operator="equal" dxfId="10">
      <formula>"Planned"</formula>
    </cfRule>
  </conditionalFormatting>
  <conditionalFormatting sqref="I7:M7">
    <cfRule type="cellIs" priority="225" operator="equal" dxfId="6">
      <formula>"21:00 - 06:00"</formula>
    </cfRule>
    <cfRule type="cellIs" priority="230" operator="equal" dxfId="31">
      <formula>"16:00 - 01:00"</formula>
    </cfRule>
    <cfRule type="cellIs" priority="229" operator="equal" dxfId="2">
      <formula>"17:00 - 02:00"</formula>
    </cfRule>
    <cfRule type="cellIs" priority="228" operator="equal" dxfId="3">
      <formula>"18:00 - 03:00"</formula>
    </cfRule>
    <cfRule type="cellIs" priority="227" operator="equal" dxfId="4">
      <formula>"19:00 - 04:00"</formula>
    </cfRule>
    <cfRule type="cellIs" priority="226" operator="equal" dxfId="30">
      <formula>"20:00 - 05:00"</formula>
    </cfRule>
    <cfRule type="cellIs" priority="224" operator="equal" dxfId="7">
      <formula>"22:00 - 07:00"</formula>
    </cfRule>
    <cfRule type="cellIs" priority="223" operator="equal" dxfId="8">
      <formula>"OFF"</formula>
    </cfRule>
    <cfRule type="cellIs" priority="222" operator="equal" dxfId="9">
      <formula>"EXAM"</formula>
    </cfRule>
    <cfRule type="cellIs" priority="221" operator="equal" dxfId="10">
      <formula>"Planned"</formula>
    </cfRule>
  </conditionalFormatting>
  <conditionalFormatting sqref="J3:J8">
    <cfRule type="cellIs" priority="55" operator="equal" dxfId="6">
      <formula>"21:00 - 06:00"</formula>
    </cfRule>
    <cfRule type="cellIs" priority="54" operator="equal" dxfId="7">
      <formula>"22:00 - 07:00"</formula>
    </cfRule>
    <cfRule type="cellIs" priority="53" operator="equal" dxfId="8">
      <formula>"OFF"</formula>
    </cfRule>
    <cfRule type="cellIs" priority="52" operator="equal" dxfId="9">
      <formula>"EXAM"</formula>
    </cfRule>
    <cfRule type="cellIs" priority="51" operator="equal" dxfId="10">
      <formula>"Planned"</formula>
    </cfRule>
    <cfRule type="cellIs" priority="56" operator="equal" dxfId="30">
      <formula>"20:00 - 05:00"</formula>
    </cfRule>
    <cfRule type="cellIs" priority="58" operator="equal" dxfId="3">
      <formula>"18:00 - 03:00"</formula>
    </cfRule>
    <cfRule type="cellIs" priority="59" operator="equal" dxfId="2">
      <formula>"17:00 - 02:00"</formula>
    </cfRule>
    <cfRule type="cellIs" priority="60" operator="equal" dxfId="31">
      <formula>"16:00 - 01:00"</formula>
    </cfRule>
    <cfRule type="cellIs" priority="57" operator="equal" dxfId="4">
      <formula>"19:00 - 04:00"</formula>
    </cfRule>
  </conditionalFormatting>
  <conditionalFormatting sqref="J10:J26">
    <cfRule type="cellIs" priority="88" operator="equal" dxfId="3">
      <formula>"18:00 - 03:00"</formula>
    </cfRule>
    <cfRule type="cellIs" priority="89" operator="equal" dxfId="2">
      <formula>"17:00 - 02:00"</formula>
    </cfRule>
    <cfRule type="cellIs" priority="90" operator="equal" dxfId="31">
      <formula>"16:00 - 01:00"</formula>
    </cfRule>
    <cfRule type="cellIs" priority="81" operator="equal" dxfId="10">
      <formula>"Planned"</formula>
    </cfRule>
    <cfRule type="cellIs" priority="82" operator="equal" dxfId="9">
      <formula>"EXAM"</formula>
    </cfRule>
    <cfRule type="cellIs" priority="83" operator="equal" dxfId="8">
      <formula>"OFF"</formula>
    </cfRule>
    <cfRule type="cellIs" priority="84" operator="equal" dxfId="7">
      <formula>"22:00 - 07:00"</formula>
    </cfRule>
    <cfRule type="cellIs" priority="85" operator="equal" dxfId="6">
      <formula>"21:00 - 06:00"</formula>
    </cfRule>
    <cfRule type="cellIs" priority="87" operator="equal" dxfId="4">
      <formula>"19:00 - 04:00"</formula>
    </cfRule>
    <cfRule type="cellIs" priority="86" operator="equal" dxfId="30">
      <formula>"20:00 - 05:00"</formula>
    </cfRule>
  </conditionalFormatting>
  <conditionalFormatting sqref="J13:K13">
    <cfRule type="cellIs" priority="243" operator="equal" dxfId="8">
      <formula>"OFF"</formula>
    </cfRule>
    <cfRule type="cellIs" priority="248" operator="equal" dxfId="3">
      <formula>"18:00 - 03:00"</formula>
    </cfRule>
    <cfRule type="cellIs" priority="247" operator="equal" dxfId="4">
      <formula>"19:00 - 04:00"</formula>
    </cfRule>
    <cfRule type="cellIs" priority="246" operator="equal" dxfId="30">
      <formula>"20:00 - 05:00"</formula>
    </cfRule>
    <cfRule type="cellIs" priority="245" operator="equal" dxfId="6">
      <formula>"21:00 - 06:00"</formula>
    </cfRule>
    <cfRule type="cellIs" priority="244" operator="equal" dxfId="7">
      <formula>"22:00 - 07:00"</formula>
    </cfRule>
    <cfRule type="cellIs" priority="242" operator="equal" dxfId="9">
      <formula>"EXAM"</formula>
    </cfRule>
    <cfRule type="cellIs" priority="241" operator="equal" dxfId="10">
      <formula>"Planned"</formula>
    </cfRule>
    <cfRule type="cellIs" priority="249" operator="equal" dxfId="2">
      <formula>"17:00 - 02:00"</formula>
    </cfRule>
    <cfRule type="cellIs" priority="250" operator="equal" dxfId="31">
      <formula>"16:00 - 01:00"</formula>
    </cfRule>
  </conditionalFormatting>
  <conditionalFormatting sqref="J3:L4">
    <cfRule type="cellIs" priority="215" operator="equal" dxfId="6">
      <formula>"21:00 - 06:00"</formula>
    </cfRule>
    <cfRule type="cellIs" priority="211" operator="equal" dxfId="10">
      <formula>"Planned"</formula>
    </cfRule>
    <cfRule type="cellIs" priority="220" operator="equal" dxfId="31">
      <formula>"16:00 - 01:00"</formula>
    </cfRule>
    <cfRule type="cellIs" priority="219" operator="equal" dxfId="2">
      <formula>"17:00 - 02:00"</formula>
    </cfRule>
    <cfRule type="cellIs" priority="218" operator="equal" dxfId="3">
      <formula>"18:00 - 03:00"</formula>
    </cfRule>
    <cfRule type="cellIs" priority="217" operator="equal" dxfId="4">
      <formula>"19:00 - 04:00"</formula>
    </cfRule>
    <cfRule type="cellIs" priority="212" operator="equal" dxfId="9">
      <formula>"EXAM"</formula>
    </cfRule>
    <cfRule type="cellIs" priority="213" operator="equal" dxfId="8">
      <formula>"OFF"</formula>
    </cfRule>
    <cfRule type="cellIs" priority="214" operator="equal" dxfId="7">
      <formula>"22:00 - 07:00"</formula>
    </cfRule>
    <cfRule type="cellIs" priority="216" operator="equal" dxfId="30">
      <formula>"20:00 - 05:00"</formula>
    </cfRule>
  </conditionalFormatting>
  <conditionalFormatting sqref="J21:L22">
    <cfRule type="cellIs" priority="322" operator="equal" dxfId="9">
      <formula>"EXAM"</formula>
    </cfRule>
    <cfRule type="cellIs" priority="323" operator="equal" dxfId="8">
      <formula>"OFF"</formula>
    </cfRule>
    <cfRule type="cellIs" priority="324" operator="equal" dxfId="7">
      <formula>"22:00 - 07:00"</formula>
    </cfRule>
    <cfRule type="cellIs" priority="325" operator="equal" dxfId="6">
      <formula>"21:00 - 06:00"</formula>
    </cfRule>
    <cfRule type="cellIs" priority="327" operator="equal" dxfId="4">
      <formula>"19:00 - 04:00"</formula>
    </cfRule>
    <cfRule type="cellIs" priority="328" operator="equal" dxfId="3">
      <formula>"18:00 - 03:00"</formula>
    </cfRule>
    <cfRule type="cellIs" priority="329" operator="equal" dxfId="2">
      <formula>"17:00 - 02:00"</formula>
    </cfRule>
    <cfRule type="cellIs" priority="330" operator="equal" dxfId="31">
      <formula>"16:00 - 01:00"</formula>
    </cfRule>
    <cfRule type="cellIs" priority="321" operator="equal" dxfId="10">
      <formula>"Planned"</formula>
    </cfRule>
    <cfRule type="cellIs" priority="326" operator="equal" dxfId="30">
      <formula>"20:00 - 05:00"</formula>
    </cfRule>
  </conditionalFormatting>
  <conditionalFormatting sqref="J4:M5">
    <cfRule type="cellIs" priority="236" operator="equal" dxfId="30">
      <formula>"20:00 - 05:00"</formula>
    </cfRule>
    <cfRule type="cellIs" priority="235" operator="equal" dxfId="6">
      <formula>"21:00 - 06:00"</formula>
    </cfRule>
    <cfRule type="cellIs" priority="234" operator="equal" dxfId="7">
      <formula>"22:00 - 07:00"</formula>
    </cfRule>
    <cfRule type="cellIs" priority="232" operator="equal" dxfId="9">
      <formula>"EXAM"</formula>
    </cfRule>
    <cfRule type="cellIs" priority="231" operator="equal" dxfId="10">
      <formula>"Planned"</formula>
    </cfRule>
    <cfRule type="cellIs" priority="233" operator="equal" dxfId="8">
      <formula>"OFF"</formula>
    </cfRule>
    <cfRule type="cellIs" priority="240" operator="equal" dxfId="31">
      <formula>"16:00 - 01:00"</formula>
    </cfRule>
    <cfRule type="cellIs" priority="239" operator="equal" dxfId="2">
      <formula>"17:00 - 02:00"</formula>
    </cfRule>
    <cfRule type="cellIs" priority="238" operator="equal" dxfId="3">
      <formula>"18:00 - 03:00"</formula>
    </cfRule>
    <cfRule type="cellIs" priority="237" operator="equal" dxfId="4">
      <formula>"19:00 - 04:00"</formula>
    </cfRule>
  </conditionalFormatting>
  <conditionalFormatting sqref="J14:M17">
    <cfRule type="cellIs" priority="16" operator="equal" dxfId="30">
      <formula>"20:00 - 05:00"</formula>
    </cfRule>
    <cfRule type="cellIs" priority="17" operator="equal" dxfId="4">
      <formula>"19:00 - 04:00"</formula>
    </cfRule>
    <cfRule type="cellIs" priority="18" operator="equal" dxfId="3">
      <formula>"18:00 - 03:00"</formula>
    </cfRule>
    <cfRule type="cellIs" priority="19" operator="equal" dxfId="2">
      <formula>"17:00 - 02:00"</formula>
    </cfRule>
    <cfRule type="cellIs" priority="12" operator="equal" dxfId="9">
      <formula>"EXAM"</formula>
    </cfRule>
    <cfRule type="cellIs" priority="11" operator="equal" dxfId="10">
      <formula>"Planned"</formula>
    </cfRule>
    <cfRule type="cellIs" priority="13" operator="equal" dxfId="8">
      <formula>"OFF"</formula>
    </cfRule>
    <cfRule type="cellIs" priority="20" operator="equal" dxfId="31">
      <formula>"16:00 - 01:00"</formula>
    </cfRule>
    <cfRule type="cellIs" priority="14" operator="equal" dxfId="7">
      <formula>"22:00 - 07:00"</formula>
    </cfRule>
    <cfRule type="cellIs" priority="15" operator="equal" dxfId="6">
      <formula>"21:00 - 06:00"</formula>
    </cfRule>
  </conditionalFormatting>
  <conditionalFormatting sqref="K10:L11">
    <cfRule type="cellIs" priority="300" operator="equal" dxfId="31">
      <formula>"16:00 - 01:00"</formula>
    </cfRule>
    <cfRule type="cellIs" priority="299" operator="equal" dxfId="2">
      <formula>"17:00 - 02:00"</formula>
    </cfRule>
    <cfRule type="cellIs" priority="298" operator="equal" dxfId="3">
      <formula>"18:00 - 03:00"</formula>
    </cfRule>
    <cfRule type="cellIs" priority="297" operator="equal" dxfId="4">
      <formula>"19:00 - 04:00"</formula>
    </cfRule>
    <cfRule type="cellIs" priority="296" operator="equal" dxfId="30">
      <formula>"20:00 - 05:00"</formula>
    </cfRule>
    <cfRule type="cellIs" priority="295" operator="equal" dxfId="6">
      <formula>"21:00 - 06:00"</formula>
    </cfRule>
    <cfRule type="cellIs" priority="294" operator="equal" dxfId="7">
      <formula>"22:00 - 07:00"</formula>
    </cfRule>
    <cfRule type="cellIs" priority="293" operator="equal" dxfId="8">
      <formula>"OFF"</formula>
    </cfRule>
    <cfRule type="cellIs" priority="292" operator="equal" dxfId="9">
      <formula>"EXAM"</formula>
    </cfRule>
    <cfRule type="cellIs" priority="291" operator="equal" dxfId="10">
      <formula>"Planned"</formula>
    </cfRule>
  </conditionalFormatting>
  <conditionalFormatting sqref="K18:L20">
    <cfRule type="cellIs" priority="386" operator="equal" dxfId="30">
      <formula>"20:00 - 05:00"</formula>
    </cfRule>
    <cfRule type="cellIs" priority="389" operator="equal" dxfId="2">
      <formula>"17:00 - 02:00"</formula>
    </cfRule>
    <cfRule type="cellIs" priority="388" operator="equal" dxfId="3">
      <formula>"18:00 - 03:00"</formula>
    </cfRule>
    <cfRule type="cellIs" priority="387" operator="equal" dxfId="4">
      <formula>"19:00 - 04:00"</formula>
    </cfRule>
    <cfRule type="cellIs" priority="384" operator="equal" dxfId="7">
      <formula>"22:00 - 07:00"</formula>
    </cfRule>
    <cfRule type="cellIs" priority="383" operator="equal" dxfId="8">
      <formula>"OFF"</formula>
    </cfRule>
    <cfRule type="cellIs" priority="385" operator="equal" dxfId="6">
      <formula>"21:00 - 06:00"</formula>
    </cfRule>
    <cfRule type="cellIs" priority="382" operator="equal" dxfId="9">
      <formula>"EXAM"</formula>
    </cfRule>
    <cfRule type="cellIs" priority="381" operator="equal" dxfId="10">
      <formula>"Planned"</formula>
    </cfRule>
    <cfRule type="cellIs" priority="390" operator="equal" dxfId="31">
      <formula>"16:00 - 01:00"</formula>
    </cfRule>
  </conditionalFormatting>
  <conditionalFormatting sqref="K3:M26">
    <cfRule type="cellIs" priority="24" operator="equal" dxfId="7">
      <formula>"22:00 - 07:00"</formula>
    </cfRule>
    <cfRule type="cellIs" priority="23" operator="equal" dxfId="8">
      <formula>"OFF"</formula>
    </cfRule>
    <cfRule type="cellIs" priority="22" operator="equal" dxfId="9">
      <formula>"EXAM"</formula>
    </cfRule>
    <cfRule type="cellIs" priority="27" operator="equal" dxfId="4">
      <formula>"19:00 - 04:00"</formula>
    </cfRule>
    <cfRule type="cellIs" priority="21" operator="equal" dxfId="10">
      <formula>"Planned"</formula>
    </cfRule>
    <cfRule type="cellIs" priority="25" operator="equal" dxfId="6">
      <formula>"21:00 - 06:00"</formula>
    </cfRule>
    <cfRule type="cellIs" priority="30" operator="equal" dxfId="31">
      <formula>"16:00 - 01:00"</formula>
    </cfRule>
    <cfRule type="cellIs" priority="26" operator="equal" dxfId="30">
      <formula>"20:00 - 05:00"</formula>
    </cfRule>
    <cfRule type="cellIs" priority="29" operator="equal" dxfId="2">
      <formula>"17:00 - 02:00"</formula>
    </cfRule>
    <cfRule type="cellIs" priority="28" operator="equal" dxfId="3">
      <formula>"18:00 - 03:00"</formula>
    </cfRule>
  </conditionalFormatting>
  <conditionalFormatting sqref="L6:M6">
    <cfRule type="cellIs" priority="690" operator="equal" dxfId="31">
      <formula>"16:00 - 01:00"</formula>
    </cfRule>
    <cfRule type="cellIs" priority="689" operator="equal" dxfId="2">
      <formula>"17:00 - 02:00"</formula>
    </cfRule>
    <cfRule type="cellIs" priority="688" operator="equal" dxfId="3">
      <formula>"18:00 - 03:00"</formula>
    </cfRule>
    <cfRule type="cellIs" priority="687" operator="equal" dxfId="4">
      <formula>"19:00 - 04:00"</formula>
    </cfRule>
    <cfRule type="cellIs" priority="686" operator="equal" dxfId="30">
      <formula>"20:00 - 05:00"</formula>
    </cfRule>
    <cfRule type="cellIs" priority="685" operator="equal" dxfId="6">
      <formula>"21:00 - 06:00"</formula>
    </cfRule>
    <cfRule type="cellIs" priority="684" operator="equal" dxfId="7">
      <formula>"22:00 - 07:00"</formula>
    </cfRule>
    <cfRule type="cellIs" priority="683" operator="equal" dxfId="8">
      <formula>"OFF"</formula>
    </cfRule>
    <cfRule type="cellIs" priority="682" operator="equal" dxfId="9">
      <formula>"EXAM"</formula>
    </cfRule>
    <cfRule type="cellIs" priority="681" operator="equal" dxfId="10">
      <formula>"Planned"</formula>
    </cfRule>
  </conditionalFormatting>
  <conditionalFormatting sqref="L8:M9">
    <cfRule type="cellIs" priority="621" operator="equal" dxfId="10">
      <formula>"Planned"</formula>
    </cfRule>
    <cfRule type="cellIs" priority="622" operator="equal" dxfId="9">
      <formula>"EXAM"</formula>
    </cfRule>
    <cfRule type="cellIs" priority="623" operator="equal" dxfId="8">
      <formula>"OFF"</formula>
    </cfRule>
    <cfRule type="cellIs" priority="624" operator="equal" dxfId="7">
      <formula>"22:00 - 07:00"</formula>
    </cfRule>
    <cfRule type="cellIs" priority="625" operator="equal" dxfId="6">
      <formula>"21:00 - 06:00"</formula>
    </cfRule>
    <cfRule type="cellIs" priority="626" operator="equal" dxfId="30">
      <formula>"20:00 - 05:00"</formula>
    </cfRule>
    <cfRule type="cellIs" priority="627" operator="equal" dxfId="4">
      <formula>"19:00 - 04:00"</formula>
    </cfRule>
    <cfRule type="cellIs" priority="629" operator="equal" dxfId="2">
      <formula>"17:00 - 02:00"</formula>
    </cfRule>
    <cfRule type="cellIs" priority="630" operator="equal" dxfId="31">
      <formula>"16:00 - 01:00"</formula>
    </cfRule>
    <cfRule type="cellIs" priority="628" operator="equal" dxfId="3">
      <formula>"18:00 - 03:00"</formula>
    </cfRule>
  </conditionalFormatting>
  <conditionalFormatting sqref="L13:M20">
    <cfRule type="cellIs" priority="190" operator="equal" dxfId="31">
      <formula>"16:00 - 01:00"</formula>
    </cfRule>
    <cfRule type="cellIs" priority="186" operator="equal" dxfId="30">
      <formula>"20:00 - 05:00"</formula>
    </cfRule>
    <cfRule type="cellIs" priority="188" operator="equal" dxfId="3">
      <formula>"18:00 - 03:00"</formula>
    </cfRule>
    <cfRule type="cellIs" priority="187" operator="equal" dxfId="4">
      <formula>"19:00 - 04:00"</formula>
    </cfRule>
    <cfRule type="cellIs" priority="189" operator="equal" dxfId="2">
      <formula>"17:00 - 02:00"</formula>
    </cfRule>
    <cfRule type="cellIs" priority="181" operator="equal" dxfId="10">
      <formula>"Planned"</formula>
    </cfRule>
    <cfRule type="cellIs" priority="182" operator="equal" dxfId="9">
      <formula>"EXAM"</formula>
    </cfRule>
    <cfRule type="cellIs" priority="183" operator="equal" dxfId="8">
      <formula>"OFF"</formula>
    </cfRule>
    <cfRule type="cellIs" priority="184" operator="equal" dxfId="7">
      <formula>"22:00 - 07:00"</formula>
    </cfRule>
    <cfRule type="cellIs" priority="185" operator="equal" dxfId="6">
      <formula>"21:00 - 06:00"</formula>
    </cfRule>
  </conditionalFormatting>
  <conditionalFormatting sqref="R3:R252">
    <cfRule type="expression" priority="826" dxfId="11">
      <formula>$R3&lt;&gt;"OK"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BDD7EE"/>
    <outlinePr summaryBelow="1" summaryRight="1"/>
    <pageSetUpPr/>
  </sheetPr>
  <dimension ref="B1:CM53"/>
  <sheetViews>
    <sheetView showGridLines="0" workbookViewId="0">
      <selection activeCell="A1" sqref="A1"/>
    </sheetView>
  </sheetViews>
  <sheetFormatPr baseColWidth="8" defaultColWidth="12.5703125" defaultRowHeight="15"/>
  <cols>
    <col width="12" customWidth="1" style="45" min="1" max="91"/>
  </cols>
  <sheetData>
    <row r="1" ht="45" customHeight="1" s="45">
      <c r="B1" s="47" t="inlineStr">
        <is>
          <t>Required FTEs</t>
        </is>
      </c>
      <c r="K1" s="47" t="inlineStr">
        <is>
          <t>Staffed FTEs - Initial Schedule</t>
        </is>
      </c>
      <c r="AC1" s="47" t="inlineStr">
        <is>
          <t>Staffed FTEs After Shrinkage</t>
        </is>
      </c>
      <c r="AU1" s="47" t="inlineStr">
        <is>
          <t>Actual / Required % After Shrinkage</t>
        </is>
      </c>
      <c r="BD1" s="47" t="inlineStr">
        <is>
          <t>Interval Compliance Win After Shrinkage</t>
        </is>
      </c>
      <c r="BM1" s="47" t="inlineStr">
        <is>
          <t>Minimum 80% Check After Shrinkage</t>
        </is>
      </c>
      <c r="BV1" s="47" t="inlineStr">
        <is>
          <t>Hard Floor 70% Check After Shrinkage</t>
        </is>
      </c>
      <c r="CF1" s="47" t="inlineStr">
        <is>
          <t>Variance After Shrinkage (Actual - Required)</t>
        </is>
      </c>
    </row>
    <row r="2">
      <c r="B2" s="13" t="inlineStr">
        <is>
          <t>Interval</t>
        </is>
      </c>
      <c r="C2" s="13" t="inlineStr">
        <is>
          <t>Sun</t>
        </is>
      </c>
      <c r="D2" s="13" t="inlineStr">
        <is>
          <t>Mon</t>
        </is>
      </c>
      <c r="E2" s="13" t="inlineStr">
        <is>
          <t>Tue</t>
        </is>
      </c>
      <c r="F2" s="13" t="inlineStr">
        <is>
          <t>Wed</t>
        </is>
      </c>
      <c r="G2" s="13" t="inlineStr">
        <is>
          <t>Thu</t>
        </is>
      </c>
      <c r="H2" s="13" t="inlineStr">
        <is>
          <t>Fri</t>
        </is>
      </c>
      <c r="I2" s="13" t="inlineStr">
        <is>
          <t>Sat</t>
        </is>
      </c>
      <c r="K2" s="13" t="inlineStr">
        <is>
          <t>Interval</t>
        </is>
      </c>
      <c r="L2" s="13" t="inlineStr">
        <is>
          <t>Sun</t>
        </is>
      </c>
      <c r="M2" s="13" t="inlineStr">
        <is>
          <t>Mon</t>
        </is>
      </c>
      <c r="N2" s="13" t="inlineStr">
        <is>
          <t>Tue</t>
        </is>
      </c>
      <c r="O2" s="13" t="inlineStr">
        <is>
          <t>Wed</t>
        </is>
      </c>
      <c r="P2" s="13" t="inlineStr">
        <is>
          <t>Thu</t>
        </is>
      </c>
      <c r="Q2" s="13" t="inlineStr">
        <is>
          <t>Fri</t>
        </is>
      </c>
      <c r="R2" s="13" t="inlineStr">
        <is>
          <t>Sat</t>
        </is>
      </c>
      <c r="AC2" s="13" t="inlineStr">
        <is>
          <t>Interval</t>
        </is>
      </c>
      <c r="AD2" s="13" t="inlineStr">
        <is>
          <t>Sun</t>
        </is>
      </c>
      <c r="AE2" s="13" t="inlineStr">
        <is>
          <t>Mon</t>
        </is>
      </c>
      <c r="AF2" s="13" t="inlineStr">
        <is>
          <t>Tue</t>
        </is>
      </c>
      <c r="AG2" s="13" t="inlineStr">
        <is>
          <t>Wed</t>
        </is>
      </c>
      <c r="AH2" s="13" t="inlineStr">
        <is>
          <t>Thu</t>
        </is>
      </c>
      <c r="AI2" s="13" t="inlineStr">
        <is>
          <t>Fri</t>
        </is>
      </c>
      <c r="AJ2" s="13" t="inlineStr">
        <is>
          <t>Sat</t>
        </is>
      </c>
      <c r="AU2" s="13" t="inlineStr">
        <is>
          <t>Interval</t>
        </is>
      </c>
      <c r="AV2" s="13" t="inlineStr">
        <is>
          <t>Sun</t>
        </is>
      </c>
      <c r="AW2" s="13" t="inlineStr">
        <is>
          <t>Mon</t>
        </is>
      </c>
      <c r="AX2" s="13" t="inlineStr">
        <is>
          <t>Tue</t>
        </is>
      </c>
      <c r="AY2" s="13" t="inlineStr">
        <is>
          <t>Wed</t>
        </is>
      </c>
      <c r="AZ2" s="13" t="inlineStr">
        <is>
          <t>Thu</t>
        </is>
      </c>
      <c r="BA2" s="13" t="inlineStr">
        <is>
          <t>Fri</t>
        </is>
      </c>
      <c r="BB2" s="13" t="inlineStr">
        <is>
          <t>Sat</t>
        </is>
      </c>
      <c r="BD2" s="13" t="inlineStr">
        <is>
          <t>Interval</t>
        </is>
      </c>
      <c r="BE2" s="13" t="inlineStr">
        <is>
          <t>Sun</t>
        </is>
      </c>
      <c r="BF2" s="13" t="inlineStr">
        <is>
          <t>Mon</t>
        </is>
      </c>
      <c r="BG2" s="13" t="inlineStr">
        <is>
          <t>Tue</t>
        </is>
      </c>
      <c r="BH2" s="13" t="inlineStr">
        <is>
          <t>Wed</t>
        </is>
      </c>
      <c r="BI2" s="13" t="inlineStr">
        <is>
          <t>Thu</t>
        </is>
      </c>
      <c r="BJ2" s="13" t="inlineStr">
        <is>
          <t>Fri</t>
        </is>
      </c>
      <c r="BK2" s="13" t="inlineStr">
        <is>
          <t>Sat</t>
        </is>
      </c>
      <c r="BM2" s="13" t="inlineStr">
        <is>
          <t>Interval</t>
        </is>
      </c>
      <c r="BN2" s="13" t="inlineStr">
        <is>
          <t>Sun</t>
        </is>
      </c>
      <c r="BO2" s="13" t="inlineStr">
        <is>
          <t>Mon</t>
        </is>
      </c>
      <c r="BP2" s="13" t="inlineStr">
        <is>
          <t>Tue</t>
        </is>
      </c>
      <c r="BQ2" s="13" t="inlineStr">
        <is>
          <t>Wed</t>
        </is>
      </c>
      <c r="BR2" s="13" t="inlineStr">
        <is>
          <t>Thu</t>
        </is>
      </c>
      <c r="BS2" s="13" t="inlineStr">
        <is>
          <t>Fri</t>
        </is>
      </c>
      <c r="BT2" s="13" t="inlineStr">
        <is>
          <t>Sat</t>
        </is>
      </c>
      <c r="BV2" s="13" t="inlineStr">
        <is>
          <t>Interval</t>
        </is>
      </c>
      <c r="BW2" s="13" t="inlineStr">
        <is>
          <t>Sun</t>
        </is>
      </c>
      <c r="BX2" s="13" t="inlineStr">
        <is>
          <t>Mon</t>
        </is>
      </c>
      <c r="BY2" s="13" t="inlineStr">
        <is>
          <t>Tue</t>
        </is>
      </c>
      <c r="BZ2" s="13" t="inlineStr">
        <is>
          <t>Wed</t>
        </is>
      </c>
      <c r="CA2" s="13" t="inlineStr">
        <is>
          <t>Thu</t>
        </is>
      </c>
      <c r="CB2" s="13" t="inlineStr">
        <is>
          <t>Fri</t>
        </is>
      </c>
      <c r="CC2" s="13" t="inlineStr">
        <is>
          <t>Sat</t>
        </is>
      </c>
      <c r="CF2" s="13" t="inlineStr">
        <is>
          <t>Interval</t>
        </is>
      </c>
      <c r="CG2" s="13" t="inlineStr">
        <is>
          <t>Sun</t>
        </is>
      </c>
      <c r="CH2" s="13" t="inlineStr">
        <is>
          <t>Mon</t>
        </is>
      </c>
      <c r="CI2" s="13" t="inlineStr">
        <is>
          <t>Tue</t>
        </is>
      </c>
      <c r="CJ2" s="13" t="inlineStr">
        <is>
          <t>Wed</t>
        </is>
      </c>
      <c r="CK2" s="13" t="inlineStr">
        <is>
          <t>Thu</t>
        </is>
      </c>
      <c r="CL2" s="13" t="inlineStr">
        <is>
          <t>Fri</t>
        </is>
      </c>
      <c r="CM2" s="13" t="inlineStr">
        <is>
          <t>Sat</t>
        </is>
      </c>
    </row>
    <row r="3" ht="15.75" customHeight="1" s="45">
      <c r="B3" s="13" t="inlineStr">
        <is>
          <t>Interval</t>
        </is>
      </c>
      <c r="C3" s="13" t="inlineStr">
        <is>
          <t>28-Jun</t>
        </is>
      </c>
      <c r="D3" s="13" t="inlineStr">
        <is>
          <t>29-Jun</t>
        </is>
      </c>
      <c r="E3" s="13" t="inlineStr">
        <is>
          <t>30-Jun</t>
        </is>
      </c>
      <c r="F3" s="13" t="inlineStr">
        <is>
          <t>1-Jul</t>
        </is>
      </c>
      <c r="G3" s="13" t="inlineStr">
        <is>
          <t>2-Jul</t>
        </is>
      </c>
      <c r="H3" s="13" t="inlineStr">
        <is>
          <t>3-Jul</t>
        </is>
      </c>
      <c r="I3" s="13" t="inlineStr">
        <is>
          <t>4-Jul</t>
        </is>
      </c>
      <c r="K3" s="13" t="inlineStr">
        <is>
          <t>Interval</t>
        </is>
      </c>
      <c r="L3" s="13" t="inlineStr">
        <is>
          <t>28-Jun</t>
        </is>
      </c>
      <c r="M3" s="13" t="inlineStr">
        <is>
          <t>29-Jun</t>
        </is>
      </c>
      <c r="N3" s="13" t="inlineStr">
        <is>
          <t>30-Jun</t>
        </is>
      </c>
      <c r="O3" s="13" t="inlineStr">
        <is>
          <t>1-Jul</t>
        </is>
      </c>
      <c r="P3" s="13" t="inlineStr">
        <is>
          <t>2-Jul</t>
        </is>
      </c>
      <c r="Q3" s="13" t="inlineStr">
        <is>
          <t>3-Jul</t>
        </is>
      </c>
      <c r="R3" s="13" t="inlineStr">
        <is>
          <t>4-Jul</t>
        </is>
      </c>
      <c r="AC3" s="13" t="inlineStr">
        <is>
          <t>Interval</t>
        </is>
      </c>
      <c r="AD3" s="13" t="inlineStr">
        <is>
          <t>28-Jun</t>
        </is>
      </c>
      <c r="AE3" s="13" t="inlineStr">
        <is>
          <t>29-Jun</t>
        </is>
      </c>
      <c r="AF3" s="13" t="inlineStr">
        <is>
          <t>30-Jun</t>
        </is>
      </c>
      <c r="AG3" s="13" t="inlineStr">
        <is>
          <t>1-Jul</t>
        </is>
      </c>
      <c r="AH3" s="13" t="inlineStr">
        <is>
          <t>2-Jul</t>
        </is>
      </c>
      <c r="AI3" s="13" t="inlineStr">
        <is>
          <t>3-Jul</t>
        </is>
      </c>
      <c r="AJ3" s="13" t="inlineStr">
        <is>
          <t>4-Jul</t>
        </is>
      </c>
      <c r="AU3" s="13" t="inlineStr">
        <is>
          <t>Interval</t>
        </is>
      </c>
      <c r="AV3" s="13" t="inlineStr">
        <is>
          <t>28-Jun</t>
        </is>
      </c>
      <c r="AW3" s="13" t="inlineStr">
        <is>
          <t>29-Jun</t>
        </is>
      </c>
      <c r="AX3" s="13" t="inlineStr">
        <is>
          <t>30-Jun</t>
        </is>
      </c>
      <c r="AY3" s="13" t="inlineStr">
        <is>
          <t>1-Jul</t>
        </is>
      </c>
      <c r="AZ3" s="13" t="inlineStr">
        <is>
          <t>2-Jul</t>
        </is>
      </c>
      <c r="BA3" s="13" t="inlineStr">
        <is>
          <t>3-Jul</t>
        </is>
      </c>
      <c r="BB3" s="13" t="inlineStr">
        <is>
          <t>4-Jul</t>
        </is>
      </c>
      <c r="BD3" s="13" t="inlineStr">
        <is>
          <t>Interval</t>
        </is>
      </c>
      <c r="BE3" s="13" t="inlineStr">
        <is>
          <t>28-Jun</t>
        </is>
      </c>
      <c r="BF3" s="13" t="inlineStr">
        <is>
          <t>29-Jun</t>
        </is>
      </c>
      <c r="BG3" s="13" t="inlineStr">
        <is>
          <t>30-Jun</t>
        </is>
      </c>
      <c r="BH3" s="13" t="inlineStr">
        <is>
          <t>1-Jul</t>
        </is>
      </c>
      <c r="BI3" s="13" t="inlineStr">
        <is>
          <t>2-Jul</t>
        </is>
      </c>
      <c r="BJ3" s="13" t="inlineStr">
        <is>
          <t>3-Jul</t>
        </is>
      </c>
      <c r="BK3" s="13" t="inlineStr">
        <is>
          <t>4-Jul</t>
        </is>
      </c>
      <c r="BM3" s="13" t="inlineStr">
        <is>
          <t>Interval</t>
        </is>
      </c>
      <c r="BN3" s="13" t="inlineStr">
        <is>
          <t>28-Jun</t>
        </is>
      </c>
      <c r="BO3" s="13" t="inlineStr">
        <is>
          <t>29-Jun</t>
        </is>
      </c>
      <c r="BP3" s="13" t="inlineStr">
        <is>
          <t>30-Jun</t>
        </is>
      </c>
      <c r="BQ3" s="13" t="inlineStr">
        <is>
          <t>1-Jul</t>
        </is>
      </c>
      <c r="BR3" s="13" t="inlineStr">
        <is>
          <t>2-Jul</t>
        </is>
      </c>
      <c r="BS3" s="13" t="inlineStr">
        <is>
          <t>3-Jul</t>
        </is>
      </c>
      <c r="BT3" s="13" t="inlineStr">
        <is>
          <t>4-Jul</t>
        </is>
      </c>
      <c r="BV3" s="13" t="inlineStr">
        <is>
          <t>Interval</t>
        </is>
      </c>
      <c r="BW3" s="13" t="inlineStr">
        <is>
          <t>28-Jun</t>
        </is>
      </c>
      <c r="BX3" s="13" t="inlineStr">
        <is>
          <t>29-Jun</t>
        </is>
      </c>
      <c r="BY3" s="13" t="inlineStr">
        <is>
          <t>30-Jun</t>
        </is>
      </c>
      <c r="BZ3" s="13" t="inlineStr">
        <is>
          <t>1-Jul</t>
        </is>
      </c>
      <c r="CA3" s="13" t="inlineStr">
        <is>
          <t>2-Jul</t>
        </is>
      </c>
      <c r="CB3" s="13" t="inlineStr">
        <is>
          <t>3-Jul</t>
        </is>
      </c>
      <c r="CC3" s="13" t="inlineStr">
        <is>
          <t>4-Jul</t>
        </is>
      </c>
      <c r="CF3" s="13" t="inlineStr">
        <is>
          <t>Interval</t>
        </is>
      </c>
      <c r="CG3" s="13" t="inlineStr">
        <is>
          <t>28-Jun</t>
        </is>
      </c>
      <c r="CH3" s="13" t="inlineStr">
        <is>
          <t>29-Jun</t>
        </is>
      </c>
      <c r="CI3" s="13" t="inlineStr">
        <is>
          <t>30-Jun</t>
        </is>
      </c>
      <c r="CJ3" s="13" t="inlineStr">
        <is>
          <t>1-Jul</t>
        </is>
      </c>
      <c r="CK3" s="13" t="inlineStr">
        <is>
          <t>2-Jul</t>
        </is>
      </c>
      <c r="CL3" s="13" t="inlineStr">
        <is>
          <t>3-Jul</t>
        </is>
      </c>
      <c r="CM3" s="13" t="inlineStr">
        <is>
          <t>4-Jul</t>
        </is>
      </c>
    </row>
    <row r="4">
      <c r="B4" s="12" t="inlineStr">
        <is>
          <t>00:00</t>
        </is>
      </c>
      <c r="C4" s="16" t="n"/>
      <c r="D4" s="16" t="n"/>
      <c r="E4" s="16" t="n"/>
      <c r="F4" s="16" t="n"/>
      <c r="G4" s="16" t="n"/>
      <c r="H4" s="16" t="n"/>
      <c r="I4" s="16" t="n"/>
      <c r="K4" s="12" t="inlineStr">
        <is>
          <t>00:00</t>
        </is>
      </c>
      <c r="L4" s="12">
        <f>IF(C4="","",COUNTIFS('Scheduler Engine'!$N$2:$N$1751,1,'Scheduler Engine'!$L$2:$L$1751,"&lt;="&amp;((0)*24+VALUE(LEFT($K4,2))),'Scheduler Engine'!$M$2:$M$1751,"&gt;"&amp;((0)*24+VALUE(LEFT($K4,2))))+COUNTIFS('Previous Engine'!$K$2:$K$251,1,'Previous Engine'!$H$2:$H$251,"&lt;="&amp;VALUE(LEFT($K4,2)),'Previous Engine'!$I$2:$I$251,"&gt;"&amp;VALUE(LEFT($K4,2))))</f>
        <v/>
      </c>
      <c r="M4" s="12">
        <f>IF(D4="","",COUNTIFS('Scheduler Engine'!$N$2:$N$1751,1,'Scheduler Engine'!$L$2:$L$1751,"&lt;="&amp;((1)*24+VALUE(LEFT($K4,2))),'Scheduler Engine'!$M$2:$M$1751,"&gt;"&amp;((1)*24+VALUE(LEFT($K4,2)))))</f>
        <v/>
      </c>
      <c r="N4" s="12">
        <f>IF(E4="","",COUNTIFS('Scheduler Engine'!$N$2:$N$1751,1,'Scheduler Engine'!$L$2:$L$1751,"&lt;="&amp;((2)*24+VALUE(LEFT($K4,2))),'Scheduler Engine'!$M$2:$M$1751,"&gt;"&amp;((2)*24+VALUE(LEFT($K4,2)))))</f>
        <v/>
      </c>
      <c r="O4" s="12">
        <f>IF(F4="","",COUNTIFS('Scheduler Engine'!$N$2:$N$1751,1,'Scheduler Engine'!$L$2:$L$1751,"&lt;="&amp;((3)*24+VALUE(LEFT($K4,2))),'Scheduler Engine'!$M$2:$M$1751,"&gt;"&amp;((3)*24+VALUE(LEFT($K4,2)))))</f>
        <v/>
      </c>
      <c r="P4" s="12">
        <f>IF(G4="","",COUNTIFS('Scheduler Engine'!$N$2:$N$1751,1,'Scheduler Engine'!$L$2:$L$1751,"&lt;="&amp;((4)*24+VALUE(LEFT($K4,2))),'Scheduler Engine'!$M$2:$M$1751,"&gt;"&amp;((4)*24+VALUE(LEFT($K4,2)))))</f>
        <v/>
      </c>
      <c r="Q4" s="12">
        <f>IF(H4="","",COUNTIFS('Scheduler Engine'!$N$2:$N$1751,1,'Scheduler Engine'!$L$2:$L$1751,"&lt;="&amp;((5)*24+VALUE(LEFT($K4,2))),'Scheduler Engine'!$M$2:$M$1751,"&gt;"&amp;((5)*24+VALUE(LEFT($K4,2)))))</f>
        <v/>
      </c>
      <c r="R4" s="12">
        <f>IF(I4="","",COUNTIFS('Scheduler Engine'!$N$2:$N$1751,1,'Scheduler Engine'!$L$2:$L$1751,"&lt;="&amp;((6)*24+VALUE(LEFT($K4,2))),'Scheduler Engine'!$M$2:$M$1751,"&gt;"&amp;((6)*24+VALUE(LEFT($K4,2)))))</f>
        <v/>
      </c>
      <c r="AC4" s="12" t="inlineStr">
        <is>
          <t>00:00</t>
        </is>
      </c>
      <c r="AD4" s="12">
        <f>IF(C4="","",L4*(1-(IF(IFERROR(INDEX(Instructions!$B:$B,MATCH("Shrinkage Source",Instructions!$A:$A,0)),"Shrinkage Sheet")="Shrinkage Sheet",IFERROR(IF(Shrinkage!B4="-",IF(C4&lt;IFERROR(INDEX(Instructions!$B:$B,MATCH("Shrinkage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FTEs",Instructions!$A:$A,0)),12%)),Shrinkage!B4),IF(C4&lt;IFERROR(INDEX(Instructions!$B:$B,MATCH("Shrinkage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4" s="12">
        <f>IF(D4="","",M4*(1-(IF(IFERROR(INDEX(Instructions!$B:$B,MATCH("Shrinkage Source",Instructions!$A:$A,0)),"Shrinkage Sheet")="Shrinkage Sheet",IFERROR(IF(Shrinkage!C4="-",IF(D4&lt;IFERROR(INDEX(Instructions!$B:$B,MATCH("Shrinkage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FTEs",Instructions!$A:$A,0)),12%)),Shrinkage!C4),IF(D4&lt;IFERROR(INDEX(Instructions!$B:$B,MATCH("Shrinkage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4" s="12">
        <f>IF(E4="","",N4*(1-(IF(IFERROR(INDEX(Instructions!$B:$B,MATCH("Shrinkage Source",Instructions!$A:$A,0)),"Shrinkage Sheet")="Shrinkage Sheet",IFERROR(IF(Shrinkage!D4="-",IF(E4&lt;IFERROR(INDEX(Instructions!$B:$B,MATCH("Shrinkage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FTEs",Instructions!$A:$A,0)),12%)),Shrinkage!D4),IF(E4&lt;IFERROR(INDEX(Instructions!$B:$B,MATCH("Shrinkage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4" s="12">
        <f>IF(F4="","",O4*(1-(IF(IFERROR(INDEX(Instructions!$B:$B,MATCH("Shrinkage Source",Instructions!$A:$A,0)),"Shrinkage Sheet")="Shrinkage Sheet",IFERROR(IF(Shrinkage!E4="-",IF(F4&lt;IFERROR(INDEX(Instructions!$B:$B,MATCH("Shrinkage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FTEs",Instructions!$A:$A,0)),12%)),Shrinkage!E4),IF(F4&lt;IFERROR(INDEX(Instructions!$B:$B,MATCH("Shrinkage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4" s="12">
        <f>IF(G4="","",P4*(1-(IF(IFERROR(INDEX(Instructions!$B:$B,MATCH("Shrinkage Source",Instructions!$A:$A,0)),"Shrinkage Sheet")="Shrinkage Sheet",IFERROR(IF(Shrinkage!F4="-",IF(G4&lt;IFERROR(INDEX(Instructions!$B:$B,MATCH("Shrinkage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FTEs",Instructions!$A:$A,0)),12%)),Shrinkage!F4),IF(G4&lt;IFERROR(INDEX(Instructions!$B:$B,MATCH("Shrinkage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4" s="12">
        <f>IF(H4="","",Q4*(1-(IF(IFERROR(INDEX(Instructions!$B:$B,MATCH("Shrinkage Source",Instructions!$A:$A,0)),"Shrinkage Sheet")="Shrinkage Sheet",IFERROR(IF(Shrinkage!G4="-",IF(H4&lt;IFERROR(INDEX(Instructions!$B:$B,MATCH("Shrinkage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FTEs",Instructions!$A:$A,0)),12%)),Shrinkage!G4),IF(H4&lt;IFERROR(INDEX(Instructions!$B:$B,MATCH("Shrinkage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4" s="12">
        <f>IF(I4="","",R4*(1-(IF(IFERROR(INDEX(Instructions!$B:$B,MATCH("Shrinkage Source",Instructions!$A:$A,0)),"Shrinkage Sheet")="Shrinkage Sheet",IFERROR(IF(Shrinkage!H4="-",IF(I4&lt;IFERROR(INDEX(Instructions!$B:$B,MATCH("Shrinkage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FTEs",Instructions!$A:$A,0)),12%)),Shrinkage!H4),IF(I4&lt;IFERROR(INDEX(Instructions!$B:$B,MATCH("Shrinkage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4" s="12" t="inlineStr">
        <is>
          <t>00:00</t>
        </is>
      </c>
      <c r="AV4" s="53">
        <f>IFERROR(AD4/C4,"")</f>
        <v/>
      </c>
      <c r="AW4" s="53">
        <f>IFERROR(AE4/D4,"")</f>
        <v/>
      </c>
      <c r="AX4" s="53">
        <f>IFERROR(AF4/E4,"")</f>
        <v/>
      </c>
      <c r="AY4" s="53">
        <f>IFERROR(AG4/F4,"")</f>
        <v/>
      </c>
      <c r="AZ4" s="53">
        <f>IFERROR(AH4/G4,"")</f>
        <v/>
      </c>
      <c r="BA4" s="53">
        <f>IFERROR(AI4/H4,"")</f>
        <v/>
      </c>
      <c r="BB4" s="53">
        <f>IFERROR(AJ4/I4,"")</f>
        <v/>
      </c>
      <c r="BD4" s="12" t="inlineStr">
        <is>
          <t>00:00</t>
        </is>
      </c>
      <c r="BE4" s="12">
        <f>IF(C4="","",IF(AV4&gt;=Instructions!$B$15,1,0))</f>
        <v/>
      </c>
      <c r="BF4" s="12">
        <f>IF(D4="","",IF(AW4&gt;=Instructions!$B$15,1,0))</f>
        <v/>
      </c>
      <c r="BG4" s="12">
        <f>IF(E4="","",IF(AX4&gt;=Instructions!$B$15,1,0))</f>
        <v/>
      </c>
      <c r="BH4" s="12">
        <f>IF(F4="","",IF(AY4&gt;=Instructions!$B$15,1,0))</f>
        <v/>
      </c>
      <c r="BI4" s="12">
        <f>IF(G4="","",IF(AZ4&gt;=Instructions!$B$15,1,0))</f>
        <v/>
      </c>
      <c r="BJ4" s="12">
        <f>IF(H4="","",IF(BA4&gt;=Instructions!$B$15,1,0))</f>
        <v/>
      </c>
      <c r="BK4" s="12">
        <f>IF(I4="","",IF(BB4&gt;=Instructions!$B$15,1,0))</f>
        <v/>
      </c>
      <c r="BM4" s="12" t="inlineStr">
        <is>
          <t>00:00</t>
        </is>
      </c>
      <c r="BN4" s="12">
        <f>IF(C4="","",IF(AV4&gt;=Instructions!$B$16,1,0))</f>
        <v/>
      </c>
      <c r="BO4" s="12">
        <f>IF(D4="","",IF(AW4&gt;=Instructions!$B$16,1,0))</f>
        <v/>
      </c>
      <c r="BP4" s="12">
        <f>IF(E4="","",IF(AX4&gt;=Instructions!$B$16,1,0))</f>
        <v/>
      </c>
      <c r="BQ4" s="12">
        <f>IF(F4="","",IF(AY4&gt;=Instructions!$B$16,1,0))</f>
        <v/>
      </c>
      <c r="BR4" s="12">
        <f>IF(G4="","",IF(AZ4&gt;=Instructions!$B$16,1,0))</f>
        <v/>
      </c>
      <c r="BS4" s="12">
        <f>IF(H4="","",IF(BA4&gt;=Instructions!$B$16,1,0))</f>
        <v/>
      </c>
      <c r="BT4" s="12">
        <f>IF(I4="","",IF(BB4&gt;=Instructions!$B$16,1,0))</f>
        <v/>
      </c>
      <c r="BV4" s="12" t="inlineStr">
        <is>
          <t>00:00</t>
        </is>
      </c>
      <c r="BW4" s="12">
        <f>IF(C4="","",IF(ROUND(AV4,6)&gt;=ROUND(Instructions!$B$16-Instructions!$B$17,6),1,0))</f>
        <v/>
      </c>
      <c r="BX4" s="12">
        <f>IF(D4="","",IF(ROUND(AW4,6)&gt;=ROUND(Instructions!$B$16-Instructions!$B$17,6),1,0))</f>
        <v/>
      </c>
      <c r="BY4" s="12">
        <f>IF(E4="","",IF(ROUND(AX4,6)&gt;=ROUND(Instructions!$B$16-Instructions!$B$17,6),1,0))</f>
        <v/>
      </c>
      <c r="BZ4" s="12">
        <f>IF(F4="","",IF(ROUND(AY4,6)&gt;=ROUND(Instructions!$B$16-Instructions!$B$17,6),1,0))</f>
        <v/>
      </c>
      <c r="CA4" s="12">
        <f>IF(G4="","",IF(ROUND(AZ4,6)&gt;=ROUND(Instructions!$B$16-Instructions!$B$17,6),1,0))</f>
        <v/>
      </c>
      <c r="CB4" s="12">
        <f>IF(H4="","",IF(ROUND(BA4,6)&gt;=ROUND(Instructions!$B$16-Instructions!$B$17,6),1,0))</f>
        <v/>
      </c>
      <c r="CC4" s="12">
        <f>IF(I4="","",IF(ROUND(BB4,6)&gt;=ROUND(Instructions!$B$16-Instructions!$B$17,6),1,0))</f>
        <v/>
      </c>
      <c r="CF4" s="12" t="inlineStr">
        <is>
          <t>00:00</t>
        </is>
      </c>
      <c r="CG4" s="12">
        <f>IF(C4="","",AD4-C4)</f>
        <v/>
      </c>
      <c r="CH4" s="12">
        <f>IF(D4="","",AE4-D4)</f>
        <v/>
      </c>
      <c r="CI4" s="12">
        <f>IF(E4="","",AF4-E4)</f>
        <v/>
      </c>
      <c r="CJ4" s="12">
        <f>IF(F4="","",AG4-F4)</f>
        <v/>
      </c>
      <c r="CK4" s="12">
        <f>IF(G4="","",AH4-G4)</f>
        <v/>
      </c>
      <c r="CL4" s="12">
        <f>IF(H4="","",AI4-H4)</f>
        <v/>
      </c>
      <c r="CM4" s="12">
        <f>IF(I4="","",AJ4-I4)</f>
        <v/>
      </c>
    </row>
    <row r="5">
      <c r="B5" s="12" t="inlineStr">
        <is>
          <t>01:00</t>
        </is>
      </c>
      <c r="C5" s="16" t="n"/>
      <c r="D5" s="16" t="n"/>
      <c r="E5" s="16" t="n"/>
      <c r="F5" s="16" t="n"/>
      <c r="G5" s="16" t="n"/>
      <c r="H5" s="16" t="n"/>
      <c r="I5" s="16" t="n"/>
      <c r="K5" s="12" t="inlineStr">
        <is>
          <t>01:00</t>
        </is>
      </c>
      <c r="L5" s="12">
        <f>IF(C5="","",COUNTIFS('Scheduler Engine'!$N$2:$N$1751,1,'Scheduler Engine'!$L$2:$L$1751,"&lt;="&amp;((0)*24+VALUE(LEFT($K5,2))),'Scheduler Engine'!$M$2:$M$1751,"&gt;"&amp;((0)*24+VALUE(LEFT($K5,2))))+COUNTIFS('Previous Engine'!$K$2:$K$251,1,'Previous Engine'!$H$2:$H$251,"&lt;="&amp;VALUE(LEFT($K5,2)),'Previous Engine'!$I$2:$I$251,"&gt;"&amp;VALUE(LEFT($K5,2))))</f>
        <v/>
      </c>
      <c r="M5" s="12">
        <f>IF(D5="","",COUNTIFS('Scheduler Engine'!$N$2:$N$1751,1,'Scheduler Engine'!$L$2:$L$1751,"&lt;="&amp;((1)*24+VALUE(LEFT($K5,2))),'Scheduler Engine'!$M$2:$M$1751,"&gt;"&amp;((1)*24+VALUE(LEFT($K5,2)))))</f>
        <v/>
      </c>
      <c r="N5" s="12">
        <f>IF(E5="","",COUNTIFS('Scheduler Engine'!$N$2:$N$1751,1,'Scheduler Engine'!$L$2:$L$1751,"&lt;="&amp;((2)*24+VALUE(LEFT($K5,2))),'Scheduler Engine'!$M$2:$M$1751,"&gt;"&amp;((2)*24+VALUE(LEFT($K5,2)))))</f>
        <v/>
      </c>
      <c r="O5" s="12">
        <f>IF(F5="","",COUNTIFS('Scheduler Engine'!$N$2:$N$1751,1,'Scheduler Engine'!$L$2:$L$1751,"&lt;="&amp;((3)*24+VALUE(LEFT($K5,2))),'Scheduler Engine'!$M$2:$M$1751,"&gt;"&amp;((3)*24+VALUE(LEFT($K5,2)))))</f>
        <v/>
      </c>
      <c r="P5" s="12">
        <f>IF(G5="","",COUNTIFS('Scheduler Engine'!$N$2:$N$1751,1,'Scheduler Engine'!$L$2:$L$1751,"&lt;="&amp;((4)*24+VALUE(LEFT($K5,2))),'Scheduler Engine'!$M$2:$M$1751,"&gt;"&amp;((4)*24+VALUE(LEFT($K5,2)))))</f>
        <v/>
      </c>
      <c r="Q5" s="12">
        <f>IF(H5="","",COUNTIFS('Scheduler Engine'!$N$2:$N$1751,1,'Scheduler Engine'!$L$2:$L$1751,"&lt;="&amp;((5)*24+VALUE(LEFT($K5,2))),'Scheduler Engine'!$M$2:$M$1751,"&gt;"&amp;((5)*24+VALUE(LEFT($K5,2)))))</f>
        <v/>
      </c>
      <c r="R5" s="12">
        <f>IF(I5="","",COUNTIFS('Scheduler Engine'!$N$2:$N$1751,1,'Scheduler Engine'!$L$2:$L$1751,"&lt;="&amp;((6)*24+VALUE(LEFT($K5,2))),'Scheduler Engine'!$M$2:$M$1751,"&gt;"&amp;((6)*24+VALUE(LEFT($K5,2)))))</f>
        <v/>
      </c>
      <c r="AC5" s="12" t="inlineStr">
        <is>
          <t>01:00</t>
        </is>
      </c>
      <c r="AD5" s="12">
        <f>IF(C5="","",L5*(1-(IF(IFERROR(INDEX(Instructions!$B:$B,MATCH("Shrinkage Source",Instructions!$A:$A,0)),"Shrinkage Sheet")="Shrinkage Sheet",IFERROR(IF(Shrinkage!B5="-",IF(C5&lt;IFERROR(INDEX(Instructions!$B:$B,MATCH("Shrinkage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FTEs",Instructions!$A:$A,0)),12%)),Shrinkage!B5),IF(C5&lt;IFERROR(INDEX(Instructions!$B:$B,MATCH("Shrinkage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5" s="12">
        <f>IF(D5="","",M5*(1-(IF(IFERROR(INDEX(Instructions!$B:$B,MATCH("Shrinkage Source",Instructions!$A:$A,0)),"Shrinkage Sheet")="Shrinkage Sheet",IFERROR(IF(Shrinkage!C5="-",IF(D5&lt;IFERROR(INDEX(Instructions!$B:$B,MATCH("Shrinkage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FTEs",Instructions!$A:$A,0)),12%)),Shrinkage!C5),IF(D5&lt;IFERROR(INDEX(Instructions!$B:$B,MATCH("Shrinkage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5" s="12">
        <f>IF(E5="","",N5*(1-(IF(IFERROR(INDEX(Instructions!$B:$B,MATCH("Shrinkage Source",Instructions!$A:$A,0)),"Shrinkage Sheet")="Shrinkage Sheet",IFERROR(IF(Shrinkage!D5="-",IF(E5&lt;IFERROR(INDEX(Instructions!$B:$B,MATCH("Shrinkage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FTEs",Instructions!$A:$A,0)),12%)),Shrinkage!D5),IF(E5&lt;IFERROR(INDEX(Instructions!$B:$B,MATCH("Shrinkage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5" s="12">
        <f>IF(F5="","",O5*(1-(IF(IFERROR(INDEX(Instructions!$B:$B,MATCH("Shrinkage Source",Instructions!$A:$A,0)),"Shrinkage Sheet")="Shrinkage Sheet",IFERROR(IF(Shrinkage!E5="-",IF(F5&lt;IFERROR(INDEX(Instructions!$B:$B,MATCH("Shrinkage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FTEs",Instructions!$A:$A,0)),12%)),Shrinkage!E5),IF(F5&lt;IFERROR(INDEX(Instructions!$B:$B,MATCH("Shrinkage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5" s="12">
        <f>IF(G5="","",P5*(1-(IF(IFERROR(INDEX(Instructions!$B:$B,MATCH("Shrinkage Source",Instructions!$A:$A,0)),"Shrinkage Sheet")="Shrinkage Sheet",IFERROR(IF(Shrinkage!F5="-",IF(G5&lt;IFERROR(INDEX(Instructions!$B:$B,MATCH("Shrinkage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FTEs",Instructions!$A:$A,0)),12%)),Shrinkage!F5),IF(G5&lt;IFERROR(INDEX(Instructions!$B:$B,MATCH("Shrinkage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5" s="12">
        <f>IF(H5="","",Q5*(1-(IF(IFERROR(INDEX(Instructions!$B:$B,MATCH("Shrinkage Source",Instructions!$A:$A,0)),"Shrinkage Sheet")="Shrinkage Sheet",IFERROR(IF(Shrinkage!G5="-",IF(H5&lt;IFERROR(INDEX(Instructions!$B:$B,MATCH("Shrinkage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FTEs",Instructions!$A:$A,0)),12%)),Shrinkage!G5),IF(H5&lt;IFERROR(INDEX(Instructions!$B:$B,MATCH("Shrinkage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5" s="12">
        <f>IF(I5="","",R5*(1-(IF(IFERROR(INDEX(Instructions!$B:$B,MATCH("Shrinkage Source",Instructions!$A:$A,0)),"Shrinkage Sheet")="Shrinkage Sheet",IFERROR(IF(Shrinkage!H5="-",IF(I5&lt;IFERROR(INDEX(Instructions!$B:$B,MATCH("Shrinkage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FTEs",Instructions!$A:$A,0)),12%)),Shrinkage!H5),IF(I5&lt;IFERROR(INDEX(Instructions!$B:$B,MATCH("Shrinkage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5" s="12" t="inlineStr">
        <is>
          <t>01:00</t>
        </is>
      </c>
      <c r="AV5" s="53">
        <f>IFERROR(AD5/C5,"")</f>
        <v/>
      </c>
      <c r="AW5" s="53">
        <f>IFERROR(AE5/D5,"")</f>
        <v/>
      </c>
      <c r="AX5" s="53">
        <f>IFERROR(AF5/E5,"")</f>
        <v/>
      </c>
      <c r="AY5" s="53">
        <f>IFERROR(AG5/F5,"")</f>
        <v/>
      </c>
      <c r="AZ5" s="53">
        <f>IFERROR(AH5/G5,"")</f>
        <v/>
      </c>
      <c r="BA5" s="53">
        <f>IFERROR(AI5/H5,"")</f>
        <v/>
      </c>
      <c r="BB5" s="53">
        <f>IFERROR(AJ5/I5,"")</f>
        <v/>
      </c>
      <c r="BD5" s="12" t="inlineStr">
        <is>
          <t>01:00</t>
        </is>
      </c>
      <c r="BE5" s="12">
        <f>IF(C5="","",IF(AV5&gt;=Instructions!$B$15,1,0))</f>
        <v/>
      </c>
      <c r="BF5" s="12">
        <f>IF(D5="","",IF(AW5&gt;=Instructions!$B$15,1,0))</f>
        <v/>
      </c>
      <c r="BG5" s="12">
        <f>IF(E5="","",IF(AX5&gt;=Instructions!$B$15,1,0))</f>
        <v/>
      </c>
      <c r="BH5" s="12">
        <f>IF(F5="","",IF(AY5&gt;=Instructions!$B$15,1,0))</f>
        <v/>
      </c>
      <c r="BI5" s="12">
        <f>IF(G5="","",IF(AZ5&gt;=Instructions!$B$15,1,0))</f>
        <v/>
      </c>
      <c r="BJ5" s="12">
        <f>IF(H5="","",IF(BA5&gt;=Instructions!$B$15,1,0))</f>
        <v/>
      </c>
      <c r="BK5" s="12">
        <f>IF(I5="","",IF(BB5&gt;=Instructions!$B$15,1,0))</f>
        <v/>
      </c>
      <c r="BM5" s="12" t="inlineStr">
        <is>
          <t>01:00</t>
        </is>
      </c>
      <c r="BN5" s="12">
        <f>IF(C5="","",IF(AV5&gt;=Instructions!$B$16,1,0))</f>
        <v/>
      </c>
      <c r="BO5" s="12">
        <f>IF(D5="","",IF(AW5&gt;=Instructions!$B$16,1,0))</f>
        <v/>
      </c>
      <c r="BP5" s="12">
        <f>IF(E5="","",IF(AX5&gt;=Instructions!$B$16,1,0))</f>
        <v/>
      </c>
      <c r="BQ5" s="12">
        <f>IF(F5="","",IF(AY5&gt;=Instructions!$B$16,1,0))</f>
        <v/>
      </c>
      <c r="BR5" s="12">
        <f>IF(G5="","",IF(AZ5&gt;=Instructions!$B$16,1,0))</f>
        <v/>
      </c>
      <c r="BS5" s="12">
        <f>IF(H5="","",IF(BA5&gt;=Instructions!$B$16,1,0))</f>
        <v/>
      </c>
      <c r="BT5" s="12">
        <f>IF(I5="","",IF(BB5&gt;=Instructions!$B$16,1,0))</f>
        <v/>
      </c>
      <c r="BV5" s="12" t="inlineStr">
        <is>
          <t>01:00</t>
        </is>
      </c>
      <c r="BW5" s="12">
        <f>IF(C5="","",IF(ROUND(AV5,6)&gt;=ROUND(Instructions!$B$16-Instructions!$B$17,6),1,0))</f>
        <v/>
      </c>
      <c r="BX5" s="12">
        <f>IF(D5="","",IF(ROUND(AW5,6)&gt;=ROUND(Instructions!$B$16-Instructions!$B$17,6),1,0))</f>
        <v/>
      </c>
      <c r="BY5" s="12">
        <f>IF(E5="","",IF(ROUND(AX5,6)&gt;=ROUND(Instructions!$B$16-Instructions!$B$17,6),1,0))</f>
        <v/>
      </c>
      <c r="BZ5" s="12">
        <f>IF(F5="","",IF(ROUND(AY5,6)&gt;=ROUND(Instructions!$B$16-Instructions!$B$17,6),1,0))</f>
        <v/>
      </c>
      <c r="CA5" s="12">
        <f>IF(G5="","",IF(ROUND(AZ5,6)&gt;=ROUND(Instructions!$B$16-Instructions!$B$17,6),1,0))</f>
        <v/>
      </c>
      <c r="CB5" s="12">
        <f>IF(H5="","",IF(ROUND(BA5,6)&gt;=ROUND(Instructions!$B$16-Instructions!$B$17,6),1,0))</f>
        <v/>
      </c>
      <c r="CC5" s="12">
        <f>IF(I5="","",IF(ROUND(BB5,6)&gt;=ROUND(Instructions!$B$16-Instructions!$B$17,6),1,0))</f>
        <v/>
      </c>
      <c r="CF5" s="12" t="inlineStr">
        <is>
          <t>01:00</t>
        </is>
      </c>
      <c r="CG5" s="12">
        <f>IF(C5="","",AD5-C5)</f>
        <v/>
      </c>
      <c r="CH5" s="12">
        <f>IF(D5="","",AE5-D5)</f>
        <v/>
      </c>
      <c r="CI5" s="12">
        <f>IF(E5="","",AF5-E5)</f>
        <v/>
      </c>
      <c r="CJ5" s="12">
        <f>IF(F5="","",AG5-F5)</f>
        <v/>
      </c>
      <c r="CK5" s="12">
        <f>IF(G5="","",AH5-G5)</f>
        <v/>
      </c>
      <c r="CL5" s="12">
        <f>IF(H5="","",AI5-H5)</f>
        <v/>
      </c>
      <c r="CM5" s="12">
        <f>IF(I5="","",AJ5-I5)</f>
        <v/>
      </c>
    </row>
    <row r="6">
      <c r="B6" s="12" t="inlineStr">
        <is>
          <t>02:00</t>
        </is>
      </c>
      <c r="C6" s="16" t="n"/>
      <c r="D6" s="16" t="n"/>
      <c r="E6" s="16" t="n"/>
      <c r="F6" s="16" t="n"/>
      <c r="G6" s="16" t="n"/>
      <c r="H6" s="16" t="n"/>
      <c r="I6" s="16" t="n"/>
      <c r="K6" s="12" t="inlineStr">
        <is>
          <t>02:00</t>
        </is>
      </c>
      <c r="L6" s="12">
        <f>IF(C6="","",COUNTIFS('Scheduler Engine'!$N$2:$N$1751,1,'Scheduler Engine'!$L$2:$L$1751,"&lt;="&amp;((0)*24+VALUE(LEFT($K6,2))),'Scheduler Engine'!$M$2:$M$1751,"&gt;"&amp;((0)*24+VALUE(LEFT($K6,2))))+COUNTIFS('Previous Engine'!$K$2:$K$251,1,'Previous Engine'!$H$2:$H$251,"&lt;="&amp;VALUE(LEFT($K6,2)),'Previous Engine'!$I$2:$I$251,"&gt;"&amp;VALUE(LEFT($K6,2))))</f>
        <v/>
      </c>
      <c r="M6" s="12">
        <f>IF(D6="","",COUNTIFS('Scheduler Engine'!$N$2:$N$1751,1,'Scheduler Engine'!$L$2:$L$1751,"&lt;="&amp;((1)*24+VALUE(LEFT($K6,2))),'Scheduler Engine'!$M$2:$M$1751,"&gt;"&amp;((1)*24+VALUE(LEFT($K6,2)))))</f>
        <v/>
      </c>
      <c r="N6" s="12">
        <f>IF(E6="","",COUNTIFS('Scheduler Engine'!$N$2:$N$1751,1,'Scheduler Engine'!$L$2:$L$1751,"&lt;="&amp;((2)*24+VALUE(LEFT($K6,2))),'Scheduler Engine'!$M$2:$M$1751,"&gt;"&amp;((2)*24+VALUE(LEFT($K6,2)))))</f>
        <v/>
      </c>
      <c r="O6" s="12">
        <f>IF(F6="","",COUNTIFS('Scheduler Engine'!$N$2:$N$1751,1,'Scheduler Engine'!$L$2:$L$1751,"&lt;="&amp;((3)*24+VALUE(LEFT($K6,2))),'Scheduler Engine'!$M$2:$M$1751,"&gt;"&amp;((3)*24+VALUE(LEFT($K6,2)))))</f>
        <v/>
      </c>
      <c r="P6" s="12">
        <f>IF(G6="","",COUNTIFS('Scheduler Engine'!$N$2:$N$1751,1,'Scheduler Engine'!$L$2:$L$1751,"&lt;="&amp;((4)*24+VALUE(LEFT($K6,2))),'Scheduler Engine'!$M$2:$M$1751,"&gt;"&amp;((4)*24+VALUE(LEFT($K6,2)))))</f>
        <v/>
      </c>
      <c r="Q6" s="12">
        <f>IF(H6="","",COUNTIFS('Scheduler Engine'!$N$2:$N$1751,1,'Scheduler Engine'!$L$2:$L$1751,"&lt;="&amp;((5)*24+VALUE(LEFT($K6,2))),'Scheduler Engine'!$M$2:$M$1751,"&gt;"&amp;((5)*24+VALUE(LEFT($K6,2)))))</f>
        <v/>
      </c>
      <c r="R6" s="12">
        <f>IF(I6="","",COUNTIFS('Scheduler Engine'!$N$2:$N$1751,1,'Scheduler Engine'!$L$2:$L$1751,"&lt;="&amp;((6)*24+VALUE(LEFT($K6,2))),'Scheduler Engine'!$M$2:$M$1751,"&gt;"&amp;((6)*24+VALUE(LEFT($K6,2)))))</f>
        <v/>
      </c>
      <c r="AC6" s="12" t="inlineStr">
        <is>
          <t>02:00</t>
        </is>
      </c>
      <c r="AD6" s="12">
        <f>IF(C6="","",L6*(1-(IF(IFERROR(INDEX(Instructions!$B:$B,MATCH("Shrinkage Source",Instructions!$A:$A,0)),"Shrinkage Sheet")="Shrinkage Sheet",IFERROR(IF(Shrinkage!B6="-",IF(C6&lt;IFERROR(INDEX(Instructions!$B:$B,MATCH("Shrinkage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FTEs",Instructions!$A:$A,0)),12%)),Shrinkage!B6),IF(C6&lt;IFERROR(INDEX(Instructions!$B:$B,MATCH("Shrinkage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6" s="12">
        <f>IF(D6="","",M6*(1-(IF(IFERROR(INDEX(Instructions!$B:$B,MATCH("Shrinkage Source",Instructions!$A:$A,0)),"Shrinkage Sheet")="Shrinkage Sheet",IFERROR(IF(Shrinkage!C6="-",IF(D6&lt;IFERROR(INDEX(Instructions!$B:$B,MATCH("Shrinkage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FTEs",Instructions!$A:$A,0)),12%)),Shrinkage!C6),IF(D6&lt;IFERROR(INDEX(Instructions!$B:$B,MATCH("Shrinkage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6" s="12">
        <f>IF(E6="","",N6*(1-(IF(IFERROR(INDEX(Instructions!$B:$B,MATCH("Shrinkage Source",Instructions!$A:$A,0)),"Shrinkage Sheet")="Shrinkage Sheet",IFERROR(IF(Shrinkage!D6="-",IF(E6&lt;IFERROR(INDEX(Instructions!$B:$B,MATCH("Shrinkage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FTEs",Instructions!$A:$A,0)),12%)),Shrinkage!D6),IF(E6&lt;IFERROR(INDEX(Instructions!$B:$B,MATCH("Shrinkage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6" s="12">
        <f>IF(F6="","",O6*(1-(IF(IFERROR(INDEX(Instructions!$B:$B,MATCH("Shrinkage Source",Instructions!$A:$A,0)),"Shrinkage Sheet")="Shrinkage Sheet",IFERROR(IF(Shrinkage!E6="-",IF(F6&lt;IFERROR(INDEX(Instructions!$B:$B,MATCH("Shrinkage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FTEs",Instructions!$A:$A,0)),12%)),Shrinkage!E6),IF(F6&lt;IFERROR(INDEX(Instructions!$B:$B,MATCH("Shrinkage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6" s="12">
        <f>IF(G6="","",P6*(1-(IF(IFERROR(INDEX(Instructions!$B:$B,MATCH("Shrinkage Source",Instructions!$A:$A,0)),"Shrinkage Sheet")="Shrinkage Sheet",IFERROR(IF(Shrinkage!F6="-",IF(G6&lt;IFERROR(INDEX(Instructions!$B:$B,MATCH("Shrinkage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FTEs",Instructions!$A:$A,0)),12%)),Shrinkage!F6),IF(G6&lt;IFERROR(INDEX(Instructions!$B:$B,MATCH("Shrinkage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6" s="12">
        <f>IF(H6="","",Q6*(1-(IF(IFERROR(INDEX(Instructions!$B:$B,MATCH("Shrinkage Source",Instructions!$A:$A,0)),"Shrinkage Sheet")="Shrinkage Sheet",IFERROR(IF(Shrinkage!G6="-",IF(H6&lt;IFERROR(INDEX(Instructions!$B:$B,MATCH("Shrinkage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FTEs",Instructions!$A:$A,0)),12%)),Shrinkage!G6),IF(H6&lt;IFERROR(INDEX(Instructions!$B:$B,MATCH("Shrinkage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6" s="12">
        <f>IF(I6="","",R6*(1-(IF(IFERROR(INDEX(Instructions!$B:$B,MATCH("Shrinkage Source",Instructions!$A:$A,0)),"Shrinkage Sheet")="Shrinkage Sheet",IFERROR(IF(Shrinkage!H6="-",IF(I6&lt;IFERROR(INDEX(Instructions!$B:$B,MATCH("Shrinkage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FTEs",Instructions!$A:$A,0)),12%)),Shrinkage!H6),IF(I6&lt;IFERROR(INDEX(Instructions!$B:$B,MATCH("Shrinkage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6" s="12" t="inlineStr">
        <is>
          <t>02:00</t>
        </is>
      </c>
      <c r="AV6" s="53">
        <f>IFERROR(AD6/C6,"")</f>
        <v/>
      </c>
      <c r="AW6" s="53">
        <f>IFERROR(AE6/D6,"")</f>
        <v/>
      </c>
      <c r="AX6" s="53">
        <f>IFERROR(AF6/E6,"")</f>
        <v/>
      </c>
      <c r="AY6" s="53">
        <f>IFERROR(AG6/F6,"")</f>
        <v/>
      </c>
      <c r="AZ6" s="53">
        <f>IFERROR(AH6/G6,"")</f>
        <v/>
      </c>
      <c r="BA6" s="53">
        <f>IFERROR(AI6/H6,"")</f>
        <v/>
      </c>
      <c r="BB6" s="53">
        <f>IFERROR(AJ6/I6,"")</f>
        <v/>
      </c>
      <c r="BD6" s="12" t="inlineStr">
        <is>
          <t>02:00</t>
        </is>
      </c>
      <c r="BE6" s="12">
        <f>IF(C6="","",IF(AV6&gt;=Instructions!$B$15,1,0))</f>
        <v/>
      </c>
      <c r="BF6" s="12">
        <f>IF(D6="","",IF(AW6&gt;=Instructions!$B$15,1,0))</f>
        <v/>
      </c>
      <c r="BG6" s="12">
        <f>IF(E6="","",IF(AX6&gt;=Instructions!$B$15,1,0))</f>
        <v/>
      </c>
      <c r="BH6" s="12">
        <f>IF(F6="","",IF(AY6&gt;=Instructions!$B$15,1,0))</f>
        <v/>
      </c>
      <c r="BI6" s="12">
        <f>IF(G6="","",IF(AZ6&gt;=Instructions!$B$15,1,0))</f>
        <v/>
      </c>
      <c r="BJ6" s="12">
        <f>IF(H6="","",IF(BA6&gt;=Instructions!$B$15,1,0))</f>
        <v/>
      </c>
      <c r="BK6" s="12">
        <f>IF(I6="","",IF(BB6&gt;=Instructions!$B$15,1,0))</f>
        <v/>
      </c>
      <c r="BM6" s="12" t="inlineStr">
        <is>
          <t>02:00</t>
        </is>
      </c>
      <c r="BN6" s="12">
        <f>IF(C6="","",IF(AV6&gt;=Instructions!$B$16,1,0))</f>
        <v/>
      </c>
      <c r="BO6" s="12">
        <f>IF(D6="","",IF(AW6&gt;=Instructions!$B$16,1,0))</f>
        <v/>
      </c>
      <c r="BP6" s="12">
        <f>IF(E6="","",IF(AX6&gt;=Instructions!$B$16,1,0))</f>
        <v/>
      </c>
      <c r="BQ6" s="12">
        <f>IF(F6="","",IF(AY6&gt;=Instructions!$B$16,1,0))</f>
        <v/>
      </c>
      <c r="BR6" s="12">
        <f>IF(G6="","",IF(AZ6&gt;=Instructions!$B$16,1,0))</f>
        <v/>
      </c>
      <c r="BS6" s="12">
        <f>IF(H6="","",IF(BA6&gt;=Instructions!$B$16,1,0))</f>
        <v/>
      </c>
      <c r="BT6" s="12">
        <f>IF(I6="","",IF(BB6&gt;=Instructions!$B$16,1,0))</f>
        <v/>
      </c>
      <c r="BV6" s="12" t="inlineStr">
        <is>
          <t>02:00</t>
        </is>
      </c>
      <c r="BW6" s="12">
        <f>IF(C6="","",IF(ROUND(AV6,6)&gt;=ROUND(Instructions!$B$16-Instructions!$B$17,6),1,0))</f>
        <v/>
      </c>
      <c r="BX6" s="12">
        <f>IF(D6="","",IF(ROUND(AW6,6)&gt;=ROUND(Instructions!$B$16-Instructions!$B$17,6),1,0))</f>
        <v/>
      </c>
      <c r="BY6" s="12">
        <f>IF(E6="","",IF(ROUND(AX6,6)&gt;=ROUND(Instructions!$B$16-Instructions!$B$17,6),1,0))</f>
        <v/>
      </c>
      <c r="BZ6" s="12">
        <f>IF(F6="","",IF(ROUND(AY6,6)&gt;=ROUND(Instructions!$B$16-Instructions!$B$17,6),1,0))</f>
        <v/>
      </c>
      <c r="CA6" s="12">
        <f>IF(G6="","",IF(ROUND(AZ6,6)&gt;=ROUND(Instructions!$B$16-Instructions!$B$17,6),1,0))</f>
        <v/>
      </c>
      <c r="CB6" s="12">
        <f>IF(H6="","",IF(ROUND(BA6,6)&gt;=ROUND(Instructions!$B$16-Instructions!$B$17,6),1,0))</f>
        <v/>
      </c>
      <c r="CC6" s="12">
        <f>IF(I6="","",IF(ROUND(BB6,6)&gt;=ROUND(Instructions!$B$16-Instructions!$B$17,6),1,0))</f>
        <v/>
      </c>
      <c r="CF6" s="12" t="inlineStr">
        <is>
          <t>02:00</t>
        </is>
      </c>
      <c r="CG6" s="12">
        <f>IF(C6="","",AD6-C6)</f>
        <v/>
      </c>
      <c r="CH6" s="12">
        <f>IF(D6="","",AE6-D6)</f>
        <v/>
      </c>
      <c r="CI6" s="12">
        <f>IF(E6="","",AF6-E6)</f>
        <v/>
      </c>
      <c r="CJ6" s="12">
        <f>IF(F6="","",AG6-F6)</f>
        <v/>
      </c>
      <c r="CK6" s="12">
        <f>IF(G6="","",AH6-G6)</f>
        <v/>
      </c>
      <c r="CL6" s="12">
        <f>IF(H6="","",AI6-H6)</f>
        <v/>
      </c>
      <c r="CM6" s="12">
        <f>IF(I6="","",AJ6-I6)</f>
        <v/>
      </c>
    </row>
    <row r="7">
      <c r="B7" s="12" t="inlineStr">
        <is>
          <t>03:00</t>
        </is>
      </c>
      <c r="C7" s="16" t="n"/>
      <c r="D7" s="16" t="n"/>
      <c r="E7" s="16" t="n"/>
      <c r="F7" s="16" t="n"/>
      <c r="G7" s="16" t="n"/>
      <c r="H7" s="16" t="n"/>
      <c r="I7" s="16" t="n"/>
      <c r="K7" s="12" t="inlineStr">
        <is>
          <t>03:00</t>
        </is>
      </c>
      <c r="L7" s="12">
        <f>IF(C7="","",COUNTIFS('Scheduler Engine'!$N$2:$N$1751,1,'Scheduler Engine'!$L$2:$L$1751,"&lt;="&amp;((0)*24+VALUE(LEFT($K7,2))),'Scheduler Engine'!$M$2:$M$1751,"&gt;"&amp;((0)*24+VALUE(LEFT($K7,2))))+COUNTIFS('Previous Engine'!$K$2:$K$251,1,'Previous Engine'!$H$2:$H$251,"&lt;="&amp;VALUE(LEFT($K7,2)),'Previous Engine'!$I$2:$I$251,"&gt;"&amp;VALUE(LEFT($K7,2))))</f>
        <v/>
      </c>
      <c r="M7" s="12">
        <f>IF(D7="","",COUNTIFS('Scheduler Engine'!$N$2:$N$1751,1,'Scheduler Engine'!$L$2:$L$1751,"&lt;="&amp;((1)*24+VALUE(LEFT($K7,2))),'Scheduler Engine'!$M$2:$M$1751,"&gt;"&amp;((1)*24+VALUE(LEFT($K7,2)))))</f>
        <v/>
      </c>
      <c r="N7" s="12">
        <f>IF(E7="","",COUNTIFS('Scheduler Engine'!$N$2:$N$1751,1,'Scheduler Engine'!$L$2:$L$1751,"&lt;="&amp;((2)*24+VALUE(LEFT($K7,2))),'Scheduler Engine'!$M$2:$M$1751,"&gt;"&amp;((2)*24+VALUE(LEFT($K7,2)))))</f>
        <v/>
      </c>
      <c r="O7" s="12">
        <f>IF(F7="","",COUNTIFS('Scheduler Engine'!$N$2:$N$1751,1,'Scheduler Engine'!$L$2:$L$1751,"&lt;="&amp;((3)*24+VALUE(LEFT($K7,2))),'Scheduler Engine'!$M$2:$M$1751,"&gt;"&amp;((3)*24+VALUE(LEFT($K7,2)))))</f>
        <v/>
      </c>
      <c r="P7" s="12">
        <f>IF(G7="","",COUNTIFS('Scheduler Engine'!$N$2:$N$1751,1,'Scheduler Engine'!$L$2:$L$1751,"&lt;="&amp;((4)*24+VALUE(LEFT($K7,2))),'Scheduler Engine'!$M$2:$M$1751,"&gt;"&amp;((4)*24+VALUE(LEFT($K7,2)))))</f>
        <v/>
      </c>
      <c r="Q7" s="12">
        <f>IF(H7="","",COUNTIFS('Scheduler Engine'!$N$2:$N$1751,1,'Scheduler Engine'!$L$2:$L$1751,"&lt;="&amp;((5)*24+VALUE(LEFT($K7,2))),'Scheduler Engine'!$M$2:$M$1751,"&gt;"&amp;((5)*24+VALUE(LEFT($K7,2)))))</f>
        <v/>
      </c>
      <c r="R7" s="12">
        <f>IF(I7="","",COUNTIFS('Scheduler Engine'!$N$2:$N$1751,1,'Scheduler Engine'!$L$2:$L$1751,"&lt;="&amp;((6)*24+VALUE(LEFT($K7,2))),'Scheduler Engine'!$M$2:$M$1751,"&gt;"&amp;((6)*24+VALUE(LEFT($K7,2)))))</f>
        <v/>
      </c>
      <c r="AC7" s="12" t="inlineStr">
        <is>
          <t>03:00</t>
        </is>
      </c>
      <c r="AD7" s="12">
        <f>IF(C7="","",L7*(1-(IF(IFERROR(INDEX(Instructions!$B:$B,MATCH("Shrinkage Source",Instructions!$A:$A,0)),"Shrinkage Sheet")="Shrinkage Sheet",IFERROR(IF(Shrinkage!B7="-",IF(C7&lt;IFERROR(INDEX(Instructions!$B:$B,MATCH("Shrinkage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FTEs",Instructions!$A:$A,0)),12%)),Shrinkage!B7),IF(C7&lt;IFERROR(INDEX(Instructions!$B:$B,MATCH("Shrinkage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7" s="12">
        <f>IF(D7="","",M7*(1-(IF(IFERROR(INDEX(Instructions!$B:$B,MATCH("Shrinkage Source",Instructions!$A:$A,0)),"Shrinkage Sheet")="Shrinkage Sheet",IFERROR(IF(Shrinkage!C7="-",IF(D7&lt;IFERROR(INDEX(Instructions!$B:$B,MATCH("Shrinkage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FTEs",Instructions!$A:$A,0)),12%)),Shrinkage!C7),IF(D7&lt;IFERROR(INDEX(Instructions!$B:$B,MATCH("Shrinkage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7" s="12">
        <f>IF(E7="","",N7*(1-(IF(IFERROR(INDEX(Instructions!$B:$B,MATCH("Shrinkage Source",Instructions!$A:$A,0)),"Shrinkage Sheet")="Shrinkage Sheet",IFERROR(IF(Shrinkage!D7="-",IF(E7&lt;IFERROR(INDEX(Instructions!$B:$B,MATCH("Shrinkage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FTEs",Instructions!$A:$A,0)),12%)),Shrinkage!D7),IF(E7&lt;IFERROR(INDEX(Instructions!$B:$B,MATCH("Shrinkage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7" s="12">
        <f>IF(F7="","",O7*(1-(IF(IFERROR(INDEX(Instructions!$B:$B,MATCH("Shrinkage Source",Instructions!$A:$A,0)),"Shrinkage Sheet")="Shrinkage Sheet",IFERROR(IF(Shrinkage!E7="-",IF(F7&lt;IFERROR(INDEX(Instructions!$B:$B,MATCH("Shrinkage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FTEs",Instructions!$A:$A,0)),12%)),Shrinkage!E7),IF(F7&lt;IFERROR(INDEX(Instructions!$B:$B,MATCH("Shrinkage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7" s="12">
        <f>IF(G7="","",P7*(1-(IF(IFERROR(INDEX(Instructions!$B:$B,MATCH("Shrinkage Source",Instructions!$A:$A,0)),"Shrinkage Sheet")="Shrinkage Sheet",IFERROR(IF(Shrinkage!F7="-",IF(G7&lt;IFERROR(INDEX(Instructions!$B:$B,MATCH("Shrinkage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FTEs",Instructions!$A:$A,0)),12%)),Shrinkage!F7),IF(G7&lt;IFERROR(INDEX(Instructions!$B:$B,MATCH("Shrinkage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7" s="12">
        <f>IF(H7="","",Q7*(1-(IF(IFERROR(INDEX(Instructions!$B:$B,MATCH("Shrinkage Source",Instructions!$A:$A,0)),"Shrinkage Sheet")="Shrinkage Sheet",IFERROR(IF(Shrinkage!G7="-",IF(H7&lt;IFERROR(INDEX(Instructions!$B:$B,MATCH("Shrinkage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FTEs",Instructions!$A:$A,0)),12%)),Shrinkage!G7),IF(H7&lt;IFERROR(INDEX(Instructions!$B:$B,MATCH("Shrinkage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7" s="12">
        <f>IF(I7="","",R7*(1-(IF(IFERROR(INDEX(Instructions!$B:$B,MATCH("Shrinkage Source",Instructions!$A:$A,0)),"Shrinkage Sheet")="Shrinkage Sheet",IFERROR(IF(Shrinkage!H7="-",IF(I7&lt;IFERROR(INDEX(Instructions!$B:$B,MATCH("Shrinkage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FTEs",Instructions!$A:$A,0)),12%)),Shrinkage!H7),IF(I7&lt;IFERROR(INDEX(Instructions!$B:$B,MATCH("Shrinkage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7" s="12" t="inlineStr">
        <is>
          <t>03:00</t>
        </is>
      </c>
      <c r="AV7" s="53">
        <f>IFERROR(AD7/C7,"")</f>
        <v/>
      </c>
      <c r="AW7" s="53">
        <f>IFERROR(AE7/D7,"")</f>
        <v/>
      </c>
      <c r="AX7" s="53">
        <f>IFERROR(AF7/E7,"")</f>
        <v/>
      </c>
      <c r="AY7" s="53">
        <f>IFERROR(AG7/F7,"")</f>
        <v/>
      </c>
      <c r="AZ7" s="53">
        <f>IFERROR(AH7/G7,"")</f>
        <v/>
      </c>
      <c r="BA7" s="53">
        <f>IFERROR(AI7/H7,"")</f>
        <v/>
      </c>
      <c r="BB7" s="53">
        <f>IFERROR(AJ7/I7,"")</f>
        <v/>
      </c>
      <c r="BD7" s="12" t="inlineStr">
        <is>
          <t>03:00</t>
        </is>
      </c>
      <c r="BE7" s="12">
        <f>IF(C7="","",IF(AV7&gt;=Instructions!$B$15,1,0))</f>
        <v/>
      </c>
      <c r="BF7" s="12">
        <f>IF(D7="","",IF(AW7&gt;=Instructions!$B$15,1,0))</f>
        <v/>
      </c>
      <c r="BG7" s="12">
        <f>IF(E7="","",IF(AX7&gt;=Instructions!$B$15,1,0))</f>
        <v/>
      </c>
      <c r="BH7" s="12">
        <f>IF(F7="","",IF(AY7&gt;=Instructions!$B$15,1,0))</f>
        <v/>
      </c>
      <c r="BI7" s="12">
        <f>IF(G7="","",IF(AZ7&gt;=Instructions!$B$15,1,0))</f>
        <v/>
      </c>
      <c r="BJ7" s="12">
        <f>IF(H7="","",IF(BA7&gt;=Instructions!$B$15,1,0))</f>
        <v/>
      </c>
      <c r="BK7" s="12">
        <f>IF(I7="","",IF(BB7&gt;=Instructions!$B$15,1,0))</f>
        <v/>
      </c>
      <c r="BM7" s="12" t="inlineStr">
        <is>
          <t>03:00</t>
        </is>
      </c>
      <c r="BN7" s="12">
        <f>IF(C7="","",IF(AV7&gt;=Instructions!$B$16,1,0))</f>
        <v/>
      </c>
      <c r="BO7" s="12">
        <f>IF(D7="","",IF(AW7&gt;=Instructions!$B$16,1,0))</f>
        <v/>
      </c>
      <c r="BP7" s="12">
        <f>IF(E7="","",IF(AX7&gt;=Instructions!$B$16,1,0))</f>
        <v/>
      </c>
      <c r="BQ7" s="12">
        <f>IF(F7="","",IF(AY7&gt;=Instructions!$B$16,1,0))</f>
        <v/>
      </c>
      <c r="BR7" s="12">
        <f>IF(G7="","",IF(AZ7&gt;=Instructions!$B$16,1,0))</f>
        <v/>
      </c>
      <c r="BS7" s="12">
        <f>IF(H7="","",IF(BA7&gt;=Instructions!$B$16,1,0))</f>
        <v/>
      </c>
      <c r="BT7" s="12">
        <f>IF(I7="","",IF(BB7&gt;=Instructions!$B$16,1,0))</f>
        <v/>
      </c>
      <c r="BV7" s="12" t="inlineStr">
        <is>
          <t>03:00</t>
        </is>
      </c>
      <c r="BW7" s="12">
        <f>IF(C7="","",IF(ROUND(AV7,6)&gt;=ROUND(Instructions!$B$16-Instructions!$B$17,6),1,0))</f>
        <v/>
      </c>
      <c r="BX7" s="12">
        <f>IF(D7="","",IF(ROUND(AW7,6)&gt;=ROUND(Instructions!$B$16-Instructions!$B$17,6),1,0))</f>
        <v/>
      </c>
      <c r="BY7" s="12">
        <f>IF(E7="","",IF(ROUND(AX7,6)&gt;=ROUND(Instructions!$B$16-Instructions!$B$17,6),1,0))</f>
        <v/>
      </c>
      <c r="BZ7" s="12">
        <f>IF(F7="","",IF(ROUND(AY7,6)&gt;=ROUND(Instructions!$B$16-Instructions!$B$17,6),1,0))</f>
        <v/>
      </c>
      <c r="CA7" s="12">
        <f>IF(G7="","",IF(ROUND(AZ7,6)&gt;=ROUND(Instructions!$B$16-Instructions!$B$17,6),1,0))</f>
        <v/>
      </c>
      <c r="CB7" s="12">
        <f>IF(H7="","",IF(ROUND(BA7,6)&gt;=ROUND(Instructions!$B$16-Instructions!$B$17,6),1,0))</f>
        <v/>
      </c>
      <c r="CC7" s="12">
        <f>IF(I7="","",IF(ROUND(BB7,6)&gt;=ROUND(Instructions!$B$16-Instructions!$B$17,6),1,0))</f>
        <v/>
      </c>
      <c r="CF7" s="12" t="inlineStr">
        <is>
          <t>03:00</t>
        </is>
      </c>
      <c r="CG7" s="12">
        <f>IF(C7="","",AD7-C7)</f>
        <v/>
      </c>
      <c r="CH7" s="12">
        <f>IF(D7="","",AE7-D7)</f>
        <v/>
      </c>
      <c r="CI7" s="12">
        <f>IF(E7="","",AF7-E7)</f>
        <v/>
      </c>
      <c r="CJ7" s="12">
        <f>IF(F7="","",AG7-F7)</f>
        <v/>
      </c>
      <c r="CK7" s="12">
        <f>IF(G7="","",AH7-G7)</f>
        <v/>
      </c>
      <c r="CL7" s="12">
        <f>IF(H7="","",AI7-H7)</f>
        <v/>
      </c>
      <c r="CM7" s="12">
        <f>IF(I7="","",AJ7-I7)</f>
        <v/>
      </c>
    </row>
    <row r="8">
      <c r="B8" s="12" t="inlineStr">
        <is>
          <t>04:00</t>
        </is>
      </c>
      <c r="C8" s="16" t="n"/>
      <c r="D8" s="16" t="n"/>
      <c r="E8" s="16" t="n"/>
      <c r="F8" s="16" t="n"/>
      <c r="G8" s="16" t="n"/>
      <c r="H8" s="16" t="n"/>
      <c r="I8" s="16" t="n"/>
      <c r="K8" s="12" t="inlineStr">
        <is>
          <t>04:00</t>
        </is>
      </c>
      <c r="L8" s="12">
        <f>IF(C8="","",COUNTIFS('Scheduler Engine'!$N$2:$N$1751,1,'Scheduler Engine'!$L$2:$L$1751,"&lt;="&amp;((0)*24+VALUE(LEFT($K8,2))),'Scheduler Engine'!$M$2:$M$1751,"&gt;"&amp;((0)*24+VALUE(LEFT($K8,2))))+COUNTIFS('Previous Engine'!$K$2:$K$251,1,'Previous Engine'!$H$2:$H$251,"&lt;="&amp;VALUE(LEFT($K8,2)),'Previous Engine'!$I$2:$I$251,"&gt;"&amp;VALUE(LEFT($K8,2))))</f>
        <v/>
      </c>
      <c r="M8" s="12">
        <f>IF(D8="","",COUNTIFS('Scheduler Engine'!$N$2:$N$1751,1,'Scheduler Engine'!$L$2:$L$1751,"&lt;="&amp;((1)*24+VALUE(LEFT($K8,2))),'Scheduler Engine'!$M$2:$M$1751,"&gt;"&amp;((1)*24+VALUE(LEFT($K8,2)))))</f>
        <v/>
      </c>
      <c r="N8" s="12">
        <f>IF(E8="","",COUNTIFS('Scheduler Engine'!$N$2:$N$1751,1,'Scheduler Engine'!$L$2:$L$1751,"&lt;="&amp;((2)*24+VALUE(LEFT($K8,2))),'Scheduler Engine'!$M$2:$M$1751,"&gt;"&amp;((2)*24+VALUE(LEFT($K8,2)))))</f>
        <v/>
      </c>
      <c r="O8" s="12">
        <f>IF(F8="","",COUNTIFS('Scheduler Engine'!$N$2:$N$1751,1,'Scheduler Engine'!$L$2:$L$1751,"&lt;="&amp;((3)*24+VALUE(LEFT($K8,2))),'Scheduler Engine'!$M$2:$M$1751,"&gt;"&amp;((3)*24+VALUE(LEFT($K8,2)))))</f>
        <v/>
      </c>
      <c r="P8" s="12">
        <f>IF(G8="","",COUNTIFS('Scheduler Engine'!$N$2:$N$1751,1,'Scheduler Engine'!$L$2:$L$1751,"&lt;="&amp;((4)*24+VALUE(LEFT($K8,2))),'Scheduler Engine'!$M$2:$M$1751,"&gt;"&amp;((4)*24+VALUE(LEFT($K8,2)))))</f>
        <v/>
      </c>
      <c r="Q8" s="12">
        <f>IF(H8="","",COUNTIFS('Scheduler Engine'!$N$2:$N$1751,1,'Scheduler Engine'!$L$2:$L$1751,"&lt;="&amp;((5)*24+VALUE(LEFT($K8,2))),'Scheduler Engine'!$M$2:$M$1751,"&gt;"&amp;((5)*24+VALUE(LEFT($K8,2)))))</f>
        <v/>
      </c>
      <c r="R8" s="12">
        <f>IF(I8="","",COUNTIFS('Scheduler Engine'!$N$2:$N$1751,1,'Scheduler Engine'!$L$2:$L$1751,"&lt;="&amp;((6)*24+VALUE(LEFT($K8,2))),'Scheduler Engine'!$M$2:$M$1751,"&gt;"&amp;((6)*24+VALUE(LEFT($K8,2)))))</f>
        <v/>
      </c>
      <c r="AC8" s="12" t="inlineStr">
        <is>
          <t>04:00</t>
        </is>
      </c>
      <c r="AD8" s="12">
        <f>IF(C8="","",L8*(1-(IF(IFERROR(INDEX(Instructions!$B:$B,MATCH("Shrinkage Source",Instructions!$A:$A,0)),"Shrinkage Sheet")="Shrinkage Sheet",IFERROR(IF(Shrinkage!B8="-",IF(C8&lt;IFERROR(INDEX(Instructions!$B:$B,MATCH("Shrinkage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FTEs",Instructions!$A:$A,0)),12%)),Shrinkage!B8),IF(C8&lt;IFERROR(INDEX(Instructions!$B:$B,MATCH("Shrinkage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8" s="12">
        <f>IF(D8="","",M8*(1-(IF(IFERROR(INDEX(Instructions!$B:$B,MATCH("Shrinkage Source",Instructions!$A:$A,0)),"Shrinkage Sheet")="Shrinkage Sheet",IFERROR(IF(Shrinkage!C8="-",IF(D8&lt;IFERROR(INDEX(Instructions!$B:$B,MATCH("Shrinkage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FTEs",Instructions!$A:$A,0)),12%)),Shrinkage!C8),IF(D8&lt;IFERROR(INDEX(Instructions!$B:$B,MATCH("Shrinkage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8" s="12">
        <f>IF(E8="","",N8*(1-(IF(IFERROR(INDEX(Instructions!$B:$B,MATCH("Shrinkage Source",Instructions!$A:$A,0)),"Shrinkage Sheet")="Shrinkage Sheet",IFERROR(IF(Shrinkage!D8="-",IF(E8&lt;IFERROR(INDEX(Instructions!$B:$B,MATCH("Shrinkage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FTEs",Instructions!$A:$A,0)),12%)),Shrinkage!D8),IF(E8&lt;IFERROR(INDEX(Instructions!$B:$B,MATCH("Shrinkage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8" s="12">
        <f>IF(F8="","",O8*(1-(IF(IFERROR(INDEX(Instructions!$B:$B,MATCH("Shrinkage Source",Instructions!$A:$A,0)),"Shrinkage Sheet")="Shrinkage Sheet",IFERROR(IF(Shrinkage!E8="-",IF(F8&lt;IFERROR(INDEX(Instructions!$B:$B,MATCH("Shrinkage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FTEs",Instructions!$A:$A,0)),12%)),Shrinkage!E8),IF(F8&lt;IFERROR(INDEX(Instructions!$B:$B,MATCH("Shrinkage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8" s="12">
        <f>IF(G8="","",P8*(1-(IF(IFERROR(INDEX(Instructions!$B:$B,MATCH("Shrinkage Source",Instructions!$A:$A,0)),"Shrinkage Sheet")="Shrinkage Sheet",IFERROR(IF(Shrinkage!F8="-",IF(G8&lt;IFERROR(INDEX(Instructions!$B:$B,MATCH("Shrinkage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FTEs",Instructions!$A:$A,0)),12%)),Shrinkage!F8),IF(G8&lt;IFERROR(INDEX(Instructions!$B:$B,MATCH("Shrinkage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8" s="12">
        <f>IF(H8="","",Q8*(1-(IF(IFERROR(INDEX(Instructions!$B:$B,MATCH("Shrinkage Source",Instructions!$A:$A,0)),"Shrinkage Sheet")="Shrinkage Sheet",IFERROR(IF(Shrinkage!G8="-",IF(H8&lt;IFERROR(INDEX(Instructions!$B:$B,MATCH("Shrinkage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FTEs",Instructions!$A:$A,0)),12%)),Shrinkage!G8),IF(H8&lt;IFERROR(INDEX(Instructions!$B:$B,MATCH("Shrinkage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8" s="12">
        <f>IF(I8="","",R8*(1-(IF(IFERROR(INDEX(Instructions!$B:$B,MATCH("Shrinkage Source",Instructions!$A:$A,0)),"Shrinkage Sheet")="Shrinkage Sheet",IFERROR(IF(Shrinkage!H8="-",IF(I8&lt;IFERROR(INDEX(Instructions!$B:$B,MATCH("Shrinkage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FTEs",Instructions!$A:$A,0)),12%)),Shrinkage!H8),IF(I8&lt;IFERROR(INDEX(Instructions!$B:$B,MATCH("Shrinkage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8" s="12" t="inlineStr">
        <is>
          <t>04:00</t>
        </is>
      </c>
      <c r="AV8" s="53">
        <f>IFERROR(AD8/C8,"")</f>
        <v/>
      </c>
      <c r="AW8" s="53">
        <f>IFERROR(AE8/D8,"")</f>
        <v/>
      </c>
      <c r="AX8" s="53">
        <f>IFERROR(AF8/E8,"")</f>
        <v/>
      </c>
      <c r="AY8" s="53">
        <f>IFERROR(AG8/F8,"")</f>
        <v/>
      </c>
      <c r="AZ8" s="53">
        <f>IFERROR(AH8/G8,"")</f>
        <v/>
      </c>
      <c r="BA8" s="53">
        <f>IFERROR(AI8/H8,"")</f>
        <v/>
      </c>
      <c r="BB8" s="53">
        <f>IFERROR(AJ8/I8,"")</f>
        <v/>
      </c>
      <c r="BD8" s="12" t="inlineStr">
        <is>
          <t>04:00</t>
        </is>
      </c>
      <c r="BE8" s="12">
        <f>IF(C8="","",IF(AV8&gt;=Instructions!$B$15,1,0))</f>
        <v/>
      </c>
      <c r="BF8" s="12">
        <f>IF(D8="","",IF(AW8&gt;=Instructions!$B$15,1,0))</f>
        <v/>
      </c>
      <c r="BG8" s="12">
        <f>IF(E8="","",IF(AX8&gt;=Instructions!$B$15,1,0))</f>
        <v/>
      </c>
      <c r="BH8" s="12">
        <f>IF(F8="","",IF(AY8&gt;=Instructions!$B$15,1,0))</f>
        <v/>
      </c>
      <c r="BI8" s="12">
        <f>IF(G8="","",IF(AZ8&gt;=Instructions!$B$15,1,0))</f>
        <v/>
      </c>
      <c r="BJ8" s="12">
        <f>IF(H8="","",IF(BA8&gt;=Instructions!$B$15,1,0))</f>
        <v/>
      </c>
      <c r="BK8" s="12">
        <f>IF(I8="","",IF(BB8&gt;=Instructions!$B$15,1,0))</f>
        <v/>
      </c>
      <c r="BM8" s="12" t="inlineStr">
        <is>
          <t>04:00</t>
        </is>
      </c>
      <c r="BN8" s="12">
        <f>IF(C8="","",IF(AV8&gt;=Instructions!$B$16,1,0))</f>
        <v/>
      </c>
      <c r="BO8" s="12">
        <f>IF(D8="","",IF(AW8&gt;=Instructions!$B$16,1,0))</f>
        <v/>
      </c>
      <c r="BP8" s="12">
        <f>IF(E8="","",IF(AX8&gt;=Instructions!$B$16,1,0))</f>
        <v/>
      </c>
      <c r="BQ8" s="12">
        <f>IF(F8="","",IF(AY8&gt;=Instructions!$B$16,1,0))</f>
        <v/>
      </c>
      <c r="BR8" s="12">
        <f>IF(G8="","",IF(AZ8&gt;=Instructions!$B$16,1,0))</f>
        <v/>
      </c>
      <c r="BS8" s="12">
        <f>IF(H8="","",IF(BA8&gt;=Instructions!$B$16,1,0))</f>
        <v/>
      </c>
      <c r="BT8" s="12">
        <f>IF(I8="","",IF(BB8&gt;=Instructions!$B$16,1,0))</f>
        <v/>
      </c>
      <c r="BV8" s="12" t="inlineStr">
        <is>
          <t>04:00</t>
        </is>
      </c>
      <c r="BW8" s="12">
        <f>IF(C8="","",IF(ROUND(AV8,6)&gt;=ROUND(Instructions!$B$16-Instructions!$B$17,6),1,0))</f>
        <v/>
      </c>
      <c r="BX8" s="12">
        <f>IF(D8="","",IF(ROUND(AW8,6)&gt;=ROUND(Instructions!$B$16-Instructions!$B$17,6),1,0))</f>
        <v/>
      </c>
      <c r="BY8" s="12">
        <f>IF(E8="","",IF(ROUND(AX8,6)&gt;=ROUND(Instructions!$B$16-Instructions!$B$17,6),1,0))</f>
        <v/>
      </c>
      <c r="BZ8" s="12">
        <f>IF(F8="","",IF(ROUND(AY8,6)&gt;=ROUND(Instructions!$B$16-Instructions!$B$17,6),1,0))</f>
        <v/>
      </c>
      <c r="CA8" s="12">
        <f>IF(G8="","",IF(ROUND(AZ8,6)&gt;=ROUND(Instructions!$B$16-Instructions!$B$17,6),1,0))</f>
        <v/>
      </c>
      <c r="CB8" s="12">
        <f>IF(H8="","",IF(ROUND(BA8,6)&gt;=ROUND(Instructions!$B$16-Instructions!$B$17,6),1,0))</f>
        <v/>
      </c>
      <c r="CC8" s="12">
        <f>IF(I8="","",IF(ROUND(BB8,6)&gt;=ROUND(Instructions!$B$16-Instructions!$B$17,6),1,0))</f>
        <v/>
      </c>
      <c r="CF8" s="12" t="inlineStr">
        <is>
          <t>04:00</t>
        </is>
      </c>
      <c r="CG8" s="12">
        <f>IF(C8="","",AD8-C8)</f>
        <v/>
      </c>
      <c r="CH8" s="12">
        <f>IF(D8="","",AE8-D8)</f>
        <v/>
      </c>
      <c r="CI8" s="12">
        <f>IF(E8="","",AF8-E8)</f>
        <v/>
      </c>
      <c r="CJ8" s="12">
        <f>IF(F8="","",AG8-F8)</f>
        <v/>
      </c>
      <c r="CK8" s="12">
        <f>IF(G8="","",AH8-G8)</f>
        <v/>
      </c>
      <c r="CL8" s="12">
        <f>IF(H8="","",AI8-H8)</f>
        <v/>
      </c>
      <c r="CM8" s="12">
        <f>IF(I8="","",AJ8-I8)</f>
        <v/>
      </c>
    </row>
    <row r="9">
      <c r="B9" s="12" t="inlineStr">
        <is>
          <t>05:00</t>
        </is>
      </c>
      <c r="C9" s="16" t="n"/>
      <c r="D9" s="16" t="n"/>
      <c r="E9" s="16" t="n"/>
      <c r="F9" s="16" t="n"/>
      <c r="G9" s="16" t="n"/>
      <c r="H9" s="16" t="n"/>
      <c r="I9" s="16" t="n"/>
      <c r="K9" s="12" t="inlineStr">
        <is>
          <t>05:00</t>
        </is>
      </c>
      <c r="L9" s="12">
        <f>IF(C9="","",COUNTIFS('Scheduler Engine'!$N$2:$N$1751,1,'Scheduler Engine'!$L$2:$L$1751,"&lt;="&amp;((0)*24+VALUE(LEFT($K9,2))),'Scheduler Engine'!$M$2:$M$1751,"&gt;"&amp;((0)*24+VALUE(LEFT($K9,2))))+COUNTIFS('Previous Engine'!$K$2:$K$251,1,'Previous Engine'!$H$2:$H$251,"&lt;="&amp;VALUE(LEFT($K9,2)),'Previous Engine'!$I$2:$I$251,"&gt;"&amp;VALUE(LEFT($K9,2))))</f>
        <v/>
      </c>
      <c r="M9" s="12">
        <f>IF(D9="","",COUNTIFS('Scheduler Engine'!$N$2:$N$1751,1,'Scheduler Engine'!$L$2:$L$1751,"&lt;="&amp;((1)*24+VALUE(LEFT($K9,2))),'Scheduler Engine'!$M$2:$M$1751,"&gt;"&amp;((1)*24+VALUE(LEFT($K9,2)))))</f>
        <v/>
      </c>
      <c r="N9" s="12">
        <f>IF(E9="","",COUNTIFS('Scheduler Engine'!$N$2:$N$1751,1,'Scheduler Engine'!$L$2:$L$1751,"&lt;="&amp;((2)*24+VALUE(LEFT($K9,2))),'Scheduler Engine'!$M$2:$M$1751,"&gt;"&amp;((2)*24+VALUE(LEFT($K9,2)))))</f>
        <v/>
      </c>
      <c r="O9" s="12">
        <f>IF(F9="","",COUNTIFS('Scheduler Engine'!$N$2:$N$1751,1,'Scheduler Engine'!$L$2:$L$1751,"&lt;="&amp;((3)*24+VALUE(LEFT($K9,2))),'Scheduler Engine'!$M$2:$M$1751,"&gt;"&amp;((3)*24+VALUE(LEFT($K9,2)))))</f>
        <v/>
      </c>
      <c r="P9" s="12">
        <f>IF(G9="","",COUNTIFS('Scheduler Engine'!$N$2:$N$1751,1,'Scheduler Engine'!$L$2:$L$1751,"&lt;="&amp;((4)*24+VALUE(LEFT($K9,2))),'Scheduler Engine'!$M$2:$M$1751,"&gt;"&amp;((4)*24+VALUE(LEFT($K9,2)))))</f>
        <v/>
      </c>
      <c r="Q9" s="12">
        <f>IF(H9="","",COUNTIFS('Scheduler Engine'!$N$2:$N$1751,1,'Scheduler Engine'!$L$2:$L$1751,"&lt;="&amp;((5)*24+VALUE(LEFT($K9,2))),'Scheduler Engine'!$M$2:$M$1751,"&gt;"&amp;((5)*24+VALUE(LEFT($K9,2)))))</f>
        <v/>
      </c>
      <c r="R9" s="12">
        <f>IF(I9="","",COUNTIFS('Scheduler Engine'!$N$2:$N$1751,1,'Scheduler Engine'!$L$2:$L$1751,"&lt;="&amp;((6)*24+VALUE(LEFT($K9,2))),'Scheduler Engine'!$M$2:$M$1751,"&gt;"&amp;((6)*24+VALUE(LEFT($K9,2)))))</f>
        <v/>
      </c>
      <c r="AC9" s="12" t="inlineStr">
        <is>
          <t>05:00</t>
        </is>
      </c>
      <c r="AD9" s="12">
        <f>IF(C9="","",L9*(1-(IF(IFERROR(INDEX(Instructions!$B:$B,MATCH("Shrinkage Source",Instructions!$A:$A,0)),"Shrinkage Sheet")="Shrinkage Sheet",IFERROR(IF(Shrinkage!B9="-",IF(C9&lt;IFERROR(INDEX(Instructions!$B:$B,MATCH("Shrinkage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FTEs",Instructions!$A:$A,0)),12%)),Shrinkage!B9),IF(C9&lt;IFERROR(INDEX(Instructions!$B:$B,MATCH("Shrinkage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9" s="12">
        <f>IF(D9="","",M9*(1-(IF(IFERROR(INDEX(Instructions!$B:$B,MATCH("Shrinkage Source",Instructions!$A:$A,0)),"Shrinkage Sheet")="Shrinkage Sheet",IFERROR(IF(Shrinkage!C9="-",IF(D9&lt;IFERROR(INDEX(Instructions!$B:$B,MATCH("Shrinkage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FTEs",Instructions!$A:$A,0)),12%)),Shrinkage!C9),IF(D9&lt;IFERROR(INDEX(Instructions!$B:$B,MATCH("Shrinkage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9" s="12">
        <f>IF(E9="","",N9*(1-(IF(IFERROR(INDEX(Instructions!$B:$B,MATCH("Shrinkage Source",Instructions!$A:$A,0)),"Shrinkage Sheet")="Shrinkage Sheet",IFERROR(IF(Shrinkage!D9="-",IF(E9&lt;IFERROR(INDEX(Instructions!$B:$B,MATCH("Shrinkage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FTEs",Instructions!$A:$A,0)),12%)),Shrinkage!D9),IF(E9&lt;IFERROR(INDEX(Instructions!$B:$B,MATCH("Shrinkage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9" s="12">
        <f>IF(F9="","",O9*(1-(IF(IFERROR(INDEX(Instructions!$B:$B,MATCH("Shrinkage Source",Instructions!$A:$A,0)),"Shrinkage Sheet")="Shrinkage Sheet",IFERROR(IF(Shrinkage!E9="-",IF(F9&lt;IFERROR(INDEX(Instructions!$B:$B,MATCH("Shrinkage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FTEs",Instructions!$A:$A,0)),12%)),Shrinkage!E9),IF(F9&lt;IFERROR(INDEX(Instructions!$B:$B,MATCH("Shrinkage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9" s="12">
        <f>IF(G9="","",P9*(1-(IF(IFERROR(INDEX(Instructions!$B:$B,MATCH("Shrinkage Source",Instructions!$A:$A,0)),"Shrinkage Sheet")="Shrinkage Sheet",IFERROR(IF(Shrinkage!F9="-",IF(G9&lt;IFERROR(INDEX(Instructions!$B:$B,MATCH("Shrinkage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FTEs",Instructions!$A:$A,0)),12%)),Shrinkage!F9),IF(G9&lt;IFERROR(INDEX(Instructions!$B:$B,MATCH("Shrinkage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9" s="12">
        <f>IF(H9="","",Q9*(1-(IF(IFERROR(INDEX(Instructions!$B:$B,MATCH("Shrinkage Source",Instructions!$A:$A,0)),"Shrinkage Sheet")="Shrinkage Sheet",IFERROR(IF(Shrinkage!G9="-",IF(H9&lt;IFERROR(INDEX(Instructions!$B:$B,MATCH("Shrinkage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FTEs",Instructions!$A:$A,0)),12%)),Shrinkage!G9),IF(H9&lt;IFERROR(INDEX(Instructions!$B:$B,MATCH("Shrinkage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9" s="12">
        <f>IF(I9="","",R9*(1-(IF(IFERROR(INDEX(Instructions!$B:$B,MATCH("Shrinkage Source",Instructions!$A:$A,0)),"Shrinkage Sheet")="Shrinkage Sheet",IFERROR(IF(Shrinkage!H9="-",IF(I9&lt;IFERROR(INDEX(Instructions!$B:$B,MATCH("Shrinkage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FTEs",Instructions!$A:$A,0)),12%)),Shrinkage!H9),IF(I9&lt;IFERROR(INDEX(Instructions!$B:$B,MATCH("Shrinkage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9" s="12" t="inlineStr">
        <is>
          <t>05:00</t>
        </is>
      </c>
      <c r="AV9" s="53">
        <f>IFERROR(AD9/C9,"")</f>
        <v/>
      </c>
      <c r="AW9" s="53">
        <f>IFERROR(AE9/D9,"")</f>
        <v/>
      </c>
      <c r="AX9" s="53">
        <f>IFERROR(AF9/E9,"")</f>
        <v/>
      </c>
      <c r="AY9" s="53">
        <f>IFERROR(AG9/F9,"")</f>
        <v/>
      </c>
      <c r="AZ9" s="53">
        <f>IFERROR(AH9/G9,"")</f>
        <v/>
      </c>
      <c r="BA9" s="53">
        <f>IFERROR(AI9/H9,"")</f>
        <v/>
      </c>
      <c r="BB9" s="53">
        <f>IFERROR(AJ9/I9,"")</f>
        <v/>
      </c>
      <c r="BD9" s="12" t="inlineStr">
        <is>
          <t>05:00</t>
        </is>
      </c>
      <c r="BE9" s="12">
        <f>IF(C9="","",IF(AV9&gt;=Instructions!$B$15,1,0))</f>
        <v/>
      </c>
      <c r="BF9" s="12">
        <f>IF(D9="","",IF(AW9&gt;=Instructions!$B$15,1,0))</f>
        <v/>
      </c>
      <c r="BG9" s="12">
        <f>IF(E9="","",IF(AX9&gt;=Instructions!$B$15,1,0))</f>
        <v/>
      </c>
      <c r="BH9" s="12">
        <f>IF(F9="","",IF(AY9&gt;=Instructions!$B$15,1,0))</f>
        <v/>
      </c>
      <c r="BI9" s="12">
        <f>IF(G9="","",IF(AZ9&gt;=Instructions!$B$15,1,0))</f>
        <v/>
      </c>
      <c r="BJ9" s="12">
        <f>IF(H9="","",IF(BA9&gt;=Instructions!$B$15,1,0))</f>
        <v/>
      </c>
      <c r="BK9" s="12">
        <f>IF(I9="","",IF(BB9&gt;=Instructions!$B$15,1,0))</f>
        <v/>
      </c>
      <c r="BM9" s="12" t="inlineStr">
        <is>
          <t>05:00</t>
        </is>
      </c>
      <c r="BN9" s="12">
        <f>IF(C9="","",IF(AV9&gt;=Instructions!$B$16,1,0))</f>
        <v/>
      </c>
      <c r="BO9" s="12">
        <f>IF(D9="","",IF(AW9&gt;=Instructions!$B$16,1,0))</f>
        <v/>
      </c>
      <c r="BP9" s="12">
        <f>IF(E9="","",IF(AX9&gt;=Instructions!$B$16,1,0))</f>
        <v/>
      </c>
      <c r="BQ9" s="12">
        <f>IF(F9="","",IF(AY9&gt;=Instructions!$B$16,1,0))</f>
        <v/>
      </c>
      <c r="BR9" s="12">
        <f>IF(G9="","",IF(AZ9&gt;=Instructions!$B$16,1,0))</f>
        <v/>
      </c>
      <c r="BS9" s="12">
        <f>IF(H9="","",IF(BA9&gt;=Instructions!$B$16,1,0))</f>
        <v/>
      </c>
      <c r="BT9" s="12">
        <f>IF(I9="","",IF(BB9&gt;=Instructions!$B$16,1,0))</f>
        <v/>
      </c>
      <c r="BV9" s="12" t="inlineStr">
        <is>
          <t>05:00</t>
        </is>
      </c>
      <c r="BW9" s="12">
        <f>IF(C9="","",IF(ROUND(AV9,6)&gt;=ROUND(Instructions!$B$16-Instructions!$B$17,6),1,0))</f>
        <v/>
      </c>
      <c r="BX9" s="12">
        <f>IF(D9="","",IF(ROUND(AW9,6)&gt;=ROUND(Instructions!$B$16-Instructions!$B$17,6),1,0))</f>
        <v/>
      </c>
      <c r="BY9" s="12">
        <f>IF(E9="","",IF(ROUND(AX9,6)&gt;=ROUND(Instructions!$B$16-Instructions!$B$17,6),1,0))</f>
        <v/>
      </c>
      <c r="BZ9" s="12">
        <f>IF(F9="","",IF(ROUND(AY9,6)&gt;=ROUND(Instructions!$B$16-Instructions!$B$17,6),1,0))</f>
        <v/>
      </c>
      <c r="CA9" s="12">
        <f>IF(G9="","",IF(ROUND(AZ9,6)&gt;=ROUND(Instructions!$B$16-Instructions!$B$17,6),1,0))</f>
        <v/>
      </c>
      <c r="CB9" s="12">
        <f>IF(H9="","",IF(ROUND(BA9,6)&gt;=ROUND(Instructions!$B$16-Instructions!$B$17,6),1,0))</f>
        <v/>
      </c>
      <c r="CC9" s="12">
        <f>IF(I9="","",IF(ROUND(BB9,6)&gt;=ROUND(Instructions!$B$16-Instructions!$B$17,6),1,0))</f>
        <v/>
      </c>
      <c r="CF9" s="12" t="inlineStr">
        <is>
          <t>05:00</t>
        </is>
      </c>
      <c r="CG9" s="12">
        <f>IF(C9="","",AD9-C9)</f>
        <v/>
      </c>
      <c r="CH9" s="12">
        <f>IF(D9="","",AE9-D9)</f>
        <v/>
      </c>
      <c r="CI9" s="12">
        <f>IF(E9="","",AF9-E9)</f>
        <v/>
      </c>
      <c r="CJ9" s="12">
        <f>IF(F9="","",AG9-F9)</f>
        <v/>
      </c>
      <c r="CK9" s="12">
        <f>IF(G9="","",AH9-G9)</f>
        <v/>
      </c>
      <c r="CL9" s="12">
        <f>IF(H9="","",AI9-H9)</f>
        <v/>
      </c>
      <c r="CM9" s="12">
        <f>IF(I9="","",AJ9-I9)</f>
        <v/>
      </c>
    </row>
    <row r="10">
      <c r="B10" s="12" t="inlineStr">
        <is>
          <t>06:00</t>
        </is>
      </c>
      <c r="C10" s="16" t="n"/>
      <c r="D10" s="16" t="n"/>
      <c r="E10" s="16" t="n"/>
      <c r="F10" s="16" t="n"/>
      <c r="G10" s="16" t="n"/>
      <c r="H10" s="16" t="n"/>
      <c r="I10" s="16" t="n"/>
      <c r="K10" s="12" t="inlineStr">
        <is>
          <t>06:00</t>
        </is>
      </c>
      <c r="L10" s="12">
        <f>IF(C10="","",COUNTIFS('Scheduler Engine'!$N$2:$N$1751,1,'Scheduler Engine'!$L$2:$L$1751,"&lt;="&amp;((0)*24+VALUE(LEFT($K10,2))),'Scheduler Engine'!$M$2:$M$1751,"&gt;"&amp;((0)*24+VALUE(LEFT($K10,2))))+COUNTIFS('Previous Engine'!$K$2:$K$251,1,'Previous Engine'!$H$2:$H$251,"&lt;="&amp;VALUE(LEFT($K10,2)),'Previous Engine'!$I$2:$I$251,"&gt;"&amp;VALUE(LEFT($K10,2))))</f>
        <v/>
      </c>
      <c r="M10" s="12">
        <f>IF(D10="","",COUNTIFS('Scheduler Engine'!$N$2:$N$1751,1,'Scheduler Engine'!$L$2:$L$1751,"&lt;="&amp;((1)*24+VALUE(LEFT($K10,2))),'Scheduler Engine'!$M$2:$M$1751,"&gt;"&amp;((1)*24+VALUE(LEFT($K10,2)))))</f>
        <v/>
      </c>
      <c r="N10" s="12">
        <f>IF(E10="","",COUNTIFS('Scheduler Engine'!$N$2:$N$1751,1,'Scheduler Engine'!$L$2:$L$1751,"&lt;="&amp;((2)*24+VALUE(LEFT($K10,2))),'Scheduler Engine'!$M$2:$M$1751,"&gt;"&amp;((2)*24+VALUE(LEFT($K10,2)))))</f>
        <v/>
      </c>
      <c r="O10" s="12">
        <f>IF(F10="","",COUNTIFS('Scheduler Engine'!$N$2:$N$1751,1,'Scheduler Engine'!$L$2:$L$1751,"&lt;="&amp;((3)*24+VALUE(LEFT($K10,2))),'Scheduler Engine'!$M$2:$M$1751,"&gt;"&amp;((3)*24+VALUE(LEFT($K10,2)))))</f>
        <v/>
      </c>
      <c r="P10" s="12">
        <f>IF(G10="","",COUNTIFS('Scheduler Engine'!$N$2:$N$1751,1,'Scheduler Engine'!$L$2:$L$1751,"&lt;="&amp;((4)*24+VALUE(LEFT($K10,2))),'Scheduler Engine'!$M$2:$M$1751,"&gt;"&amp;((4)*24+VALUE(LEFT($K10,2)))))</f>
        <v/>
      </c>
      <c r="Q10" s="12">
        <f>IF(H10="","",COUNTIFS('Scheduler Engine'!$N$2:$N$1751,1,'Scheduler Engine'!$L$2:$L$1751,"&lt;="&amp;((5)*24+VALUE(LEFT($K10,2))),'Scheduler Engine'!$M$2:$M$1751,"&gt;"&amp;((5)*24+VALUE(LEFT($K10,2)))))</f>
        <v/>
      </c>
      <c r="R10" s="12">
        <f>IF(I10="","",COUNTIFS('Scheduler Engine'!$N$2:$N$1751,1,'Scheduler Engine'!$L$2:$L$1751,"&lt;="&amp;((6)*24+VALUE(LEFT($K10,2))),'Scheduler Engine'!$M$2:$M$1751,"&gt;"&amp;((6)*24+VALUE(LEFT($K10,2)))))</f>
        <v/>
      </c>
      <c r="AC10" s="12" t="inlineStr">
        <is>
          <t>06:00</t>
        </is>
      </c>
      <c r="AD10" s="12">
        <f>IF(C10="","",L10*(1-(IF(IFERROR(INDEX(Instructions!$B:$B,MATCH("Shrinkage Source",Instructions!$A:$A,0)),"Shrinkage Sheet")="Shrinkage Sheet",IFERROR(IF(Shrinkage!B10="-",IF(C10&lt;IFERROR(INDEX(Instructions!$B:$B,MATCH("Shrinkage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FTEs",Instructions!$A:$A,0)),12%)),Shrinkage!B10),IF(C10&lt;IFERROR(INDEX(Instructions!$B:$B,MATCH("Shrinkage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10" s="12">
        <f>IF(D10="","",M10*(1-(IF(IFERROR(INDEX(Instructions!$B:$B,MATCH("Shrinkage Source",Instructions!$A:$A,0)),"Shrinkage Sheet")="Shrinkage Sheet",IFERROR(IF(Shrinkage!C10="-",IF(D10&lt;IFERROR(INDEX(Instructions!$B:$B,MATCH("Shrinkage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FTEs",Instructions!$A:$A,0)),12%)),Shrinkage!C10),IF(D10&lt;IFERROR(INDEX(Instructions!$B:$B,MATCH("Shrinkage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10" s="12">
        <f>IF(E10="","",N10*(1-(IF(IFERROR(INDEX(Instructions!$B:$B,MATCH("Shrinkage Source",Instructions!$A:$A,0)),"Shrinkage Sheet")="Shrinkage Sheet",IFERROR(IF(Shrinkage!D10="-",IF(E10&lt;IFERROR(INDEX(Instructions!$B:$B,MATCH("Shrinkage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FTEs",Instructions!$A:$A,0)),12%)),Shrinkage!D10),IF(E10&lt;IFERROR(INDEX(Instructions!$B:$B,MATCH("Shrinkage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10" s="12">
        <f>IF(F10="","",O10*(1-(IF(IFERROR(INDEX(Instructions!$B:$B,MATCH("Shrinkage Source",Instructions!$A:$A,0)),"Shrinkage Sheet")="Shrinkage Sheet",IFERROR(IF(Shrinkage!E10="-",IF(F10&lt;IFERROR(INDEX(Instructions!$B:$B,MATCH("Shrinkage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FTEs",Instructions!$A:$A,0)),12%)),Shrinkage!E10),IF(F10&lt;IFERROR(INDEX(Instructions!$B:$B,MATCH("Shrinkage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10" s="12">
        <f>IF(G10="","",P10*(1-(IF(IFERROR(INDEX(Instructions!$B:$B,MATCH("Shrinkage Source",Instructions!$A:$A,0)),"Shrinkage Sheet")="Shrinkage Sheet",IFERROR(IF(Shrinkage!F10="-",IF(G10&lt;IFERROR(INDEX(Instructions!$B:$B,MATCH("Shrinkage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FTEs",Instructions!$A:$A,0)),12%)),Shrinkage!F10),IF(G10&lt;IFERROR(INDEX(Instructions!$B:$B,MATCH("Shrinkage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10" s="12">
        <f>IF(H10="","",Q10*(1-(IF(IFERROR(INDEX(Instructions!$B:$B,MATCH("Shrinkage Source",Instructions!$A:$A,0)),"Shrinkage Sheet")="Shrinkage Sheet",IFERROR(IF(Shrinkage!G10="-",IF(H10&lt;IFERROR(INDEX(Instructions!$B:$B,MATCH("Shrinkage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FTEs",Instructions!$A:$A,0)),12%)),Shrinkage!G10),IF(H10&lt;IFERROR(INDEX(Instructions!$B:$B,MATCH("Shrinkage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10" s="12">
        <f>IF(I10="","",R10*(1-(IF(IFERROR(INDEX(Instructions!$B:$B,MATCH("Shrinkage Source",Instructions!$A:$A,0)),"Shrinkage Sheet")="Shrinkage Sheet",IFERROR(IF(Shrinkage!H10="-",IF(I10&lt;IFERROR(INDEX(Instructions!$B:$B,MATCH("Shrinkage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FTEs",Instructions!$A:$A,0)),12%)),Shrinkage!H10),IF(I10&lt;IFERROR(INDEX(Instructions!$B:$B,MATCH("Shrinkage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10" s="12" t="inlineStr">
        <is>
          <t>06:00</t>
        </is>
      </c>
      <c r="AV10" s="53">
        <f>IFERROR(AD10/C10,"")</f>
        <v/>
      </c>
      <c r="AW10" s="53">
        <f>IFERROR(AE10/D10,"")</f>
        <v/>
      </c>
      <c r="AX10" s="53">
        <f>IFERROR(AF10/E10,"")</f>
        <v/>
      </c>
      <c r="AY10" s="53">
        <f>IFERROR(AG10/F10,"")</f>
        <v/>
      </c>
      <c r="AZ10" s="53">
        <f>IFERROR(AH10/G10,"")</f>
        <v/>
      </c>
      <c r="BA10" s="53">
        <f>IFERROR(AI10/H10,"")</f>
        <v/>
      </c>
      <c r="BB10" s="53">
        <f>IFERROR(AJ10/I10,"")</f>
        <v/>
      </c>
      <c r="BD10" s="12" t="inlineStr">
        <is>
          <t>06:00</t>
        </is>
      </c>
      <c r="BE10" s="12">
        <f>IF(C10="","",IF(AV10&gt;=Instructions!$B$15,1,0))</f>
        <v/>
      </c>
      <c r="BF10" s="12">
        <f>IF(D10="","",IF(AW10&gt;=Instructions!$B$15,1,0))</f>
        <v/>
      </c>
      <c r="BG10" s="12">
        <f>IF(E10="","",IF(AX10&gt;=Instructions!$B$15,1,0))</f>
        <v/>
      </c>
      <c r="BH10" s="12">
        <f>IF(F10="","",IF(AY10&gt;=Instructions!$B$15,1,0))</f>
        <v/>
      </c>
      <c r="BI10" s="12">
        <f>IF(G10="","",IF(AZ10&gt;=Instructions!$B$15,1,0))</f>
        <v/>
      </c>
      <c r="BJ10" s="12">
        <f>IF(H10="","",IF(BA10&gt;=Instructions!$B$15,1,0))</f>
        <v/>
      </c>
      <c r="BK10" s="12">
        <f>IF(I10="","",IF(BB10&gt;=Instructions!$B$15,1,0))</f>
        <v/>
      </c>
      <c r="BM10" s="12" t="inlineStr">
        <is>
          <t>06:00</t>
        </is>
      </c>
      <c r="BN10" s="12">
        <f>IF(C10="","",IF(AV10&gt;=Instructions!$B$16,1,0))</f>
        <v/>
      </c>
      <c r="BO10" s="12">
        <f>IF(D10="","",IF(AW10&gt;=Instructions!$B$16,1,0))</f>
        <v/>
      </c>
      <c r="BP10" s="12">
        <f>IF(E10="","",IF(AX10&gt;=Instructions!$B$16,1,0))</f>
        <v/>
      </c>
      <c r="BQ10" s="12">
        <f>IF(F10="","",IF(AY10&gt;=Instructions!$B$16,1,0))</f>
        <v/>
      </c>
      <c r="BR10" s="12">
        <f>IF(G10="","",IF(AZ10&gt;=Instructions!$B$16,1,0))</f>
        <v/>
      </c>
      <c r="BS10" s="12">
        <f>IF(H10="","",IF(BA10&gt;=Instructions!$B$16,1,0))</f>
        <v/>
      </c>
      <c r="BT10" s="12">
        <f>IF(I10="","",IF(BB10&gt;=Instructions!$B$16,1,0))</f>
        <v/>
      </c>
      <c r="BV10" s="12" t="inlineStr">
        <is>
          <t>06:00</t>
        </is>
      </c>
      <c r="BW10" s="12">
        <f>IF(C10="","",IF(ROUND(AV10,6)&gt;=ROUND(Instructions!$B$16-Instructions!$B$17,6),1,0))</f>
        <v/>
      </c>
      <c r="BX10" s="12">
        <f>IF(D10="","",IF(ROUND(AW10,6)&gt;=ROUND(Instructions!$B$16-Instructions!$B$17,6),1,0))</f>
        <v/>
      </c>
      <c r="BY10" s="12">
        <f>IF(E10="","",IF(ROUND(AX10,6)&gt;=ROUND(Instructions!$B$16-Instructions!$B$17,6),1,0))</f>
        <v/>
      </c>
      <c r="BZ10" s="12">
        <f>IF(F10="","",IF(ROUND(AY10,6)&gt;=ROUND(Instructions!$B$16-Instructions!$B$17,6),1,0))</f>
        <v/>
      </c>
      <c r="CA10" s="12">
        <f>IF(G10="","",IF(ROUND(AZ10,6)&gt;=ROUND(Instructions!$B$16-Instructions!$B$17,6),1,0))</f>
        <v/>
      </c>
      <c r="CB10" s="12">
        <f>IF(H10="","",IF(ROUND(BA10,6)&gt;=ROUND(Instructions!$B$16-Instructions!$B$17,6),1,0))</f>
        <v/>
      </c>
      <c r="CC10" s="12">
        <f>IF(I10="","",IF(ROUND(BB10,6)&gt;=ROUND(Instructions!$B$16-Instructions!$B$17,6),1,0))</f>
        <v/>
      </c>
      <c r="CF10" s="12" t="inlineStr">
        <is>
          <t>06:00</t>
        </is>
      </c>
      <c r="CG10" s="12">
        <f>IF(C10="","",AD10-C10)</f>
        <v/>
      </c>
      <c r="CH10" s="12">
        <f>IF(D10="","",AE10-D10)</f>
        <v/>
      </c>
      <c r="CI10" s="12">
        <f>IF(E10="","",AF10-E10)</f>
        <v/>
      </c>
      <c r="CJ10" s="12">
        <f>IF(F10="","",AG10-F10)</f>
        <v/>
      </c>
      <c r="CK10" s="12">
        <f>IF(G10="","",AH10-G10)</f>
        <v/>
      </c>
      <c r="CL10" s="12">
        <f>IF(H10="","",AI10-H10)</f>
        <v/>
      </c>
      <c r="CM10" s="12">
        <f>IF(I10="","",AJ10-I10)</f>
        <v/>
      </c>
    </row>
    <row r="11">
      <c r="B11" s="12" t="inlineStr">
        <is>
          <t>07:00</t>
        </is>
      </c>
      <c r="C11" s="16" t="n"/>
      <c r="D11" s="16" t="n"/>
      <c r="E11" s="16" t="n"/>
      <c r="F11" s="16" t="n"/>
      <c r="G11" s="16" t="n"/>
      <c r="H11" s="16" t="n"/>
      <c r="I11" s="16" t="n"/>
      <c r="K11" s="12" t="inlineStr">
        <is>
          <t>07:00</t>
        </is>
      </c>
      <c r="L11" s="12">
        <f>IF(C11="","",COUNTIFS('Scheduler Engine'!$N$2:$N$1751,1,'Scheduler Engine'!$L$2:$L$1751,"&lt;="&amp;((0)*24+VALUE(LEFT($K11,2))),'Scheduler Engine'!$M$2:$M$1751,"&gt;"&amp;((0)*24+VALUE(LEFT($K11,2))))+COUNTIFS('Previous Engine'!$K$2:$K$251,1,'Previous Engine'!$H$2:$H$251,"&lt;="&amp;VALUE(LEFT($K11,2)),'Previous Engine'!$I$2:$I$251,"&gt;"&amp;VALUE(LEFT($K11,2))))</f>
        <v/>
      </c>
      <c r="M11" s="12">
        <f>IF(D11="","",COUNTIFS('Scheduler Engine'!$N$2:$N$1751,1,'Scheduler Engine'!$L$2:$L$1751,"&lt;="&amp;((1)*24+VALUE(LEFT($K11,2))),'Scheduler Engine'!$M$2:$M$1751,"&gt;"&amp;((1)*24+VALUE(LEFT($K11,2)))))</f>
        <v/>
      </c>
      <c r="N11" s="12">
        <f>IF(E11="","",COUNTIFS('Scheduler Engine'!$N$2:$N$1751,1,'Scheduler Engine'!$L$2:$L$1751,"&lt;="&amp;((2)*24+VALUE(LEFT($K11,2))),'Scheduler Engine'!$M$2:$M$1751,"&gt;"&amp;((2)*24+VALUE(LEFT($K11,2)))))</f>
        <v/>
      </c>
      <c r="O11" s="12">
        <f>IF(F11="","",COUNTIFS('Scheduler Engine'!$N$2:$N$1751,1,'Scheduler Engine'!$L$2:$L$1751,"&lt;="&amp;((3)*24+VALUE(LEFT($K11,2))),'Scheduler Engine'!$M$2:$M$1751,"&gt;"&amp;((3)*24+VALUE(LEFT($K11,2)))))</f>
        <v/>
      </c>
      <c r="P11" s="12">
        <f>IF(G11="","",COUNTIFS('Scheduler Engine'!$N$2:$N$1751,1,'Scheduler Engine'!$L$2:$L$1751,"&lt;="&amp;((4)*24+VALUE(LEFT($K11,2))),'Scheduler Engine'!$M$2:$M$1751,"&gt;"&amp;((4)*24+VALUE(LEFT($K11,2)))))</f>
        <v/>
      </c>
      <c r="Q11" s="12">
        <f>IF(H11="","",COUNTIFS('Scheduler Engine'!$N$2:$N$1751,1,'Scheduler Engine'!$L$2:$L$1751,"&lt;="&amp;((5)*24+VALUE(LEFT($K11,2))),'Scheduler Engine'!$M$2:$M$1751,"&gt;"&amp;((5)*24+VALUE(LEFT($K11,2)))))</f>
        <v/>
      </c>
      <c r="R11" s="12">
        <f>IF(I11="","",COUNTIFS('Scheduler Engine'!$N$2:$N$1751,1,'Scheduler Engine'!$L$2:$L$1751,"&lt;="&amp;((6)*24+VALUE(LEFT($K11,2))),'Scheduler Engine'!$M$2:$M$1751,"&gt;"&amp;((6)*24+VALUE(LEFT($K11,2)))))</f>
        <v/>
      </c>
      <c r="AC11" s="12" t="inlineStr">
        <is>
          <t>07:00</t>
        </is>
      </c>
      <c r="AD11" s="12">
        <f>IF(C11="","",L11*(1-(IF(IFERROR(INDEX(Instructions!$B:$B,MATCH("Shrinkage Source",Instructions!$A:$A,0)),"Shrinkage Sheet")="Shrinkage Sheet",IFERROR(IF(Shrinkage!B11="-",IF(C11&lt;IFERROR(INDEX(Instructions!$B:$B,MATCH("Shrinkage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FTEs",Instructions!$A:$A,0)),12%)),Shrinkage!B11),IF(C11&lt;IFERROR(INDEX(Instructions!$B:$B,MATCH("Shrinkage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11" s="12">
        <f>IF(D11="","",M11*(1-(IF(IFERROR(INDEX(Instructions!$B:$B,MATCH("Shrinkage Source",Instructions!$A:$A,0)),"Shrinkage Sheet")="Shrinkage Sheet",IFERROR(IF(Shrinkage!C11="-",IF(D11&lt;IFERROR(INDEX(Instructions!$B:$B,MATCH("Shrinkage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FTEs",Instructions!$A:$A,0)),12%)),Shrinkage!C11),IF(D11&lt;IFERROR(INDEX(Instructions!$B:$B,MATCH("Shrinkage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11" s="12">
        <f>IF(E11="","",N11*(1-(IF(IFERROR(INDEX(Instructions!$B:$B,MATCH("Shrinkage Source",Instructions!$A:$A,0)),"Shrinkage Sheet")="Shrinkage Sheet",IFERROR(IF(Shrinkage!D11="-",IF(E11&lt;IFERROR(INDEX(Instructions!$B:$B,MATCH("Shrinkage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FTEs",Instructions!$A:$A,0)),12%)),Shrinkage!D11),IF(E11&lt;IFERROR(INDEX(Instructions!$B:$B,MATCH("Shrinkage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11" s="12">
        <f>IF(F11="","",O11*(1-(IF(IFERROR(INDEX(Instructions!$B:$B,MATCH("Shrinkage Source",Instructions!$A:$A,0)),"Shrinkage Sheet")="Shrinkage Sheet",IFERROR(IF(Shrinkage!E11="-",IF(F11&lt;IFERROR(INDEX(Instructions!$B:$B,MATCH("Shrinkage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FTEs",Instructions!$A:$A,0)),12%)),Shrinkage!E11),IF(F11&lt;IFERROR(INDEX(Instructions!$B:$B,MATCH("Shrinkage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11" s="12">
        <f>IF(G11="","",P11*(1-(IF(IFERROR(INDEX(Instructions!$B:$B,MATCH("Shrinkage Source",Instructions!$A:$A,0)),"Shrinkage Sheet")="Shrinkage Sheet",IFERROR(IF(Shrinkage!F11="-",IF(G11&lt;IFERROR(INDEX(Instructions!$B:$B,MATCH("Shrinkage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FTEs",Instructions!$A:$A,0)),12%)),Shrinkage!F11),IF(G11&lt;IFERROR(INDEX(Instructions!$B:$B,MATCH("Shrinkage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11" s="12">
        <f>IF(H11="","",Q11*(1-(IF(IFERROR(INDEX(Instructions!$B:$B,MATCH("Shrinkage Source",Instructions!$A:$A,0)),"Shrinkage Sheet")="Shrinkage Sheet",IFERROR(IF(Shrinkage!G11="-",IF(H11&lt;IFERROR(INDEX(Instructions!$B:$B,MATCH("Shrinkage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FTEs",Instructions!$A:$A,0)),12%)),Shrinkage!G11),IF(H11&lt;IFERROR(INDEX(Instructions!$B:$B,MATCH("Shrinkage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11" s="12">
        <f>IF(I11="","",R11*(1-(IF(IFERROR(INDEX(Instructions!$B:$B,MATCH("Shrinkage Source",Instructions!$A:$A,0)),"Shrinkage Sheet")="Shrinkage Sheet",IFERROR(IF(Shrinkage!H11="-",IF(I11&lt;IFERROR(INDEX(Instructions!$B:$B,MATCH("Shrinkage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FTEs",Instructions!$A:$A,0)),12%)),Shrinkage!H11),IF(I11&lt;IFERROR(INDEX(Instructions!$B:$B,MATCH("Shrinkage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11" s="12" t="inlineStr">
        <is>
          <t>07:00</t>
        </is>
      </c>
      <c r="AV11" s="53">
        <f>IFERROR(AD11/C11,"")</f>
        <v/>
      </c>
      <c r="AW11" s="53">
        <f>IFERROR(AE11/D11,"")</f>
        <v/>
      </c>
      <c r="AX11" s="53">
        <f>IFERROR(AF11/E11,"")</f>
        <v/>
      </c>
      <c r="AY11" s="53">
        <f>IFERROR(AG11/F11,"")</f>
        <v/>
      </c>
      <c r="AZ11" s="53">
        <f>IFERROR(AH11/G11,"")</f>
        <v/>
      </c>
      <c r="BA11" s="53">
        <f>IFERROR(AI11/H11,"")</f>
        <v/>
      </c>
      <c r="BB11" s="53">
        <f>IFERROR(AJ11/I11,"")</f>
        <v/>
      </c>
      <c r="BD11" s="12" t="inlineStr">
        <is>
          <t>07:00</t>
        </is>
      </c>
      <c r="BE11" s="12">
        <f>IF(C11="","",IF(AV11&gt;=Instructions!$B$15,1,0))</f>
        <v/>
      </c>
      <c r="BF11" s="12">
        <f>IF(D11="","",IF(AW11&gt;=Instructions!$B$15,1,0))</f>
        <v/>
      </c>
      <c r="BG11" s="12">
        <f>IF(E11="","",IF(AX11&gt;=Instructions!$B$15,1,0))</f>
        <v/>
      </c>
      <c r="BH11" s="12">
        <f>IF(F11="","",IF(AY11&gt;=Instructions!$B$15,1,0))</f>
        <v/>
      </c>
      <c r="BI11" s="12">
        <f>IF(G11="","",IF(AZ11&gt;=Instructions!$B$15,1,0))</f>
        <v/>
      </c>
      <c r="BJ11" s="12">
        <f>IF(H11="","",IF(BA11&gt;=Instructions!$B$15,1,0))</f>
        <v/>
      </c>
      <c r="BK11" s="12">
        <f>IF(I11="","",IF(BB11&gt;=Instructions!$B$15,1,0))</f>
        <v/>
      </c>
      <c r="BM11" s="12" t="inlineStr">
        <is>
          <t>07:00</t>
        </is>
      </c>
      <c r="BN11" s="12">
        <f>IF(C11="","",IF(AV11&gt;=Instructions!$B$16,1,0))</f>
        <v/>
      </c>
      <c r="BO11" s="12">
        <f>IF(D11="","",IF(AW11&gt;=Instructions!$B$16,1,0))</f>
        <v/>
      </c>
      <c r="BP11" s="12">
        <f>IF(E11="","",IF(AX11&gt;=Instructions!$B$16,1,0))</f>
        <v/>
      </c>
      <c r="BQ11" s="12">
        <f>IF(F11="","",IF(AY11&gt;=Instructions!$B$16,1,0))</f>
        <v/>
      </c>
      <c r="BR11" s="12">
        <f>IF(G11="","",IF(AZ11&gt;=Instructions!$B$16,1,0))</f>
        <v/>
      </c>
      <c r="BS11" s="12">
        <f>IF(H11="","",IF(BA11&gt;=Instructions!$B$16,1,0))</f>
        <v/>
      </c>
      <c r="BT11" s="12">
        <f>IF(I11="","",IF(BB11&gt;=Instructions!$B$16,1,0))</f>
        <v/>
      </c>
      <c r="BV11" s="12" t="inlineStr">
        <is>
          <t>07:00</t>
        </is>
      </c>
      <c r="BW11" s="12">
        <f>IF(C11="","",IF(ROUND(AV11,6)&gt;=ROUND(Instructions!$B$16-Instructions!$B$17,6),1,0))</f>
        <v/>
      </c>
      <c r="BX11" s="12">
        <f>IF(D11="","",IF(ROUND(AW11,6)&gt;=ROUND(Instructions!$B$16-Instructions!$B$17,6),1,0))</f>
        <v/>
      </c>
      <c r="BY11" s="12">
        <f>IF(E11="","",IF(ROUND(AX11,6)&gt;=ROUND(Instructions!$B$16-Instructions!$B$17,6),1,0))</f>
        <v/>
      </c>
      <c r="BZ11" s="12">
        <f>IF(F11="","",IF(ROUND(AY11,6)&gt;=ROUND(Instructions!$B$16-Instructions!$B$17,6),1,0))</f>
        <v/>
      </c>
      <c r="CA11" s="12">
        <f>IF(G11="","",IF(ROUND(AZ11,6)&gt;=ROUND(Instructions!$B$16-Instructions!$B$17,6),1,0))</f>
        <v/>
      </c>
      <c r="CB11" s="12">
        <f>IF(H11="","",IF(ROUND(BA11,6)&gt;=ROUND(Instructions!$B$16-Instructions!$B$17,6),1,0))</f>
        <v/>
      </c>
      <c r="CC11" s="12">
        <f>IF(I11="","",IF(ROUND(BB11,6)&gt;=ROUND(Instructions!$B$16-Instructions!$B$17,6),1,0))</f>
        <v/>
      </c>
      <c r="CF11" s="12" t="inlineStr">
        <is>
          <t>07:00</t>
        </is>
      </c>
      <c r="CG11" s="12">
        <f>IF(C11="","",AD11-C11)</f>
        <v/>
      </c>
      <c r="CH11" s="12">
        <f>IF(D11="","",AE11-D11)</f>
        <v/>
      </c>
      <c r="CI11" s="12">
        <f>IF(E11="","",AF11-E11)</f>
        <v/>
      </c>
      <c r="CJ11" s="12">
        <f>IF(F11="","",AG11-F11)</f>
        <v/>
      </c>
      <c r="CK11" s="12">
        <f>IF(G11="","",AH11-G11)</f>
        <v/>
      </c>
      <c r="CL11" s="12">
        <f>IF(H11="","",AI11-H11)</f>
        <v/>
      </c>
      <c r="CM11" s="12">
        <f>IF(I11="","",AJ11-I11)</f>
        <v/>
      </c>
    </row>
    <row r="12">
      <c r="B12" s="12" t="inlineStr">
        <is>
          <t>08:00</t>
        </is>
      </c>
      <c r="C12" s="16" t="n"/>
      <c r="D12" s="16" t="n"/>
      <c r="E12" s="16" t="n"/>
      <c r="F12" s="16" t="n"/>
      <c r="G12" s="16" t="n"/>
      <c r="H12" s="16" t="n"/>
      <c r="I12" s="16" t="n"/>
      <c r="K12" s="12" t="inlineStr">
        <is>
          <t>08:00</t>
        </is>
      </c>
      <c r="L12" s="12">
        <f>IF(C12="","",COUNTIFS('Scheduler Engine'!$N$2:$N$1751,1,'Scheduler Engine'!$L$2:$L$1751,"&lt;="&amp;((0)*24+VALUE(LEFT($K12,2))),'Scheduler Engine'!$M$2:$M$1751,"&gt;"&amp;((0)*24+VALUE(LEFT($K12,2))))+COUNTIFS('Previous Engine'!$K$2:$K$251,1,'Previous Engine'!$H$2:$H$251,"&lt;="&amp;VALUE(LEFT($K12,2)),'Previous Engine'!$I$2:$I$251,"&gt;"&amp;VALUE(LEFT($K12,2))))</f>
        <v/>
      </c>
      <c r="M12" s="12">
        <f>IF(D12="","",COUNTIFS('Scheduler Engine'!$N$2:$N$1751,1,'Scheduler Engine'!$L$2:$L$1751,"&lt;="&amp;((1)*24+VALUE(LEFT($K12,2))),'Scheduler Engine'!$M$2:$M$1751,"&gt;"&amp;((1)*24+VALUE(LEFT($K12,2)))))</f>
        <v/>
      </c>
      <c r="N12" s="12">
        <f>IF(E12="","",COUNTIFS('Scheduler Engine'!$N$2:$N$1751,1,'Scheduler Engine'!$L$2:$L$1751,"&lt;="&amp;((2)*24+VALUE(LEFT($K12,2))),'Scheduler Engine'!$M$2:$M$1751,"&gt;"&amp;((2)*24+VALUE(LEFT($K12,2)))))</f>
        <v/>
      </c>
      <c r="O12" s="12">
        <f>IF(F12="","",COUNTIFS('Scheduler Engine'!$N$2:$N$1751,1,'Scheduler Engine'!$L$2:$L$1751,"&lt;="&amp;((3)*24+VALUE(LEFT($K12,2))),'Scheduler Engine'!$M$2:$M$1751,"&gt;"&amp;((3)*24+VALUE(LEFT($K12,2)))))</f>
        <v/>
      </c>
      <c r="P12" s="12">
        <f>IF(G12="","",COUNTIFS('Scheduler Engine'!$N$2:$N$1751,1,'Scheduler Engine'!$L$2:$L$1751,"&lt;="&amp;((4)*24+VALUE(LEFT($K12,2))),'Scheduler Engine'!$M$2:$M$1751,"&gt;"&amp;((4)*24+VALUE(LEFT($K12,2)))))</f>
        <v/>
      </c>
      <c r="Q12" s="12">
        <f>IF(H12="","",COUNTIFS('Scheduler Engine'!$N$2:$N$1751,1,'Scheduler Engine'!$L$2:$L$1751,"&lt;="&amp;((5)*24+VALUE(LEFT($K12,2))),'Scheduler Engine'!$M$2:$M$1751,"&gt;"&amp;((5)*24+VALUE(LEFT($K12,2)))))</f>
        <v/>
      </c>
      <c r="R12" s="12">
        <f>IF(I12="","",COUNTIFS('Scheduler Engine'!$N$2:$N$1751,1,'Scheduler Engine'!$L$2:$L$1751,"&lt;="&amp;((6)*24+VALUE(LEFT($K12,2))),'Scheduler Engine'!$M$2:$M$1751,"&gt;"&amp;((6)*24+VALUE(LEFT($K12,2)))))</f>
        <v/>
      </c>
      <c r="AC12" s="12" t="inlineStr">
        <is>
          <t>08:00</t>
        </is>
      </c>
      <c r="AD12" s="12">
        <f>IF(C12="","",L12*(1-(IF(IFERROR(INDEX(Instructions!$B:$B,MATCH("Shrinkage Source",Instructions!$A:$A,0)),"Shrinkage Sheet")="Shrinkage Sheet",IFERROR(IF(Shrinkage!B12="-",IF(C12&lt;IFERROR(INDEX(Instructions!$B:$B,MATCH("Shrinkage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FTEs",Instructions!$A:$A,0)),12%)),Shrinkage!B12),IF(C12&lt;IFERROR(INDEX(Instructions!$B:$B,MATCH("Shrinkage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12" s="12">
        <f>IF(D12="","",M12*(1-(IF(IFERROR(INDEX(Instructions!$B:$B,MATCH("Shrinkage Source",Instructions!$A:$A,0)),"Shrinkage Sheet")="Shrinkage Sheet",IFERROR(IF(Shrinkage!C12="-",IF(D12&lt;IFERROR(INDEX(Instructions!$B:$B,MATCH("Shrinkage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FTEs",Instructions!$A:$A,0)),12%)),Shrinkage!C12),IF(D12&lt;IFERROR(INDEX(Instructions!$B:$B,MATCH("Shrinkage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12" s="12">
        <f>IF(E12="","",N12*(1-(IF(IFERROR(INDEX(Instructions!$B:$B,MATCH("Shrinkage Source",Instructions!$A:$A,0)),"Shrinkage Sheet")="Shrinkage Sheet",IFERROR(IF(Shrinkage!D12="-",IF(E12&lt;IFERROR(INDEX(Instructions!$B:$B,MATCH("Shrinkage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FTEs",Instructions!$A:$A,0)),12%)),Shrinkage!D12),IF(E12&lt;IFERROR(INDEX(Instructions!$B:$B,MATCH("Shrinkage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12" s="12">
        <f>IF(F12="","",O12*(1-(IF(IFERROR(INDEX(Instructions!$B:$B,MATCH("Shrinkage Source",Instructions!$A:$A,0)),"Shrinkage Sheet")="Shrinkage Sheet",IFERROR(IF(Shrinkage!E12="-",IF(F12&lt;IFERROR(INDEX(Instructions!$B:$B,MATCH("Shrinkage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FTEs",Instructions!$A:$A,0)),12%)),Shrinkage!E12),IF(F12&lt;IFERROR(INDEX(Instructions!$B:$B,MATCH("Shrinkage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12" s="12">
        <f>IF(G12="","",P12*(1-(IF(IFERROR(INDEX(Instructions!$B:$B,MATCH("Shrinkage Source",Instructions!$A:$A,0)),"Shrinkage Sheet")="Shrinkage Sheet",IFERROR(IF(Shrinkage!F12="-",IF(G12&lt;IFERROR(INDEX(Instructions!$B:$B,MATCH("Shrinkage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FTEs",Instructions!$A:$A,0)),12%)),Shrinkage!F12),IF(G12&lt;IFERROR(INDEX(Instructions!$B:$B,MATCH("Shrinkage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12" s="12">
        <f>IF(H12="","",Q12*(1-(IF(IFERROR(INDEX(Instructions!$B:$B,MATCH("Shrinkage Source",Instructions!$A:$A,0)),"Shrinkage Sheet")="Shrinkage Sheet",IFERROR(IF(Shrinkage!G12="-",IF(H12&lt;IFERROR(INDEX(Instructions!$B:$B,MATCH("Shrinkage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FTEs",Instructions!$A:$A,0)),12%)),Shrinkage!G12),IF(H12&lt;IFERROR(INDEX(Instructions!$B:$B,MATCH("Shrinkage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12" s="12">
        <f>IF(I12="","",R12*(1-(IF(IFERROR(INDEX(Instructions!$B:$B,MATCH("Shrinkage Source",Instructions!$A:$A,0)),"Shrinkage Sheet")="Shrinkage Sheet",IFERROR(IF(Shrinkage!H12="-",IF(I12&lt;IFERROR(INDEX(Instructions!$B:$B,MATCH("Shrinkage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FTEs",Instructions!$A:$A,0)),12%)),Shrinkage!H12),IF(I12&lt;IFERROR(INDEX(Instructions!$B:$B,MATCH("Shrinkage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12" s="12" t="inlineStr">
        <is>
          <t>08:00</t>
        </is>
      </c>
      <c r="AV12" s="53">
        <f>IFERROR(AD12/C12,"")</f>
        <v/>
      </c>
      <c r="AW12" s="53">
        <f>IFERROR(AE12/D12,"")</f>
        <v/>
      </c>
      <c r="AX12" s="53">
        <f>IFERROR(AF12/E12,"")</f>
        <v/>
      </c>
      <c r="AY12" s="53">
        <f>IFERROR(AG12/F12,"")</f>
        <v/>
      </c>
      <c r="AZ12" s="53">
        <f>IFERROR(AH12/G12,"")</f>
        <v/>
      </c>
      <c r="BA12" s="53">
        <f>IFERROR(AI12/H12,"")</f>
        <v/>
      </c>
      <c r="BB12" s="53">
        <f>IFERROR(AJ12/I12,"")</f>
        <v/>
      </c>
      <c r="BD12" s="12" t="inlineStr">
        <is>
          <t>08:00</t>
        </is>
      </c>
      <c r="BE12" s="12">
        <f>IF(C12="","",IF(AV12&gt;=Instructions!$B$15,1,0))</f>
        <v/>
      </c>
      <c r="BF12" s="12">
        <f>IF(D12="","",IF(AW12&gt;=Instructions!$B$15,1,0))</f>
        <v/>
      </c>
      <c r="BG12" s="12">
        <f>IF(E12="","",IF(AX12&gt;=Instructions!$B$15,1,0))</f>
        <v/>
      </c>
      <c r="BH12" s="12">
        <f>IF(F12="","",IF(AY12&gt;=Instructions!$B$15,1,0))</f>
        <v/>
      </c>
      <c r="BI12" s="12">
        <f>IF(G12="","",IF(AZ12&gt;=Instructions!$B$15,1,0))</f>
        <v/>
      </c>
      <c r="BJ12" s="12">
        <f>IF(H12="","",IF(BA12&gt;=Instructions!$B$15,1,0))</f>
        <v/>
      </c>
      <c r="BK12" s="12">
        <f>IF(I12="","",IF(BB12&gt;=Instructions!$B$15,1,0))</f>
        <v/>
      </c>
      <c r="BM12" s="12" t="inlineStr">
        <is>
          <t>08:00</t>
        </is>
      </c>
      <c r="BN12" s="12">
        <f>IF(C12="","",IF(AV12&gt;=Instructions!$B$16,1,0))</f>
        <v/>
      </c>
      <c r="BO12" s="12">
        <f>IF(D12="","",IF(AW12&gt;=Instructions!$B$16,1,0))</f>
        <v/>
      </c>
      <c r="BP12" s="12">
        <f>IF(E12="","",IF(AX12&gt;=Instructions!$B$16,1,0))</f>
        <v/>
      </c>
      <c r="BQ12" s="12">
        <f>IF(F12="","",IF(AY12&gt;=Instructions!$B$16,1,0))</f>
        <v/>
      </c>
      <c r="BR12" s="12">
        <f>IF(G12="","",IF(AZ12&gt;=Instructions!$B$16,1,0))</f>
        <v/>
      </c>
      <c r="BS12" s="12">
        <f>IF(H12="","",IF(BA12&gt;=Instructions!$B$16,1,0))</f>
        <v/>
      </c>
      <c r="BT12" s="12">
        <f>IF(I12="","",IF(BB12&gt;=Instructions!$B$16,1,0))</f>
        <v/>
      </c>
      <c r="BV12" s="12" t="inlineStr">
        <is>
          <t>08:00</t>
        </is>
      </c>
      <c r="BW12" s="12">
        <f>IF(C12="","",IF(ROUND(AV12,6)&gt;=ROUND(Instructions!$B$16-Instructions!$B$17,6),1,0))</f>
        <v/>
      </c>
      <c r="BX12" s="12">
        <f>IF(D12="","",IF(ROUND(AW12,6)&gt;=ROUND(Instructions!$B$16-Instructions!$B$17,6),1,0))</f>
        <v/>
      </c>
      <c r="BY12" s="12">
        <f>IF(E12="","",IF(ROUND(AX12,6)&gt;=ROUND(Instructions!$B$16-Instructions!$B$17,6),1,0))</f>
        <v/>
      </c>
      <c r="BZ12" s="12">
        <f>IF(F12="","",IF(ROUND(AY12,6)&gt;=ROUND(Instructions!$B$16-Instructions!$B$17,6),1,0))</f>
        <v/>
      </c>
      <c r="CA12" s="12">
        <f>IF(G12="","",IF(ROUND(AZ12,6)&gt;=ROUND(Instructions!$B$16-Instructions!$B$17,6),1,0))</f>
        <v/>
      </c>
      <c r="CB12" s="12">
        <f>IF(H12="","",IF(ROUND(BA12,6)&gt;=ROUND(Instructions!$B$16-Instructions!$B$17,6),1,0))</f>
        <v/>
      </c>
      <c r="CC12" s="12">
        <f>IF(I12="","",IF(ROUND(BB12,6)&gt;=ROUND(Instructions!$B$16-Instructions!$B$17,6),1,0))</f>
        <v/>
      </c>
      <c r="CF12" s="12" t="inlineStr">
        <is>
          <t>08:00</t>
        </is>
      </c>
      <c r="CG12" s="12">
        <f>IF(C12="","",AD12-C12)</f>
        <v/>
      </c>
      <c r="CH12" s="12">
        <f>IF(D12="","",AE12-D12)</f>
        <v/>
      </c>
      <c r="CI12" s="12">
        <f>IF(E12="","",AF12-E12)</f>
        <v/>
      </c>
      <c r="CJ12" s="12">
        <f>IF(F12="","",AG12-F12)</f>
        <v/>
      </c>
      <c r="CK12" s="12">
        <f>IF(G12="","",AH12-G12)</f>
        <v/>
      </c>
      <c r="CL12" s="12">
        <f>IF(H12="","",AI12-H12)</f>
        <v/>
      </c>
      <c r="CM12" s="12">
        <f>IF(I12="","",AJ12-I12)</f>
        <v/>
      </c>
    </row>
    <row r="13">
      <c r="B13" s="12" t="inlineStr">
        <is>
          <t>09:00</t>
        </is>
      </c>
      <c r="C13" s="16" t="n"/>
      <c r="D13" s="16" t="n"/>
      <c r="E13" s="16" t="n"/>
      <c r="F13" s="16" t="n"/>
      <c r="G13" s="16" t="n"/>
      <c r="H13" s="16" t="n"/>
      <c r="I13" s="16" t="n"/>
      <c r="K13" s="12" t="inlineStr">
        <is>
          <t>09:00</t>
        </is>
      </c>
      <c r="L13" s="12">
        <f>IF(C13="","",COUNTIFS('Scheduler Engine'!$N$2:$N$1751,1,'Scheduler Engine'!$L$2:$L$1751,"&lt;="&amp;((0)*24+VALUE(LEFT($K13,2))),'Scheduler Engine'!$M$2:$M$1751,"&gt;"&amp;((0)*24+VALUE(LEFT($K13,2))))+COUNTIFS('Previous Engine'!$K$2:$K$251,1,'Previous Engine'!$H$2:$H$251,"&lt;="&amp;VALUE(LEFT($K13,2)),'Previous Engine'!$I$2:$I$251,"&gt;"&amp;VALUE(LEFT($K13,2))))</f>
        <v/>
      </c>
      <c r="M13" s="12">
        <f>IF(D13="","",COUNTIFS('Scheduler Engine'!$N$2:$N$1751,1,'Scheduler Engine'!$L$2:$L$1751,"&lt;="&amp;((1)*24+VALUE(LEFT($K13,2))),'Scheduler Engine'!$M$2:$M$1751,"&gt;"&amp;((1)*24+VALUE(LEFT($K13,2)))))</f>
        <v/>
      </c>
      <c r="N13" s="12">
        <f>IF(E13="","",COUNTIFS('Scheduler Engine'!$N$2:$N$1751,1,'Scheduler Engine'!$L$2:$L$1751,"&lt;="&amp;((2)*24+VALUE(LEFT($K13,2))),'Scheduler Engine'!$M$2:$M$1751,"&gt;"&amp;((2)*24+VALUE(LEFT($K13,2)))))</f>
        <v/>
      </c>
      <c r="O13" s="12">
        <f>IF(F13="","",COUNTIFS('Scheduler Engine'!$N$2:$N$1751,1,'Scheduler Engine'!$L$2:$L$1751,"&lt;="&amp;((3)*24+VALUE(LEFT($K13,2))),'Scheduler Engine'!$M$2:$M$1751,"&gt;"&amp;((3)*24+VALUE(LEFT($K13,2)))))</f>
        <v/>
      </c>
      <c r="P13" s="12">
        <f>IF(G13="","",COUNTIFS('Scheduler Engine'!$N$2:$N$1751,1,'Scheduler Engine'!$L$2:$L$1751,"&lt;="&amp;((4)*24+VALUE(LEFT($K13,2))),'Scheduler Engine'!$M$2:$M$1751,"&gt;"&amp;((4)*24+VALUE(LEFT($K13,2)))))</f>
        <v/>
      </c>
      <c r="Q13" s="12">
        <f>IF(H13="","",COUNTIFS('Scheduler Engine'!$N$2:$N$1751,1,'Scheduler Engine'!$L$2:$L$1751,"&lt;="&amp;((5)*24+VALUE(LEFT($K13,2))),'Scheduler Engine'!$M$2:$M$1751,"&gt;"&amp;((5)*24+VALUE(LEFT($K13,2)))))</f>
        <v/>
      </c>
      <c r="R13" s="12">
        <f>IF(I13="","",COUNTIFS('Scheduler Engine'!$N$2:$N$1751,1,'Scheduler Engine'!$L$2:$L$1751,"&lt;="&amp;((6)*24+VALUE(LEFT($K13,2))),'Scheduler Engine'!$M$2:$M$1751,"&gt;"&amp;((6)*24+VALUE(LEFT($K13,2)))))</f>
        <v/>
      </c>
      <c r="AC13" s="12" t="inlineStr">
        <is>
          <t>09:00</t>
        </is>
      </c>
      <c r="AD13" s="12">
        <f>IF(C13="","",L13*(1-(IF(IFERROR(INDEX(Instructions!$B:$B,MATCH("Shrinkage Source",Instructions!$A:$A,0)),"Shrinkage Sheet")="Shrinkage Sheet",IFERROR(IF(Shrinkage!B13="-",IF(C13&lt;IFERROR(INDEX(Instructions!$B:$B,MATCH("Shrinkage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FTEs",Instructions!$A:$A,0)),12%)),Shrinkage!B13),IF(C13&lt;IFERROR(INDEX(Instructions!$B:$B,MATCH("Shrinkage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13" s="12">
        <f>IF(D13="","",M13*(1-(IF(IFERROR(INDEX(Instructions!$B:$B,MATCH("Shrinkage Source",Instructions!$A:$A,0)),"Shrinkage Sheet")="Shrinkage Sheet",IFERROR(IF(Shrinkage!C13="-",IF(D13&lt;IFERROR(INDEX(Instructions!$B:$B,MATCH("Shrinkage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FTEs",Instructions!$A:$A,0)),12%)),Shrinkage!C13),IF(D13&lt;IFERROR(INDEX(Instructions!$B:$B,MATCH("Shrinkage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13" s="12">
        <f>IF(E13="","",N13*(1-(IF(IFERROR(INDEX(Instructions!$B:$B,MATCH("Shrinkage Source",Instructions!$A:$A,0)),"Shrinkage Sheet")="Shrinkage Sheet",IFERROR(IF(Shrinkage!D13="-",IF(E13&lt;IFERROR(INDEX(Instructions!$B:$B,MATCH("Shrinkage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FTEs",Instructions!$A:$A,0)),12%)),Shrinkage!D13),IF(E13&lt;IFERROR(INDEX(Instructions!$B:$B,MATCH("Shrinkage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13" s="12">
        <f>IF(F13="","",O13*(1-(IF(IFERROR(INDEX(Instructions!$B:$B,MATCH("Shrinkage Source",Instructions!$A:$A,0)),"Shrinkage Sheet")="Shrinkage Sheet",IFERROR(IF(Shrinkage!E13="-",IF(F13&lt;IFERROR(INDEX(Instructions!$B:$B,MATCH("Shrinkage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FTEs",Instructions!$A:$A,0)),12%)),Shrinkage!E13),IF(F13&lt;IFERROR(INDEX(Instructions!$B:$B,MATCH("Shrinkage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13" s="12">
        <f>IF(G13="","",P13*(1-(IF(IFERROR(INDEX(Instructions!$B:$B,MATCH("Shrinkage Source",Instructions!$A:$A,0)),"Shrinkage Sheet")="Shrinkage Sheet",IFERROR(IF(Shrinkage!F13="-",IF(G13&lt;IFERROR(INDEX(Instructions!$B:$B,MATCH("Shrinkage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FTEs",Instructions!$A:$A,0)),12%)),Shrinkage!F13),IF(G13&lt;IFERROR(INDEX(Instructions!$B:$B,MATCH("Shrinkage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13" s="12">
        <f>IF(H13="","",Q13*(1-(IF(IFERROR(INDEX(Instructions!$B:$B,MATCH("Shrinkage Source",Instructions!$A:$A,0)),"Shrinkage Sheet")="Shrinkage Sheet",IFERROR(IF(Shrinkage!G13="-",IF(H13&lt;IFERROR(INDEX(Instructions!$B:$B,MATCH("Shrinkage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FTEs",Instructions!$A:$A,0)),12%)),Shrinkage!G13),IF(H13&lt;IFERROR(INDEX(Instructions!$B:$B,MATCH("Shrinkage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13" s="12">
        <f>IF(I13="","",R13*(1-(IF(IFERROR(INDEX(Instructions!$B:$B,MATCH("Shrinkage Source",Instructions!$A:$A,0)),"Shrinkage Sheet")="Shrinkage Sheet",IFERROR(IF(Shrinkage!H13="-",IF(I13&lt;IFERROR(INDEX(Instructions!$B:$B,MATCH("Shrinkage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FTEs",Instructions!$A:$A,0)),12%)),Shrinkage!H13),IF(I13&lt;IFERROR(INDEX(Instructions!$B:$B,MATCH("Shrinkage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13" s="12" t="inlineStr">
        <is>
          <t>09:00</t>
        </is>
      </c>
      <c r="AV13" s="53">
        <f>IFERROR(AD13/C13,"")</f>
        <v/>
      </c>
      <c r="AW13" s="53">
        <f>IFERROR(AE13/D13,"")</f>
        <v/>
      </c>
      <c r="AX13" s="53">
        <f>IFERROR(AF13/E13,"")</f>
        <v/>
      </c>
      <c r="AY13" s="53">
        <f>IFERROR(AG13/F13,"")</f>
        <v/>
      </c>
      <c r="AZ13" s="53">
        <f>IFERROR(AH13/G13,"")</f>
        <v/>
      </c>
      <c r="BA13" s="53">
        <f>IFERROR(AI13/H13,"")</f>
        <v/>
      </c>
      <c r="BB13" s="53">
        <f>IFERROR(AJ13/I13,"")</f>
        <v/>
      </c>
      <c r="BD13" s="12" t="inlineStr">
        <is>
          <t>09:00</t>
        </is>
      </c>
      <c r="BE13" s="12">
        <f>IF(C13="","",IF(AV13&gt;=Instructions!$B$15,1,0))</f>
        <v/>
      </c>
      <c r="BF13" s="12">
        <f>IF(D13="","",IF(AW13&gt;=Instructions!$B$15,1,0))</f>
        <v/>
      </c>
      <c r="BG13" s="12">
        <f>IF(E13="","",IF(AX13&gt;=Instructions!$B$15,1,0))</f>
        <v/>
      </c>
      <c r="BH13" s="12">
        <f>IF(F13="","",IF(AY13&gt;=Instructions!$B$15,1,0))</f>
        <v/>
      </c>
      <c r="BI13" s="12">
        <f>IF(G13="","",IF(AZ13&gt;=Instructions!$B$15,1,0))</f>
        <v/>
      </c>
      <c r="BJ13" s="12">
        <f>IF(H13="","",IF(BA13&gt;=Instructions!$B$15,1,0))</f>
        <v/>
      </c>
      <c r="BK13" s="12">
        <f>IF(I13="","",IF(BB13&gt;=Instructions!$B$15,1,0))</f>
        <v/>
      </c>
      <c r="BM13" s="12" t="inlineStr">
        <is>
          <t>09:00</t>
        </is>
      </c>
      <c r="BN13" s="12">
        <f>IF(C13="","",IF(AV13&gt;=Instructions!$B$16,1,0))</f>
        <v/>
      </c>
      <c r="BO13" s="12">
        <f>IF(D13="","",IF(AW13&gt;=Instructions!$B$16,1,0))</f>
        <v/>
      </c>
      <c r="BP13" s="12">
        <f>IF(E13="","",IF(AX13&gt;=Instructions!$B$16,1,0))</f>
        <v/>
      </c>
      <c r="BQ13" s="12">
        <f>IF(F13="","",IF(AY13&gt;=Instructions!$B$16,1,0))</f>
        <v/>
      </c>
      <c r="BR13" s="12">
        <f>IF(G13="","",IF(AZ13&gt;=Instructions!$B$16,1,0))</f>
        <v/>
      </c>
      <c r="BS13" s="12">
        <f>IF(H13="","",IF(BA13&gt;=Instructions!$B$16,1,0))</f>
        <v/>
      </c>
      <c r="BT13" s="12">
        <f>IF(I13="","",IF(BB13&gt;=Instructions!$B$16,1,0))</f>
        <v/>
      </c>
      <c r="BV13" s="12" t="inlineStr">
        <is>
          <t>09:00</t>
        </is>
      </c>
      <c r="BW13" s="12">
        <f>IF(C13="","",IF(ROUND(AV13,6)&gt;=ROUND(Instructions!$B$16-Instructions!$B$17,6),1,0))</f>
        <v/>
      </c>
      <c r="BX13" s="12">
        <f>IF(D13="","",IF(ROUND(AW13,6)&gt;=ROUND(Instructions!$B$16-Instructions!$B$17,6),1,0))</f>
        <v/>
      </c>
      <c r="BY13" s="12">
        <f>IF(E13="","",IF(ROUND(AX13,6)&gt;=ROUND(Instructions!$B$16-Instructions!$B$17,6),1,0))</f>
        <v/>
      </c>
      <c r="BZ13" s="12">
        <f>IF(F13="","",IF(ROUND(AY13,6)&gt;=ROUND(Instructions!$B$16-Instructions!$B$17,6),1,0))</f>
        <v/>
      </c>
      <c r="CA13" s="12">
        <f>IF(G13="","",IF(ROUND(AZ13,6)&gt;=ROUND(Instructions!$B$16-Instructions!$B$17,6),1,0))</f>
        <v/>
      </c>
      <c r="CB13" s="12">
        <f>IF(H13="","",IF(ROUND(BA13,6)&gt;=ROUND(Instructions!$B$16-Instructions!$B$17,6),1,0))</f>
        <v/>
      </c>
      <c r="CC13" s="12">
        <f>IF(I13="","",IF(ROUND(BB13,6)&gt;=ROUND(Instructions!$B$16-Instructions!$B$17,6),1,0))</f>
        <v/>
      </c>
      <c r="CF13" s="12" t="inlineStr">
        <is>
          <t>09:00</t>
        </is>
      </c>
      <c r="CG13" s="12">
        <f>IF(C13="","",AD13-C13)</f>
        <v/>
      </c>
      <c r="CH13" s="12">
        <f>IF(D13="","",AE13-D13)</f>
        <v/>
      </c>
      <c r="CI13" s="12">
        <f>IF(E13="","",AF13-E13)</f>
        <v/>
      </c>
      <c r="CJ13" s="12">
        <f>IF(F13="","",AG13-F13)</f>
        <v/>
      </c>
      <c r="CK13" s="12">
        <f>IF(G13="","",AH13-G13)</f>
        <v/>
      </c>
      <c r="CL13" s="12">
        <f>IF(H13="","",AI13-H13)</f>
        <v/>
      </c>
      <c r="CM13" s="12">
        <f>IF(I13="","",AJ13-I13)</f>
        <v/>
      </c>
    </row>
    <row r="14">
      <c r="B14" s="12" t="inlineStr">
        <is>
          <t>10:00</t>
        </is>
      </c>
      <c r="C14" s="16" t="n"/>
      <c r="D14" s="16" t="n"/>
      <c r="E14" s="16" t="n"/>
      <c r="F14" s="16" t="n"/>
      <c r="G14" s="16" t="n"/>
      <c r="H14" s="16" t="n"/>
      <c r="I14" s="16" t="n"/>
      <c r="K14" s="12" t="inlineStr">
        <is>
          <t>10:00</t>
        </is>
      </c>
      <c r="L14" s="12">
        <f>IF(C14="","",COUNTIFS('Scheduler Engine'!$N$2:$N$1751,1,'Scheduler Engine'!$L$2:$L$1751,"&lt;="&amp;((0)*24+VALUE(LEFT($K14,2))),'Scheduler Engine'!$M$2:$M$1751,"&gt;"&amp;((0)*24+VALUE(LEFT($K14,2))))+COUNTIFS('Previous Engine'!$K$2:$K$251,1,'Previous Engine'!$H$2:$H$251,"&lt;="&amp;VALUE(LEFT($K14,2)),'Previous Engine'!$I$2:$I$251,"&gt;"&amp;VALUE(LEFT($K14,2))))</f>
        <v/>
      </c>
      <c r="M14" s="12">
        <f>IF(D14="","",COUNTIFS('Scheduler Engine'!$N$2:$N$1751,1,'Scheduler Engine'!$L$2:$L$1751,"&lt;="&amp;((1)*24+VALUE(LEFT($K14,2))),'Scheduler Engine'!$M$2:$M$1751,"&gt;"&amp;((1)*24+VALUE(LEFT($K14,2)))))</f>
        <v/>
      </c>
      <c r="N14" s="12">
        <f>IF(E14="","",COUNTIFS('Scheduler Engine'!$N$2:$N$1751,1,'Scheduler Engine'!$L$2:$L$1751,"&lt;="&amp;((2)*24+VALUE(LEFT($K14,2))),'Scheduler Engine'!$M$2:$M$1751,"&gt;"&amp;((2)*24+VALUE(LEFT($K14,2)))))</f>
        <v/>
      </c>
      <c r="O14" s="12">
        <f>IF(F14="","",COUNTIFS('Scheduler Engine'!$N$2:$N$1751,1,'Scheduler Engine'!$L$2:$L$1751,"&lt;="&amp;((3)*24+VALUE(LEFT($K14,2))),'Scheduler Engine'!$M$2:$M$1751,"&gt;"&amp;((3)*24+VALUE(LEFT($K14,2)))))</f>
        <v/>
      </c>
      <c r="P14" s="12">
        <f>IF(G14="","",COUNTIFS('Scheduler Engine'!$N$2:$N$1751,1,'Scheduler Engine'!$L$2:$L$1751,"&lt;="&amp;((4)*24+VALUE(LEFT($K14,2))),'Scheduler Engine'!$M$2:$M$1751,"&gt;"&amp;((4)*24+VALUE(LEFT($K14,2)))))</f>
        <v/>
      </c>
      <c r="Q14" s="12">
        <f>IF(H14="","",COUNTIFS('Scheduler Engine'!$N$2:$N$1751,1,'Scheduler Engine'!$L$2:$L$1751,"&lt;="&amp;((5)*24+VALUE(LEFT($K14,2))),'Scheduler Engine'!$M$2:$M$1751,"&gt;"&amp;((5)*24+VALUE(LEFT($K14,2)))))</f>
        <v/>
      </c>
      <c r="R14" s="12">
        <f>IF(I14="","",COUNTIFS('Scheduler Engine'!$N$2:$N$1751,1,'Scheduler Engine'!$L$2:$L$1751,"&lt;="&amp;((6)*24+VALUE(LEFT($K14,2))),'Scheduler Engine'!$M$2:$M$1751,"&gt;"&amp;((6)*24+VALUE(LEFT($K14,2)))))</f>
        <v/>
      </c>
      <c r="AC14" s="12" t="inlineStr">
        <is>
          <t>10:00</t>
        </is>
      </c>
      <c r="AD14" s="12">
        <f>IF(C14="","",L14*(1-(IF(IFERROR(INDEX(Instructions!$B:$B,MATCH("Shrinkage Source",Instructions!$A:$A,0)),"Shrinkage Sheet")="Shrinkage Sheet",IFERROR(IF(Shrinkage!B14="-",IF(C14&lt;IFERROR(INDEX(Instructions!$B:$B,MATCH("Shrinkage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FTEs",Instructions!$A:$A,0)),12%)),Shrinkage!B14),IF(C14&lt;IFERROR(INDEX(Instructions!$B:$B,MATCH("Shrinkage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14" s="12">
        <f>IF(D14="","",M14*(1-(IF(IFERROR(INDEX(Instructions!$B:$B,MATCH("Shrinkage Source",Instructions!$A:$A,0)),"Shrinkage Sheet")="Shrinkage Sheet",IFERROR(IF(Shrinkage!C14="-",IF(D14&lt;IFERROR(INDEX(Instructions!$B:$B,MATCH("Shrinkage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FTEs",Instructions!$A:$A,0)),12%)),Shrinkage!C14),IF(D14&lt;IFERROR(INDEX(Instructions!$B:$B,MATCH("Shrinkage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14" s="12">
        <f>IF(E14="","",N14*(1-(IF(IFERROR(INDEX(Instructions!$B:$B,MATCH("Shrinkage Source",Instructions!$A:$A,0)),"Shrinkage Sheet")="Shrinkage Sheet",IFERROR(IF(Shrinkage!D14="-",IF(E14&lt;IFERROR(INDEX(Instructions!$B:$B,MATCH("Shrinkage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FTEs",Instructions!$A:$A,0)),12%)),Shrinkage!D14),IF(E14&lt;IFERROR(INDEX(Instructions!$B:$B,MATCH("Shrinkage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14" s="12">
        <f>IF(F14="","",O14*(1-(IF(IFERROR(INDEX(Instructions!$B:$B,MATCH("Shrinkage Source",Instructions!$A:$A,0)),"Shrinkage Sheet")="Shrinkage Sheet",IFERROR(IF(Shrinkage!E14="-",IF(F14&lt;IFERROR(INDEX(Instructions!$B:$B,MATCH("Shrinkage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FTEs",Instructions!$A:$A,0)),12%)),Shrinkage!E14),IF(F14&lt;IFERROR(INDEX(Instructions!$B:$B,MATCH("Shrinkage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14" s="12">
        <f>IF(G14="","",P14*(1-(IF(IFERROR(INDEX(Instructions!$B:$B,MATCH("Shrinkage Source",Instructions!$A:$A,0)),"Shrinkage Sheet")="Shrinkage Sheet",IFERROR(IF(Shrinkage!F14="-",IF(G14&lt;IFERROR(INDEX(Instructions!$B:$B,MATCH("Shrinkage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FTEs",Instructions!$A:$A,0)),12%)),Shrinkage!F14),IF(G14&lt;IFERROR(INDEX(Instructions!$B:$B,MATCH("Shrinkage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14" s="12">
        <f>IF(H14="","",Q14*(1-(IF(IFERROR(INDEX(Instructions!$B:$B,MATCH("Shrinkage Source",Instructions!$A:$A,0)),"Shrinkage Sheet")="Shrinkage Sheet",IFERROR(IF(Shrinkage!G14="-",IF(H14&lt;IFERROR(INDEX(Instructions!$B:$B,MATCH("Shrinkage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FTEs",Instructions!$A:$A,0)),12%)),Shrinkage!G14),IF(H14&lt;IFERROR(INDEX(Instructions!$B:$B,MATCH("Shrinkage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14" s="12">
        <f>IF(I14="","",R14*(1-(IF(IFERROR(INDEX(Instructions!$B:$B,MATCH("Shrinkage Source",Instructions!$A:$A,0)),"Shrinkage Sheet")="Shrinkage Sheet",IFERROR(IF(Shrinkage!H14="-",IF(I14&lt;IFERROR(INDEX(Instructions!$B:$B,MATCH("Shrinkage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FTEs",Instructions!$A:$A,0)),12%)),Shrinkage!H14),IF(I14&lt;IFERROR(INDEX(Instructions!$B:$B,MATCH("Shrinkage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14" s="12" t="inlineStr">
        <is>
          <t>10:00</t>
        </is>
      </c>
      <c r="AV14" s="53">
        <f>IFERROR(AD14/C14,"")</f>
        <v/>
      </c>
      <c r="AW14" s="53">
        <f>IFERROR(AE14/D14,"")</f>
        <v/>
      </c>
      <c r="AX14" s="53">
        <f>IFERROR(AF14/E14,"")</f>
        <v/>
      </c>
      <c r="AY14" s="53">
        <f>IFERROR(AG14/F14,"")</f>
        <v/>
      </c>
      <c r="AZ14" s="53">
        <f>IFERROR(AH14/G14,"")</f>
        <v/>
      </c>
      <c r="BA14" s="53">
        <f>IFERROR(AI14/H14,"")</f>
        <v/>
      </c>
      <c r="BB14" s="53">
        <f>IFERROR(AJ14/I14,"")</f>
        <v/>
      </c>
      <c r="BD14" s="12" t="inlineStr">
        <is>
          <t>10:00</t>
        </is>
      </c>
      <c r="BE14" s="12">
        <f>IF(C14="","",IF(AV14&gt;=Instructions!$B$15,1,0))</f>
        <v/>
      </c>
      <c r="BF14" s="12">
        <f>IF(D14="","",IF(AW14&gt;=Instructions!$B$15,1,0))</f>
        <v/>
      </c>
      <c r="BG14" s="12">
        <f>IF(E14="","",IF(AX14&gt;=Instructions!$B$15,1,0))</f>
        <v/>
      </c>
      <c r="BH14" s="12">
        <f>IF(F14="","",IF(AY14&gt;=Instructions!$B$15,1,0))</f>
        <v/>
      </c>
      <c r="BI14" s="12">
        <f>IF(G14="","",IF(AZ14&gt;=Instructions!$B$15,1,0))</f>
        <v/>
      </c>
      <c r="BJ14" s="12">
        <f>IF(H14="","",IF(BA14&gt;=Instructions!$B$15,1,0))</f>
        <v/>
      </c>
      <c r="BK14" s="12">
        <f>IF(I14="","",IF(BB14&gt;=Instructions!$B$15,1,0))</f>
        <v/>
      </c>
      <c r="BM14" s="12" t="inlineStr">
        <is>
          <t>10:00</t>
        </is>
      </c>
      <c r="BN14" s="12">
        <f>IF(C14="","",IF(AV14&gt;=Instructions!$B$16,1,0))</f>
        <v/>
      </c>
      <c r="BO14" s="12">
        <f>IF(D14="","",IF(AW14&gt;=Instructions!$B$16,1,0))</f>
        <v/>
      </c>
      <c r="BP14" s="12">
        <f>IF(E14="","",IF(AX14&gt;=Instructions!$B$16,1,0))</f>
        <v/>
      </c>
      <c r="BQ14" s="12">
        <f>IF(F14="","",IF(AY14&gt;=Instructions!$B$16,1,0))</f>
        <v/>
      </c>
      <c r="BR14" s="12">
        <f>IF(G14="","",IF(AZ14&gt;=Instructions!$B$16,1,0))</f>
        <v/>
      </c>
      <c r="BS14" s="12">
        <f>IF(H14="","",IF(BA14&gt;=Instructions!$B$16,1,0))</f>
        <v/>
      </c>
      <c r="BT14" s="12">
        <f>IF(I14="","",IF(BB14&gt;=Instructions!$B$16,1,0))</f>
        <v/>
      </c>
      <c r="BV14" s="12" t="inlineStr">
        <is>
          <t>10:00</t>
        </is>
      </c>
      <c r="BW14" s="12">
        <f>IF(C14="","",IF(ROUND(AV14,6)&gt;=ROUND(Instructions!$B$16-Instructions!$B$17,6),1,0))</f>
        <v/>
      </c>
      <c r="BX14" s="12">
        <f>IF(D14="","",IF(ROUND(AW14,6)&gt;=ROUND(Instructions!$B$16-Instructions!$B$17,6),1,0))</f>
        <v/>
      </c>
      <c r="BY14" s="12">
        <f>IF(E14="","",IF(ROUND(AX14,6)&gt;=ROUND(Instructions!$B$16-Instructions!$B$17,6),1,0))</f>
        <v/>
      </c>
      <c r="BZ14" s="12">
        <f>IF(F14="","",IF(ROUND(AY14,6)&gt;=ROUND(Instructions!$B$16-Instructions!$B$17,6),1,0))</f>
        <v/>
      </c>
      <c r="CA14" s="12">
        <f>IF(G14="","",IF(ROUND(AZ14,6)&gt;=ROUND(Instructions!$B$16-Instructions!$B$17,6),1,0))</f>
        <v/>
      </c>
      <c r="CB14" s="12">
        <f>IF(H14="","",IF(ROUND(BA14,6)&gt;=ROUND(Instructions!$B$16-Instructions!$B$17,6),1,0))</f>
        <v/>
      </c>
      <c r="CC14" s="12">
        <f>IF(I14="","",IF(ROUND(BB14,6)&gt;=ROUND(Instructions!$B$16-Instructions!$B$17,6),1,0))</f>
        <v/>
      </c>
      <c r="CF14" s="12" t="inlineStr">
        <is>
          <t>10:00</t>
        </is>
      </c>
      <c r="CG14" s="12">
        <f>IF(C14="","",AD14-C14)</f>
        <v/>
      </c>
      <c r="CH14" s="12">
        <f>IF(D14="","",AE14-D14)</f>
        <v/>
      </c>
      <c r="CI14" s="12">
        <f>IF(E14="","",AF14-E14)</f>
        <v/>
      </c>
      <c r="CJ14" s="12">
        <f>IF(F14="","",AG14-F14)</f>
        <v/>
      </c>
      <c r="CK14" s="12">
        <f>IF(G14="","",AH14-G14)</f>
        <v/>
      </c>
      <c r="CL14" s="12">
        <f>IF(H14="","",AI14-H14)</f>
        <v/>
      </c>
      <c r="CM14" s="12">
        <f>IF(I14="","",AJ14-I14)</f>
        <v/>
      </c>
    </row>
    <row r="15">
      <c r="B15" s="12" t="inlineStr">
        <is>
          <t>11:00</t>
        </is>
      </c>
      <c r="C15" s="16" t="n"/>
      <c r="D15" s="16" t="n"/>
      <c r="E15" s="16" t="n"/>
      <c r="F15" s="16" t="n"/>
      <c r="G15" s="16" t="n"/>
      <c r="H15" s="16" t="n"/>
      <c r="I15" s="16" t="n"/>
      <c r="K15" s="12" t="inlineStr">
        <is>
          <t>11:00</t>
        </is>
      </c>
      <c r="L15" s="12">
        <f>IF(C15="","",COUNTIFS('Scheduler Engine'!$N$2:$N$1751,1,'Scheduler Engine'!$L$2:$L$1751,"&lt;="&amp;((0)*24+VALUE(LEFT($K15,2))),'Scheduler Engine'!$M$2:$M$1751,"&gt;"&amp;((0)*24+VALUE(LEFT($K15,2))))+COUNTIFS('Previous Engine'!$K$2:$K$251,1,'Previous Engine'!$H$2:$H$251,"&lt;="&amp;VALUE(LEFT($K15,2)),'Previous Engine'!$I$2:$I$251,"&gt;"&amp;VALUE(LEFT($K15,2))))</f>
        <v/>
      </c>
      <c r="M15" s="12">
        <f>IF(D15="","",COUNTIFS('Scheduler Engine'!$N$2:$N$1751,1,'Scheduler Engine'!$L$2:$L$1751,"&lt;="&amp;((1)*24+VALUE(LEFT($K15,2))),'Scheduler Engine'!$M$2:$M$1751,"&gt;"&amp;((1)*24+VALUE(LEFT($K15,2)))))</f>
        <v/>
      </c>
      <c r="N15" s="12">
        <f>IF(E15="","",COUNTIFS('Scheduler Engine'!$N$2:$N$1751,1,'Scheduler Engine'!$L$2:$L$1751,"&lt;="&amp;((2)*24+VALUE(LEFT($K15,2))),'Scheduler Engine'!$M$2:$M$1751,"&gt;"&amp;((2)*24+VALUE(LEFT($K15,2)))))</f>
        <v/>
      </c>
      <c r="O15" s="12">
        <f>IF(F15="","",COUNTIFS('Scheduler Engine'!$N$2:$N$1751,1,'Scheduler Engine'!$L$2:$L$1751,"&lt;="&amp;((3)*24+VALUE(LEFT($K15,2))),'Scheduler Engine'!$M$2:$M$1751,"&gt;"&amp;((3)*24+VALUE(LEFT($K15,2)))))</f>
        <v/>
      </c>
      <c r="P15" s="12">
        <f>IF(G15="","",COUNTIFS('Scheduler Engine'!$N$2:$N$1751,1,'Scheduler Engine'!$L$2:$L$1751,"&lt;="&amp;((4)*24+VALUE(LEFT($K15,2))),'Scheduler Engine'!$M$2:$M$1751,"&gt;"&amp;((4)*24+VALUE(LEFT($K15,2)))))</f>
        <v/>
      </c>
      <c r="Q15" s="12">
        <f>IF(H15="","",COUNTIFS('Scheduler Engine'!$N$2:$N$1751,1,'Scheduler Engine'!$L$2:$L$1751,"&lt;="&amp;((5)*24+VALUE(LEFT($K15,2))),'Scheduler Engine'!$M$2:$M$1751,"&gt;"&amp;((5)*24+VALUE(LEFT($K15,2)))))</f>
        <v/>
      </c>
      <c r="R15" s="12">
        <f>IF(I15="","",COUNTIFS('Scheduler Engine'!$N$2:$N$1751,1,'Scheduler Engine'!$L$2:$L$1751,"&lt;="&amp;((6)*24+VALUE(LEFT($K15,2))),'Scheduler Engine'!$M$2:$M$1751,"&gt;"&amp;((6)*24+VALUE(LEFT($K15,2)))))</f>
        <v/>
      </c>
      <c r="AC15" s="12" t="inlineStr">
        <is>
          <t>11:00</t>
        </is>
      </c>
      <c r="AD15" s="12">
        <f>IF(C15="","",L15*(1-(IF(IFERROR(INDEX(Instructions!$B:$B,MATCH("Shrinkage Source",Instructions!$A:$A,0)),"Shrinkage Sheet")="Shrinkage Sheet",IFERROR(IF(Shrinkage!B15="-",IF(C15&lt;IFERROR(INDEX(Instructions!$B:$B,MATCH("Shrinkage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FTEs",Instructions!$A:$A,0)),12%)),Shrinkage!B15),IF(C15&lt;IFERROR(INDEX(Instructions!$B:$B,MATCH("Shrinkage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15" s="12">
        <f>IF(D15="","",M15*(1-(IF(IFERROR(INDEX(Instructions!$B:$B,MATCH("Shrinkage Source",Instructions!$A:$A,0)),"Shrinkage Sheet")="Shrinkage Sheet",IFERROR(IF(Shrinkage!C15="-",IF(D15&lt;IFERROR(INDEX(Instructions!$B:$B,MATCH("Shrinkage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FTEs",Instructions!$A:$A,0)),12%)),Shrinkage!C15),IF(D15&lt;IFERROR(INDEX(Instructions!$B:$B,MATCH("Shrinkage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15" s="12">
        <f>IF(E15="","",N15*(1-(IF(IFERROR(INDEX(Instructions!$B:$B,MATCH("Shrinkage Source",Instructions!$A:$A,0)),"Shrinkage Sheet")="Shrinkage Sheet",IFERROR(IF(Shrinkage!D15="-",IF(E15&lt;IFERROR(INDEX(Instructions!$B:$B,MATCH("Shrinkage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FTEs",Instructions!$A:$A,0)),12%)),Shrinkage!D15),IF(E15&lt;IFERROR(INDEX(Instructions!$B:$B,MATCH("Shrinkage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15" s="12">
        <f>IF(F15="","",O15*(1-(IF(IFERROR(INDEX(Instructions!$B:$B,MATCH("Shrinkage Source",Instructions!$A:$A,0)),"Shrinkage Sheet")="Shrinkage Sheet",IFERROR(IF(Shrinkage!E15="-",IF(F15&lt;IFERROR(INDEX(Instructions!$B:$B,MATCH("Shrinkage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FTEs",Instructions!$A:$A,0)),12%)),Shrinkage!E15),IF(F15&lt;IFERROR(INDEX(Instructions!$B:$B,MATCH("Shrinkage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15" s="12">
        <f>IF(G15="","",P15*(1-(IF(IFERROR(INDEX(Instructions!$B:$B,MATCH("Shrinkage Source",Instructions!$A:$A,0)),"Shrinkage Sheet")="Shrinkage Sheet",IFERROR(IF(Shrinkage!F15="-",IF(G15&lt;IFERROR(INDEX(Instructions!$B:$B,MATCH("Shrinkage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FTEs",Instructions!$A:$A,0)),12%)),Shrinkage!F15),IF(G15&lt;IFERROR(INDEX(Instructions!$B:$B,MATCH("Shrinkage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15" s="12">
        <f>IF(H15="","",Q15*(1-(IF(IFERROR(INDEX(Instructions!$B:$B,MATCH("Shrinkage Source",Instructions!$A:$A,0)),"Shrinkage Sheet")="Shrinkage Sheet",IFERROR(IF(Shrinkage!G15="-",IF(H15&lt;IFERROR(INDEX(Instructions!$B:$B,MATCH("Shrinkage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FTEs",Instructions!$A:$A,0)),12%)),Shrinkage!G15),IF(H15&lt;IFERROR(INDEX(Instructions!$B:$B,MATCH("Shrinkage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15" s="12">
        <f>IF(I15="","",R15*(1-(IF(IFERROR(INDEX(Instructions!$B:$B,MATCH("Shrinkage Source",Instructions!$A:$A,0)),"Shrinkage Sheet")="Shrinkage Sheet",IFERROR(IF(Shrinkage!H15="-",IF(I15&lt;IFERROR(INDEX(Instructions!$B:$B,MATCH("Shrinkage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FTEs",Instructions!$A:$A,0)),12%)),Shrinkage!H15),IF(I15&lt;IFERROR(INDEX(Instructions!$B:$B,MATCH("Shrinkage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15" s="12" t="inlineStr">
        <is>
          <t>11:00</t>
        </is>
      </c>
      <c r="AV15" s="53">
        <f>IFERROR(AD15/C15,"")</f>
        <v/>
      </c>
      <c r="AW15" s="53">
        <f>IFERROR(AE15/D15,"")</f>
        <v/>
      </c>
      <c r="AX15" s="53">
        <f>IFERROR(AF15/E15,"")</f>
        <v/>
      </c>
      <c r="AY15" s="53">
        <f>IFERROR(AG15/F15,"")</f>
        <v/>
      </c>
      <c r="AZ15" s="53">
        <f>IFERROR(AH15/G15,"")</f>
        <v/>
      </c>
      <c r="BA15" s="53">
        <f>IFERROR(AI15/H15,"")</f>
        <v/>
      </c>
      <c r="BB15" s="53">
        <f>IFERROR(AJ15/I15,"")</f>
        <v/>
      </c>
      <c r="BD15" s="12" t="inlineStr">
        <is>
          <t>11:00</t>
        </is>
      </c>
      <c r="BE15" s="12">
        <f>IF(C15="","",IF(AV15&gt;=Instructions!$B$15,1,0))</f>
        <v/>
      </c>
      <c r="BF15" s="12">
        <f>IF(D15="","",IF(AW15&gt;=Instructions!$B$15,1,0))</f>
        <v/>
      </c>
      <c r="BG15" s="12">
        <f>IF(E15="","",IF(AX15&gt;=Instructions!$B$15,1,0))</f>
        <v/>
      </c>
      <c r="BH15" s="12">
        <f>IF(F15="","",IF(AY15&gt;=Instructions!$B$15,1,0))</f>
        <v/>
      </c>
      <c r="BI15" s="12">
        <f>IF(G15="","",IF(AZ15&gt;=Instructions!$B$15,1,0))</f>
        <v/>
      </c>
      <c r="BJ15" s="12">
        <f>IF(H15="","",IF(BA15&gt;=Instructions!$B$15,1,0))</f>
        <v/>
      </c>
      <c r="BK15" s="12">
        <f>IF(I15="","",IF(BB15&gt;=Instructions!$B$15,1,0))</f>
        <v/>
      </c>
      <c r="BM15" s="12" t="inlineStr">
        <is>
          <t>11:00</t>
        </is>
      </c>
      <c r="BN15" s="12">
        <f>IF(C15="","",IF(AV15&gt;=Instructions!$B$16,1,0))</f>
        <v/>
      </c>
      <c r="BO15" s="12">
        <f>IF(D15="","",IF(AW15&gt;=Instructions!$B$16,1,0))</f>
        <v/>
      </c>
      <c r="BP15" s="12">
        <f>IF(E15="","",IF(AX15&gt;=Instructions!$B$16,1,0))</f>
        <v/>
      </c>
      <c r="BQ15" s="12">
        <f>IF(F15="","",IF(AY15&gt;=Instructions!$B$16,1,0))</f>
        <v/>
      </c>
      <c r="BR15" s="12">
        <f>IF(G15="","",IF(AZ15&gt;=Instructions!$B$16,1,0))</f>
        <v/>
      </c>
      <c r="BS15" s="12">
        <f>IF(H15="","",IF(BA15&gt;=Instructions!$B$16,1,0))</f>
        <v/>
      </c>
      <c r="BT15" s="12">
        <f>IF(I15="","",IF(BB15&gt;=Instructions!$B$16,1,0))</f>
        <v/>
      </c>
      <c r="BV15" s="12" t="inlineStr">
        <is>
          <t>11:00</t>
        </is>
      </c>
      <c r="BW15" s="12">
        <f>IF(C15="","",IF(ROUND(AV15,6)&gt;=ROUND(Instructions!$B$16-Instructions!$B$17,6),1,0))</f>
        <v/>
      </c>
      <c r="BX15" s="12">
        <f>IF(D15="","",IF(ROUND(AW15,6)&gt;=ROUND(Instructions!$B$16-Instructions!$B$17,6),1,0))</f>
        <v/>
      </c>
      <c r="BY15" s="12">
        <f>IF(E15="","",IF(ROUND(AX15,6)&gt;=ROUND(Instructions!$B$16-Instructions!$B$17,6),1,0))</f>
        <v/>
      </c>
      <c r="BZ15" s="12">
        <f>IF(F15="","",IF(ROUND(AY15,6)&gt;=ROUND(Instructions!$B$16-Instructions!$B$17,6),1,0))</f>
        <v/>
      </c>
      <c r="CA15" s="12">
        <f>IF(G15="","",IF(ROUND(AZ15,6)&gt;=ROUND(Instructions!$B$16-Instructions!$B$17,6),1,0))</f>
        <v/>
      </c>
      <c r="CB15" s="12">
        <f>IF(H15="","",IF(ROUND(BA15,6)&gt;=ROUND(Instructions!$B$16-Instructions!$B$17,6),1,0))</f>
        <v/>
      </c>
      <c r="CC15" s="12">
        <f>IF(I15="","",IF(ROUND(BB15,6)&gt;=ROUND(Instructions!$B$16-Instructions!$B$17,6),1,0))</f>
        <v/>
      </c>
      <c r="CF15" s="12" t="inlineStr">
        <is>
          <t>11:00</t>
        </is>
      </c>
      <c r="CG15" s="12">
        <f>IF(C15="","",AD15-C15)</f>
        <v/>
      </c>
      <c r="CH15" s="12">
        <f>IF(D15="","",AE15-D15)</f>
        <v/>
      </c>
      <c r="CI15" s="12">
        <f>IF(E15="","",AF15-E15)</f>
        <v/>
      </c>
      <c r="CJ15" s="12">
        <f>IF(F15="","",AG15-F15)</f>
        <v/>
      </c>
      <c r="CK15" s="12">
        <f>IF(G15="","",AH15-G15)</f>
        <v/>
      </c>
      <c r="CL15" s="12">
        <f>IF(H15="","",AI15-H15)</f>
        <v/>
      </c>
      <c r="CM15" s="12">
        <f>IF(I15="","",AJ15-I15)</f>
        <v/>
      </c>
    </row>
    <row r="16">
      <c r="B16" s="12" t="inlineStr">
        <is>
          <t>12:00</t>
        </is>
      </c>
      <c r="C16" s="16" t="n"/>
      <c r="D16" s="16" t="n"/>
      <c r="E16" s="16" t="n"/>
      <c r="F16" s="16" t="n"/>
      <c r="G16" s="16" t="n"/>
      <c r="H16" s="16" t="n"/>
      <c r="I16" s="16" t="n"/>
      <c r="K16" s="12" t="inlineStr">
        <is>
          <t>12:00</t>
        </is>
      </c>
      <c r="L16" s="12">
        <f>IF(C16="","",COUNTIFS('Scheduler Engine'!$N$2:$N$1751,1,'Scheduler Engine'!$L$2:$L$1751,"&lt;="&amp;((0)*24+VALUE(LEFT($K16,2))),'Scheduler Engine'!$M$2:$M$1751,"&gt;"&amp;((0)*24+VALUE(LEFT($K16,2))))+COUNTIFS('Previous Engine'!$K$2:$K$251,1,'Previous Engine'!$H$2:$H$251,"&lt;="&amp;VALUE(LEFT($K16,2)),'Previous Engine'!$I$2:$I$251,"&gt;"&amp;VALUE(LEFT($K16,2))))</f>
        <v/>
      </c>
      <c r="M16" s="12">
        <f>IF(D16="","",COUNTIFS('Scheduler Engine'!$N$2:$N$1751,1,'Scheduler Engine'!$L$2:$L$1751,"&lt;="&amp;((1)*24+VALUE(LEFT($K16,2))),'Scheduler Engine'!$M$2:$M$1751,"&gt;"&amp;((1)*24+VALUE(LEFT($K16,2)))))</f>
        <v/>
      </c>
      <c r="N16" s="12">
        <f>IF(E16="","",COUNTIFS('Scheduler Engine'!$N$2:$N$1751,1,'Scheduler Engine'!$L$2:$L$1751,"&lt;="&amp;((2)*24+VALUE(LEFT($K16,2))),'Scheduler Engine'!$M$2:$M$1751,"&gt;"&amp;((2)*24+VALUE(LEFT($K16,2)))))</f>
        <v/>
      </c>
      <c r="O16" s="12">
        <f>IF(F16="","",COUNTIFS('Scheduler Engine'!$N$2:$N$1751,1,'Scheduler Engine'!$L$2:$L$1751,"&lt;="&amp;((3)*24+VALUE(LEFT($K16,2))),'Scheduler Engine'!$M$2:$M$1751,"&gt;"&amp;((3)*24+VALUE(LEFT($K16,2)))))</f>
        <v/>
      </c>
      <c r="P16" s="12">
        <f>IF(G16="","",COUNTIFS('Scheduler Engine'!$N$2:$N$1751,1,'Scheduler Engine'!$L$2:$L$1751,"&lt;="&amp;((4)*24+VALUE(LEFT($K16,2))),'Scheduler Engine'!$M$2:$M$1751,"&gt;"&amp;((4)*24+VALUE(LEFT($K16,2)))))</f>
        <v/>
      </c>
      <c r="Q16" s="12">
        <f>IF(H16="","",COUNTIFS('Scheduler Engine'!$N$2:$N$1751,1,'Scheduler Engine'!$L$2:$L$1751,"&lt;="&amp;((5)*24+VALUE(LEFT($K16,2))),'Scheduler Engine'!$M$2:$M$1751,"&gt;"&amp;((5)*24+VALUE(LEFT($K16,2)))))</f>
        <v/>
      </c>
      <c r="R16" s="12">
        <f>IF(I16="","",COUNTIFS('Scheduler Engine'!$N$2:$N$1751,1,'Scheduler Engine'!$L$2:$L$1751,"&lt;="&amp;((6)*24+VALUE(LEFT($K16,2))),'Scheduler Engine'!$M$2:$M$1751,"&gt;"&amp;((6)*24+VALUE(LEFT($K16,2)))))</f>
        <v/>
      </c>
      <c r="AC16" s="12" t="inlineStr">
        <is>
          <t>12:00</t>
        </is>
      </c>
      <c r="AD16" s="12">
        <f>IF(C16="","",L16*(1-(IF(IFERROR(INDEX(Instructions!$B:$B,MATCH("Shrinkage Source",Instructions!$A:$A,0)),"Shrinkage Sheet")="Shrinkage Sheet",IFERROR(IF(Shrinkage!B16="-",IF(C16&lt;IFERROR(INDEX(Instructions!$B:$B,MATCH("Shrinkage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FTEs",Instructions!$A:$A,0)),12%)),Shrinkage!B16),IF(C16&lt;IFERROR(INDEX(Instructions!$B:$B,MATCH("Shrinkage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16" s="12">
        <f>IF(D16="","",M16*(1-(IF(IFERROR(INDEX(Instructions!$B:$B,MATCH("Shrinkage Source",Instructions!$A:$A,0)),"Shrinkage Sheet")="Shrinkage Sheet",IFERROR(IF(Shrinkage!C16="-",IF(D16&lt;IFERROR(INDEX(Instructions!$B:$B,MATCH("Shrinkage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FTEs",Instructions!$A:$A,0)),12%)),Shrinkage!C16),IF(D16&lt;IFERROR(INDEX(Instructions!$B:$B,MATCH("Shrinkage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16" s="12">
        <f>IF(E16="","",N16*(1-(IF(IFERROR(INDEX(Instructions!$B:$B,MATCH("Shrinkage Source",Instructions!$A:$A,0)),"Shrinkage Sheet")="Shrinkage Sheet",IFERROR(IF(Shrinkage!D16="-",IF(E16&lt;IFERROR(INDEX(Instructions!$B:$B,MATCH("Shrinkage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FTEs",Instructions!$A:$A,0)),12%)),Shrinkage!D16),IF(E16&lt;IFERROR(INDEX(Instructions!$B:$B,MATCH("Shrinkage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16" s="12">
        <f>IF(F16="","",O16*(1-(IF(IFERROR(INDEX(Instructions!$B:$B,MATCH("Shrinkage Source",Instructions!$A:$A,0)),"Shrinkage Sheet")="Shrinkage Sheet",IFERROR(IF(Shrinkage!E16="-",IF(F16&lt;IFERROR(INDEX(Instructions!$B:$B,MATCH("Shrinkage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FTEs",Instructions!$A:$A,0)),12%)),Shrinkage!E16),IF(F16&lt;IFERROR(INDEX(Instructions!$B:$B,MATCH("Shrinkage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16" s="12">
        <f>IF(G16="","",P16*(1-(IF(IFERROR(INDEX(Instructions!$B:$B,MATCH("Shrinkage Source",Instructions!$A:$A,0)),"Shrinkage Sheet")="Shrinkage Sheet",IFERROR(IF(Shrinkage!F16="-",IF(G16&lt;IFERROR(INDEX(Instructions!$B:$B,MATCH("Shrinkage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FTEs",Instructions!$A:$A,0)),12%)),Shrinkage!F16),IF(G16&lt;IFERROR(INDEX(Instructions!$B:$B,MATCH("Shrinkage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16" s="12">
        <f>IF(H16="","",Q16*(1-(IF(IFERROR(INDEX(Instructions!$B:$B,MATCH("Shrinkage Source",Instructions!$A:$A,0)),"Shrinkage Sheet")="Shrinkage Sheet",IFERROR(IF(Shrinkage!G16="-",IF(H16&lt;IFERROR(INDEX(Instructions!$B:$B,MATCH("Shrinkage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FTEs",Instructions!$A:$A,0)),12%)),Shrinkage!G16),IF(H16&lt;IFERROR(INDEX(Instructions!$B:$B,MATCH("Shrinkage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16" s="12">
        <f>IF(I16="","",R16*(1-(IF(IFERROR(INDEX(Instructions!$B:$B,MATCH("Shrinkage Source",Instructions!$A:$A,0)),"Shrinkage Sheet")="Shrinkage Sheet",IFERROR(IF(Shrinkage!H16="-",IF(I16&lt;IFERROR(INDEX(Instructions!$B:$B,MATCH("Shrinkage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FTEs",Instructions!$A:$A,0)),12%)),Shrinkage!H16),IF(I16&lt;IFERROR(INDEX(Instructions!$B:$B,MATCH("Shrinkage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16" s="12" t="inlineStr">
        <is>
          <t>12:00</t>
        </is>
      </c>
      <c r="AV16" s="53">
        <f>IFERROR(AD16/C16,"")</f>
        <v/>
      </c>
      <c r="AW16" s="53">
        <f>IFERROR(AE16/D16,"")</f>
        <v/>
      </c>
      <c r="AX16" s="53">
        <f>IFERROR(AF16/E16,"")</f>
        <v/>
      </c>
      <c r="AY16" s="53">
        <f>IFERROR(AG16/F16,"")</f>
        <v/>
      </c>
      <c r="AZ16" s="53">
        <f>IFERROR(AH16/G16,"")</f>
        <v/>
      </c>
      <c r="BA16" s="53">
        <f>IFERROR(AI16/H16,"")</f>
        <v/>
      </c>
      <c r="BB16" s="53">
        <f>IFERROR(AJ16/I16,"")</f>
        <v/>
      </c>
      <c r="BD16" s="12" t="inlineStr">
        <is>
          <t>12:00</t>
        </is>
      </c>
      <c r="BE16" s="12">
        <f>IF(C16="","",IF(AV16&gt;=Instructions!$B$15,1,0))</f>
        <v/>
      </c>
      <c r="BF16" s="12">
        <f>IF(D16="","",IF(AW16&gt;=Instructions!$B$15,1,0))</f>
        <v/>
      </c>
      <c r="BG16" s="12">
        <f>IF(E16="","",IF(AX16&gt;=Instructions!$B$15,1,0))</f>
        <v/>
      </c>
      <c r="BH16" s="12">
        <f>IF(F16="","",IF(AY16&gt;=Instructions!$B$15,1,0))</f>
        <v/>
      </c>
      <c r="BI16" s="12">
        <f>IF(G16="","",IF(AZ16&gt;=Instructions!$B$15,1,0))</f>
        <v/>
      </c>
      <c r="BJ16" s="12">
        <f>IF(H16="","",IF(BA16&gt;=Instructions!$B$15,1,0))</f>
        <v/>
      </c>
      <c r="BK16" s="12">
        <f>IF(I16="","",IF(BB16&gt;=Instructions!$B$15,1,0))</f>
        <v/>
      </c>
      <c r="BM16" s="12" t="inlineStr">
        <is>
          <t>12:00</t>
        </is>
      </c>
      <c r="BN16" s="12">
        <f>IF(C16="","",IF(AV16&gt;=Instructions!$B$16,1,0))</f>
        <v/>
      </c>
      <c r="BO16" s="12">
        <f>IF(D16="","",IF(AW16&gt;=Instructions!$B$16,1,0))</f>
        <v/>
      </c>
      <c r="BP16" s="12">
        <f>IF(E16="","",IF(AX16&gt;=Instructions!$B$16,1,0))</f>
        <v/>
      </c>
      <c r="BQ16" s="12">
        <f>IF(F16="","",IF(AY16&gt;=Instructions!$B$16,1,0))</f>
        <v/>
      </c>
      <c r="BR16" s="12">
        <f>IF(G16="","",IF(AZ16&gt;=Instructions!$B$16,1,0))</f>
        <v/>
      </c>
      <c r="BS16" s="12">
        <f>IF(H16="","",IF(BA16&gt;=Instructions!$B$16,1,0))</f>
        <v/>
      </c>
      <c r="BT16" s="12">
        <f>IF(I16="","",IF(BB16&gt;=Instructions!$B$16,1,0))</f>
        <v/>
      </c>
      <c r="BV16" s="12" t="inlineStr">
        <is>
          <t>12:00</t>
        </is>
      </c>
      <c r="BW16" s="12">
        <f>IF(C16="","",IF(ROUND(AV16,6)&gt;=ROUND(Instructions!$B$16-Instructions!$B$17,6),1,0))</f>
        <v/>
      </c>
      <c r="BX16" s="12">
        <f>IF(D16="","",IF(ROUND(AW16,6)&gt;=ROUND(Instructions!$B$16-Instructions!$B$17,6),1,0))</f>
        <v/>
      </c>
      <c r="BY16" s="12">
        <f>IF(E16="","",IF(ROUND(AX16,6)&gt;=ROUND(Instructions!$B$16-Instructions!$B$17,6),1,0))</f>
        <v/>
      </c>
      <c r="BZ16" s="12">
        <f>IF(F16="","",IF(ROUND(AY16,6)&gt;=ROUND(Instructions!$B$16-Instructions!$B$17,6),1,0))</f>
        <v/>
      </c>
      <c r="CA16" s="12">
        <f>IF(G16="","",IF(ROUND(AZ16,6)&gt;=ROUND(Instructions!$B$16-Instructions!$B$17,6),1,0))</f>
        <v/>
      </c>
      <c r="CB16" s="12">
        <f>IF(H16="","",IF(ROUND(BA16,6)&gt;=ROUND(Instructions!$B$16-Instructions!$B$17,6),1,0))</f>
        <v/>
      </c>
      <c r="CC16" s="12">
        <f>IF(I16="","",IF(ROUND(BB16,6)&gt;=ROUND(Instructions!$B$16-Instructions!$B$17,6),1,0))</f>
        <v/>
      </c>
      <c r="CF16" s="12" t="inlineStr">
        <is>
          <t>12:00</t>
        </is>
      </c>
      <c r="CG16" s="12">
        <f>IF(C16="","",AD16-C16)</f>
        <v/>
      </c>
      <c r="CH16" s="12">
        <f>IF(D16="","",AE16-D16)</f>
        <v/>
      </c>
      <c r="CI16" s="12">
        <f>IF(E16="","",AF16-E16)</f>
        <v/>
      </c>
      <c r="CJ16" s="12">
        <f>IF(F16="","",AG16-F16)</f>
        <v/>
      </c>
      <c r="CK16" s="12">
        <f>IF(G16="","",AH16-G16)</f>
        <v/>
      </c>
      <c r="CL16" s="12">
        <f>IF(H16="","",AI16-H16)</f>
        <v/>
      </c>
      <c r="CM16" s="12">
        <f>IF(I16="","",AJ16-I16)</f>
        <v/>
      </c>
    </row>
    <row r="17">
      <c r="B17" s="12" t="inlineStr">
        <is>
          <t>13:00</t>
        </is>
      </c>
      <c r="C17" s="16" t="n"/>
      <c r="D17" s="16" t="n"/>
      <c r="E17" s="16" t="n"/>
      <c r="F17" s="16" t="n"/>
      <c r="G17" s="16" t="n"/>
      <c r="H17" s="16" t="n"/>
      <c r="I17" s="16" t="n"/>
      <c r="K17" s="12" t="inlineStr">
        <is>
          <t>13:00</t>
        </is>
      </c>
      <c r="L17" s="12">
        <f>IF(C17="","",COUNTIFS('Scheduler Engine'!$N$2:$N$1751,1,'Scheduler Engine'!$L$2:$L$1751,"&lt;="&amp;((0)*24+VALUE(LEFT($K17,2))),'Scheduler Engine'!$M$2:$M$1751,"&gt;"&amp;((0)*24+VALUE(LEFT($K17,2))))+COUNTIFS('Previous Engine'!$K$2:$K$251,1,'Previous Engine'!$H$2:$H$251,"&lt;="&amp;VALUE(LEFT($K17,2)),'Previous Engine'!$I$2:$I$251,"&gt;"&amp;VALUE(LEFT($K17,2))))</f>
        <v/>
      </c>
      <c r="M17" s="12">
        <f>IF(D17="","",COUNTIFS('Scheduler Engine'!$N$2:$N$1751,1,'Scheduler Engine'!$L$2:$L$1751,"&lt;="&amp;((1)*24+VALUE(LEFT($K17,2))),'Scheduler Engine'!$M$2:$M$1751,"&gt;"&amp;((1)*24+VALUE(LEFT($K17,2)))))</f>
        <v/>
      </c>
      <c r="N17" s="12">
        <f>IF(E17="","",COUNTIFS('Scheduler Engine'!$N$2:$N$1751,1,'Scheduler Engine'!$L$2:$L$1751,"&lt;="&amp;((2)*24+VALUE(LEFT($K17,2))),'Scheduler Engine'!$M$2:$M$1751,"&gt;"&amp;((2)*24+VALUE(LEFT($K17,2)))))</f>
        <v/>
      </c>
      <c r="O17" s="12">
        <f>IF(F17="","",COUNTIFS('Scheduler Engine'!$N$2:$N$1751,1,'Scheduler Engine'!$L$2:$L$1751,"&lt;="&amp;((3)*24+VALUE(LEFT($K17,2))),'Scheduler Engine'!$M$2:$M$1751,"&gt;"&amp;((3)*24+VALUE(LEFT($K17,2)))))</f>
        <v/>
      </c>
      <c r="P17" s="12">
        <f>IF(G17="","",COUNTIFS('Scheduler Engine'!$N$2:$N$1751,1,'Scheduler Engine'!$L$2:$L$1751,"&lt;="&amp;((4)*24+VALUE(LEFT($K17,2))),'Scheduler Engine'!$M$2:$M$1751,"&gt;"&amp;((4)*24+VALUE(LEFT($K17,2)))))</f>
        <v/>
      </c>
      <c r="Q17" s="12">
        <f>IF(H17="","",COUNTIFS('Scheduler Engine'!$N$2:$N$1751,1,'Scheduler Engine'!$L$2:$L$1751,"&lt;="&amp;((5)*24+VALUE(LEFT($K17,2))),'Scheduler Engine'!$M$2:$M$1751,"&gt;"&amp;((5)*24+VALUE(LEFT($K17,2)))))</f>
        <v/>
      </c>
      <c r="R17" s="12">
        <f>IF(I17="","",COUNTIFS('Scheduler Engine'!$N$2:$N$1751,1,'Scheduler Engine'!$L$2:$L$1751,"&lt;="&amp;((6)*24+VALUE(LEFT($K17,2))),'Scheduler Engine'!$M$2:$M$1751,"&gt;"&amp;((6)*24+VALUE(LEFT($K17,2)))))</f>
        <v/>
      </c>
      <c r="AC17" s="12" t="inlineStr">
        <is>
          <t>13:00</t>
        </is>
      </c>
      <c r="AD17" s="12">
        <f>IF(C17="","",L17*(1-(IF(IFERROR(INDEX(Instructions!$B:$B,MATCH("Shrinkage Source",Instructions!$A:$A,0)),"Shrinkage Sheet")="Shrinkage Sheet",IFERROR(IF(Shrinkage!B17="-",IF(C17&lt;IFERROR(INDEX(Instructions!$B:$B,MATCH("Shrinkage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FTEs",Instructions!$A:$A,0)),12%)),Shrinkage!B17),IF(C17&lt;IFERROR(INDEX(Instructions!$B:$B,MATCH("Shrinkage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17" s="12">
        <f>IF(D17="","",M17*(1-(IF(IFERROR(INDEX(Instructions!$B:$B,MATCH("Shrinkage Source",Instructions!$A:$A,0)),"Shrinkage Sheet")="Shrinkage Sheet",IFERROR(IF(Shrinkage!C17="-",IF(D17&lt;IFERROR(INDEX(Instructions!$B:$B,MATCH("Shrinkage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FTEs",Instructions!$A:$A,0)),12%)),Shrinkage!C17),IF(D17&lt;IFERROR(INDEX(Instructions!$B:$B,MATCH("Shrinkage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17" s="12">
        <f>IF(E17="","",N17*(1-(IF(IFERROR(INDEX(Instructions!$B:$B,MATCH("Shrinkage Source",Instructions!$A:$A,0)),"Shrinkage Sheet")="Shrinkage Sheet",IFERROR(IF(Shrinkage!D17="-",IF(E17&lt;IFERROR(INDEX(Instructions!$B:$B,MATCH("Shrinkage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FTEs",Instructions!$A:$A,0)),12%)),Shrinkage!D17),IF(E17&lt;IFERROR(INDEX(Instructions!$B:$B,MATCH("Shrinkage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17" s="12">
        <f>IF(F17="","",O17*(1-(IF(IFERROR(INDEX(Instructions!$B:$B,MATCH("Shrinkage Source",Instructions!$A:$A,0)),"Shrinkage Sheet")="Shrinkage Sheet",IFERROR(IF(Shrinkage!E17="-",IF(F17&lt;IFERROR(INDEX(Instructions!$B:$B,MATCH("Shrinkage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FTEs",Instructions!$A:$A,0)),12%)),Shrinkage!E17),IF(F17&lt;IFERROR(INDEX(Instructions!$B:$B,MATCH("Shrinkage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17" s="12">
        <f>IF(G17="","",P17*(1-(IF(IFERROR(INDEX(Instructions!$B:$B,MATCH("Shrinkage Source",Instructions!$A:$A,0)),"Shrinkage Sheet")="Shrinkage Sheet",IFERROR(IF(Shrinkage!F17="-",IF(G17&lt;IFERROR(INDEX(Instructions!$B:$B,MATCH("Shrinkage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FTEs",Instructions!$A:$A,0)),12%)),Shrinkage!F17),IF(G17&lt;IFERROR(INDEX(Instructions!$B:$B,MATCH("Shrinkage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17" s="12">
        <f>IF(H17="","",Q17*(1-(IF(IFERROR(INDEX(Instructions!$B:$B,MATCH("Shrinkage Source",Instructions!$A:$A,0)),"Shrinkage Sheet")="Shrinkage Sheet",IFERROR(IF(Shrinkage!G17="-",IF(H17&lt;IFERROR(INDEX(Instructions!$B:$B,MATCH("Shrinkage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FTEs",Instructions!$A:$A,0)),12%)),Shrinkage!G17),IF(H17&lt;IFERROR(INDEX(Instructions!$B:$B,MATCH("Shrinkage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17" s="12">
        <f>IF(I17="","",R17*(1-(IF(IFERROR(INDEX(Instructions!$B:$B,MATCH("Shrinkage Source",Instructions!$A:$A,0)),"Shrinkage Sheet")="Shrinkage Sheet",IFERROR(IF(Shrinkage!H17="-",IF(I17&lt;IFERROR(INDEX(Instructions!$B:$B,MATCH("Shrinkage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FTEs",Instructions!$A:$A,0)),12%)),Shrinkage!H17),IF(I17&lt;IFERROR(INDEX(Instructions!$B:$B,MATCH("Shrinkage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17" s="12" t="inlineStr">
        <is>
          <t>13:00</t>
        </is>
      </c>
      <c r="AV17" s="53">
        <f>IFERROR(AD17/C17,"")</f>
        <v/>
      </c>
      <c r="AW17" s="53">
        <f>IFERROR(AE17/D17,"")</f>
        <v/>
      </c>
      <c r="AX17" s="53">
        <f>IFERROR(AF17/E17,"")</f>
        <v/>
      </c>
      <c r="AY17" s="53">
        <f>IFERROR(AG17/F17,"")</f>
        <v/>
      </c>
      <c r="AZ17" s="53">
        <f>IFERROR(AH17/G17,"")</f>
        <v/>
      </c>
      <c r="BA17" s="53">
        <f>IFERROR(AI17/H17,"")</f>
        <v/>
      </c>
      <c r="BB17" s="53">
        <f>IFERROR(AJ17/I17,"")</f>
        <v/>
      </c>
      <c r="BD17" s="12" t="inlineStr">
        <is>
          <t>13:00</t>
        </is>
      </c>
      <c r="BE17" s="12">
        <f>IF(C17="","",IF(AV17&gt;=Instructions!$B$15,1,0))</f>
        <v/>
      </c>
      <c r="BF17" s="12">
        <f>IF(D17="","",IF(AW17&gt;=Instructions!$B$15,1,0))</f>
        <v/>
      </c>
      <c r="BG17" s="12">
        <f>IF(E17="","",IF(AX17&gt;=Instructions!$B$15,1,0))</f>
        <v/>
      </c>
      <c r="BH17" s="12">
        <f>IF(F17="","",IF(AY17&gt;=Instructions!$B$15,1,0))</f>
        <v/>
      </c>
      <c r="BI17" s="12">
        <f>IF(G17="","",IF(AZ17&gt;=Instructions!$B$15,1,0))</f>
        <v/>
      </c>
      <c r="BJ17" s="12">
        <f>IF(H17="","",IF(BA17&gt;=Instructions!$B$15,1,0))</f>
        <v/>
      </c>
      <c r="BK17" s="12">
        <f>IF(I17="","",IF(BB17&gt;=Instructions!$B$15,1,0))</f>
        <v/>
      </c>
      <c r="BM17" s="12" t="inlineStr">
        <is>
          <t>13:00</t>
        </is>
      </c>
      <c r="BN17" s="12">
        <f>IF(C17="","",IF(AV17&gt;=Instructions!$B$16,1,0))</f>
        <v/>
      </c>
      <c r="BO17" s="12">
        <f>IF(D17="","",IF(AW17&gt;=Instructions!$B$16,1,0))</f>
        <v/>
      </c>
      <c r="BP17" s="12">
        <f>IF(E17="","",IF(AX17&gt;=Instructions!$B$16,1,0))</f>
        <v/>
      </c>
      <c r="BQ17" s="12">
        <f>IF(F17="","",IF(AY17&gt;=Instructions!$B$16,1,0))</f>
        <v/>
      </c>
      <c r="BR17" s="12">
        <f>IF(G17="","",IF(AZ17&gt;=Instructions!$B$16,1,0))</f>
        <v/>
      </c>
      <c r="BS17" s="12">
        <f>IF(H17="","",IF(BA17&gt;=Instructions!$B$16,1,0))</f>
        <v/>
      </c>
      <c r="BT17" s="12">
        <f>IF(I17="","",IF(BB17&gt;=Instructions!$B$16,1,0))</f>
        <v/>
      </c>
      <c r="BV17" s="12" t="inlineStr">
        <is>
          <t>13:00</t>
        </is>
      </c>
      <c r="BW17" s="12">
        <f>IF(C17="","",IF(ROUND(AV17,6)&gt;=ROUND(Instructions!$B$16-Instructions!$B$17,6),1,0))</f>
        <v/>
      </c>
      <c r="BX17" s="12">
        <f>IF(D17="","",IF(ROUND(AW17,6)&gt;=ROUND(Instructions!$B$16-Instructions!$B$17,6),1,0))</f>
        <v/>
      </c>
      <c r="BY17" s="12">
        <f>IF(E17="","",IF(ROUND(AX17,6)&gt;=ROUND(Instructions!$B$16-Instructions!$B$17,6),1,0))</f>
        <v/>
      </c>
      <c r="BZ17" s="12">
        <f>IF(F17="","",IF(ROUND(AY17,6)&gt;=ROUND(Instructions!$B$16-Instructions!$B$17,6),1,0))</f>
        <v/>
      </c>
      <c r="CA17" s="12">
        <f>IF(G17="","",IF(ROUND(AZ17,6)&gt;=ROUND(Instructions!$B$16-Instructions!$B$17,6),1,0))</f>
        <v/>
      </c>
      <c r="CB17" s="12">
        <f>IF(H17="","",IF(ROUND(BA17,6)&gt;=ROUND(Instructions!$B$16-Instructions!$B$17,6),1,0))</f>
        <v/>
      </c>
      <c r="CC17" s="12">
        <f>IF(I17="","",IF(ROUND(BB17,6)&gt;=ROUND(Instructions!$B$16-Instructions!$B$17,6),1,0))</f>
        <v/>
      </c>
      <c r="CF17" s="12" t="inlineStr">
        <is>
          <t>13:00</t>
        </is>
      </c>
      <c r="CG17" s="12">
        <f>IF(C17="","",AD17-C17)</f>
        <v/>
      </c>
      <c r="CH17" s="12">
        <f>IF(D17="","",AE17-D17)</f>
        <v/>
      </c>
      <c r="CI17" s="12">
        <f>IF(E17="","",AF17-E17)</f>
        <v/>
      </c>
      <c r="CJ17" s="12">
        <f>IF(F17="","",AG17-F17)</f>
        <v/>
      </c>
      <c r="CK17" s="12">
        <f>IF(G17="","",AH17-G17)</f>
        <v/>
      </c>
      <c r="CL17" s="12">
        <f>IF(H17="","",AI17-H17)</f>
        <v/>
      </c>
      <c r="CM17" s="12">
        <f>IF(I17="","",AJ17-I17)</f>
        <v/>
      </c>
    </row>
    <row r="18">
      <c r="B18" s="12" t="inlineStr">
        <is>
          <t>14:00</t>
        </is>
      </c>
      <c r="C18" s="16" t="n"/>
      <c r="D18" s="16" t="n"/>
      <c r="E18" s="16" t="n"/>
      <c r="F18" s="16" t="n"/>
      <c r="G18" s="16" t="n"/>
      <c r="H18" s="16" t="n"/>
      <c r="I18" s="16" t="n"/>
      <c r="K18" s="12" t="inlineStr">
        <is>
          <t>14:00</t>
        </is>
      </c>
      <c r="L18" s="12">
        <f>IF(C18="","",COUNTIFS('Scheduler Engine'!$N$2:$N$1751,1,'Scheduler Engine'!$L$2:$L$1751,"&lt;="&amp;((0)*24+VALUE(LEFT($K18,2))),'Scheduler Engine'!$M$2:$M$1751,"&gt;"&amp;((0)*24+VALUE(LEFT($K18,2))))+COUNTIFS('Previous Engine'!$K$2:$K$251,1,'Previous Engine'!$H$2:$H$251,"&lt;="&amp;VALUE(LEFT($K18,2)),'Previous Engine'!$I$2:$I$251,"&gt;"&amp;VALUE(LEFT($K18,2))))</f>
        <v/>
      </c>
      <c r="M18" s="12">
        <f>IF(D18="","",COUNTIFS('Scheduler Engine'!$N$2:$N$1751,1,'Scheduler Engine'!$L$2:$L$1751,"&lt;="&amp;((1)*24+VALUE(LEFT($K18,2))),'Scheduler Engine'!$M$2:$M$1751,"&gt;"&amp;((1)*24+VALUE(LEFT($K18,2)))))</f>
        <v/>
      </c>
      <c r="N18" s="12">
        <f>IF(E18="","",COUNTIFS('Scheduler Engine'!$N$2:$N$1751,1,'Scheduler Engine'!$L$2:$L$1751,"&lt;="&amp;((2)*24+VALUE(LEFT($K18,2))),'Scheduler Engine'!$M$2:$M$1751,"&gt;"&amp;((2)*24+VALUE(LEFT($K18,2)))))</f>
        <v/>
      </c>
      <c r="O18" s="12">
        <f>IF(F18="","",COUNTIFS('Scheduler Engine'!$N$2:$N$1751,1,'Scheduler Engine'!$L$2:$L$1751,"&lt;="&amp;((3)*24+VALUE(LEFT($K18,2))),'Scheduler Engine'!$M$2:$M$1751,"&gt;"&amp;((3)*24+VALUE(LEFT($K18,2)))))</f>
        <v/>
      </c>
      <c r="P18" s="12">
        <f>IF(G18="","",COUNTIFS('Scheduler Engine'!$N$2:$N$1751,1,'Scheduler Engine'!$L$2:$L$1751,"&lt;="&amp;((4)*24+VALUE(LEFT($K18,2))),'Scheduler Engine'!$M$2:$M$1751,"&gt;"&amp;((4)*24+VALUE(LEFT($K18,2)))))</f>
        <v/>
      </c>
      <c r="Q18" s="12">
        <f>IF(H18="","",COUNTIFS('Scheduler Engine'!$N$2:$N$1751,1,'Scheduler Engine'!$L$2:$L$1751,"&lt;="&amp;((5)*24+VALUE(LEFT($K18,2))),'Scheduler Engine'!$M$2:$M$1751,"&gt;"&amp;((5)*24+VALUE(LEFT($K18,2)))))</f>
        <v/>
      </c>
      <c r="R18" s="12">
        <f>IF(I18="","",COUNTIFS('Scheduler Engine'!$N$2:$N$1751,1,'Scheduler Engine'!$L$2:$L$1751,"&lt;="&amp;((6)*24+VALUE(LEFT($K18,2))),'Scheduler Engine'!$M$2:$M$1751,"&gt;"&amp;((6)*24+VALUE(LEFT($K18,2)))))</f>
        <v/>
      </c>
      <c r="AC18" s="12" t="inlineStr">
        <is>
          <t>14:00</t>
        </is>
      </c>
      <c r="AD18" s="12">
        <f>IF(C18="","",L18*(1-(IF(IFERROR(INDEX(Instructions!$B:$B,MATCH("Shrinkage Source",Instructions!$A:$A,0)),"Shrinkage Sheet")="Shrinkage Sheet",IFERROR(IF(Shrinkage!B18="-",IF(C18&lt;IFERROR(INDEX(Instructions!$B:$B,MATCH("Shrinkage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FTEs",Instructions!$A:$A,0)),12%)),Shrinkage!B18),IF(C18&lt;IFERROR(INDEX(Instructions!$B:$B,MATCH("Shrinkage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18" s="12">
        <f>IF(D18="","",M18*(1-(IF(IFERROR(INDEX(Instructions!$B:$B,MATCH("Shrinkage Source",Instructions!$A:$A,0)),"Shrinkage Sheet")="Shrinkage Sheet",IFERROR(IF(Shrinkage!C18="-",IF(D18&lt;IFERROR(INDEX(Instructions!$B:$B,MATCH("Shrinkage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FTEs",Instructions!$A:$A,0)),12%)),Shrinkage!C18),IF(D18&lt;IFERROR(INDEX(Instructions!$B:$B,MATCH("Shrinkage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18" s="12">
        <f>IF(E18="","",N18*(1-(IF(IFERROR(INDEX(Instructions!$B:$B,MATCH("Shrinkage Source",Instructions!$A:$A,0)),"Shrinkage Sheet")="Shrinkage Sheet",IFERROR(IF(Shrinkage!D18="-",IF(E18&lt;IFERROR(INDEX(Instructions!$B:$B,MATCH("Shrinkage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FTEs",Instructions!$A:$A,0)),12%)),Shrinkage!D18),IF(E18&lt;IFERROR(INDEX(Instructions!$B:$B,MATCH("Shrinkage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18" s="12">
        <f>IF(F18="","",O18*(1-(IF(IFERROR(INDEX(Instructions!$B:$B,MATCH("Shrinkage Source",Instructions!$A:$A,0)),"Shrinkage Sheet")="Shrinkage Sheet",IFERROR(IF(Shrinkage!E18="-",IF(F18&lt;IFERROR(INDEX(Instructions!$B:$B,MATCH("Shrinkage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FTEs",Instructions!$A:$A,0)),12%)),Shrinkage!E18),IF(F18&lt;IFERROR(INDEX(Instructions!$B:$B,MATCH("Shrinkage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18" s="12">
        <f>IF(G18="","",P18*(1-(IF(IFERROR(INDEX(Instructions!$B:$B,MATCH("Shrinkage Source",Instructions!$A:$A,0)),"Shrinkage Sheet")="Shrinkage Sheet",IFERROR(IF(Shrinkage!F18="-",IF(G18&lt;IFERROR(INDEX(Instructions!$B:$B,MATCH("Shrinkage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FTEs",Instructions!$A:$A,0)),12%)),Shrinkage!F18),IF(G18&lt;IFERROR(INDEX(Instructions!$B:$B,MATCH("Shrinkage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18" s="12">
        <f>IF(H18="","",Q18*(1-(IF(IFERROR(INDEX(Instructions!$B:$B,MATCH("Shrinkage Source",Instructions!$A:$A,0)),"Shrinkage Sheet")="Shrinkage Sheet",IFERROR(IF(Shrinkage!G18="-",IF(H18&lt;IFERROR(INDEX(Instructions!$B:$B,MATCH("Shrinkage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FTEs",Instructions!$A:$A,0)),12%)),Shrinkage!G18),IF(H18&lt;IFERROR(INDEX(Instructions!$B:$B,MATCH("Shrinkage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18" s="12">
        <f>IF(I18="","",R18*(1-(IF(IFERROR(INDEX(Instructions!$B:$B,MATCH("Shrinkage Source",Instructions!$A:$A,0)),"Shrinkage Sheet")="Shrinkage Sheet",IFERROR(IF(Shrinkage!H18="-",IF(I18&lt;IFERROR(INDEX(Instructions!$B:$B,MATCH("Shrinkage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FTEs",Instructions!$A:$A,0)),12%)),Shrinkage!H18),IF(I18&lt;IFERROR(INDEX(Instructions!$B:$B,MATCH("Shrinkage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18" s="12" t="inlineStr">
        <is>
          <t>14:00</t>
        </is>
      </c>
      <c r="AV18" s="53">
        <f>IFERROR(AD18/C18,"")</f>
        <v/>
      </c>
      <c r="AW18" s="53">
        <f>IFERROR(AE18/D18,"")</f>
        <v/>
      </c>
      <c r="AX18" s="53">
        <f>IFERROR(AF18/E18,"")</f>
        <v/>
      </c>
      <c r="AY18" s="53">
        <f>IFERROR(AG18/F18,"")</f>
        <v/>
      </c>
      <c r="AZ18" s="53">
        <f>IFERROR(AH18/G18,"")</f>
        <v/>
      </c>
      <c r="BA18" s="53">
        <f>IFERROR(AI18/H18,"")</f>
        <v/>
      </c>
      <c r="BB18" s="53">
        <f>IFERROR(AJ18/I18,"")</f>
        <v/>
      </c>
      <c r="BD18" s="12" t="inlineStr">
        <is>
          <t>14:00</t>
        </is>
      </c>
      <c r="BE18" s="12">
        <f>IF(C18="","",IF(AV18&gt;=Instructions!$B$15,1,0))</f>
        <v/>
      </c>
      <c r="BF18" s="12">
        <f>IF(D18="","",IF(AW18&gt;=Instructions!$B$15,1,0))</f>
        <v/>
      </c>
      <c r="BG18" s="12">
        <f>IF(E18="","",IF(AX18&gt;=Instructions!$B$15,1,0))</f>
        <v/>
      </c>
      <c r="BH18" s="12">
        <f>IF(F18="","",IF(AY18&gt;=Instructions!$B$15,1,0))</f>
        <v/>
      </c>
      <c r="BI18" s="12">
        <f>IF(G18="","",IF(AZ18&gt;=Instructions!$B$15,1,0))</f>
        <v/>
      </c>
      <c r="BJ18" s="12">
        <f>IF(H18="","",IF(BA18&gt;=Instructions!$B$15,1,0))</f>
        <v/>
      </c>
      <c r="BK18" s="12">
        <f>IF(I18="","",IF(BB18&gt;=Instructions!$B$15,1,0))</f>
        <v/>
      </c>
      <c r="BM18" s="12" t="inlineStr">
        <is>
          <t>14:00</t>
        </is>
      </c>
      <c r="BN18" s="12">
        <f>IF(C18="","",IF(AV18&gt;=Instructions!$B$16,1,0))</f>
        <v/>
      </c>
      <c r="BO18" s="12">
        <f>IF(D18="","",IF(AW18&gt;=Instructions!$B$16,1,0))</f>
        <v/>
      </c>
      <c r="BP18" s="12">
        <f>IF(E18="","",IF(AX18&gt;=Instructions!$B$16,1,0))</f>
        <v/>
      </c>
      <c r="BQ18" s="12">
        <f>IF(F18="","",IF(AY18&gt;=Instructions!$B$16,1,0))</f>
        <v/>
      </c>
      <c r="BR18" s="12">
        <f>IF(G18="","",IF(AZ18&gt;=Instructions!$B$16,1,0))</f>
        <v/>
      </c>
      <c r="BS18" s="12">
        <f>IF(H18="","",IF(BA18&gt;=Instructions!$B$16,1,0))</f>
        <v/>
      </c>
      <c r="BT18" s="12">
        <f>IF(I18="","",IF(BB18&gt;=Instructions!$B$16,1,0))</f>
        <v/>
      </c>
      <c r="BV18" s="12" t="inlineStr">
        <is>
          <t>14:00</t>
        </is>
      </c>
      <c r="BW18" s="12">
        <f>IF(C18="","",IF(ROUND(AV18,6)&gt;=ROUND(Instructions!$B$16-Instructions!$B$17,6),1,0))</f>
        <v/>
      </c>
      <c r="BX18" s="12">
        <f>IF(D18="","",IF(ROUND(AW18,6)&gt;=ROUND(Instructions!$B$16-Instructions!$B$17,6),1,0))</f>
        <v/>
      </c>
      <c r="BY18" s="12">
        <f>IF(E18="","",IF(ROUND(AX18,6)&gt;=ROUND(Instructions!$B$16-Instructions!$B$17,6),1,0))</f>
        <v/>
      </c>
      <c r="BZ18" s="12">
        <f>IF(F18="","",IF(ROUND(AY18,6)&gt;=ROUND(Instructions!$B$16-Instructions!$B$17,6),1,0))</f>
        <v/>
      </c>
      <c r="CA18" s="12">
        <f>IF(G18="","",IF(ROUND(AZ18,6)&gt;=ROUND(Instructions!$B$16-Instructions!$B$17,6),1,0))</f>
        <v/>
      </c>
      <c r="CB18" s="12">
        <f>IF(H18="","",IF(ROUND(BA18,6)&gt;=ROUND(Instructions!$B$16-Instructions!$B$17,6),1,0))</f>
        <v/>
      </c>
      <c r="CC18" s="12">
        <f>IF(I18="","",IF(ROUND(BB18,6)&gt;=ROUND(Instructions!$B$16-Instructions!$B$17,6),1,0))</f>
        <v/>
      </c>
      <c r="CF18" s="12" t="inlineStr">
        <is>
          <t>14:00</t>
        </is>
      </c>
      <c r="CG18" s="12">
        <f>IF(C18="","",AD18-C18)</f>
        <v/>
      </c>
      <c r="CH18" s="12">
        <f>IF(D18="","",AE18-D18)</f>
        <v/>
      </c>
      <c r="CI18" s="12">
        <f>IF(E18="","",AF18-E18)</f>
        <v/>
      </c>
      <c r="CJ18" s="12">
        <f>IF(F18="","",AG18-F18)</f>
        <v/>
      </c>
      <c r="CK18" s="12">
        <f>IF(G18="","",AH18-G18)</f>
        <v/>
      </c>
      <c r="CL18" s="12">
        <f>IF(H18="","",AI18-H18)</f>
        <v/>
      </c>
      <c r="CM18" s="12">
        <f>IF(I18="","",AJ18-I18)</f>
        <v/>
      </c>
    </row>
    <row r="19">
      <c r="B19" s="12" t="inlineStr">
        <is>
          <t>15:00</t>
        </is>
      </c>
      <c r="C19" s="16" t="n"/>
      <c r="D19" s="16" t="n"/>
      <c r="E19" s="16" t="n"/>
      <c r="F19" s="16" t="n"/>
      <c r="G19" s="16" t="n"/>
      <c r="H19" s="16" t="n"/>
      <c r="I19" s="16" t="n"/>
      <c r="K19" s="12" t="inlineStr">
        <is>
          <t>15:00</t>
        </is>
      </c>
      <c r="L19" s="12">
        <f>IF(C19="","",COUNTIFS('Scheduler Engine'!$N$2:$N$1751,1,'Scheduler Engine'!$L$2:$L$1751,"&lt;="&amp;((0)*24+VALUE(LEFT($K19,2))),'Scheduler Engine'!$M$2:$M$1751,"&gt;"&amp;((0)*24+VALUE(LEFT($K19,2))))+COUNTIFS('Previous Engine'!$K$2:$K$251,1,'Previous Engine'!$H$2:$H$251,"&lt;="&amp;VALUE(LEFT($K19,2)),'Previous Engine'!$I$2:$I$251,"&gt;"&amp;VALUE(LEFT($K19,2))))</f>
        <v/>
      </c>
      <c r="M19" s="12">
        <f>IF(D19="","",COUNTIFS('Scheduler Engine'!$N$2:$N$1751,1,'Scheduler Engine'!$L$2:$L$1751,"&lt;="&amp;((1)*24+VALUE(LEFT($K19,2))),'Scheduler Engine'!$M$2:$M$1751,"&gt;"&amp;((1)*24+VALUE(LEFT($K19,2)))))</f>
        <v/>
      </c>
      <c r="N19" s="12">
        <f>IF(E19="","",COUNTIFS('Scheduler Engine'!$N$2:$N$1751,1,'Scheduler Engine'!$L$2:$L$1751,"&lt;="&amp;((2)*24+VALUE(LEFT($K19,2))),'Scheduler Engine'!$M$2:$M$1751,"&gt;"&amp;((2)*24+VALUE(LEFT($K19,2)))))</f>
        <v/>
      </c>
      <c r="O19" s="12">
        <f>IF(F19="","",COUNTIFS('Scheduler Engine'!$N$2:$N$1751,1,'Scheduler Engine'!$L$2:$L$1751,"&lt;="&amp;((3)*24+VALUE(LEFT($K19,2))),'Scheduler Engine'!$M$2:$M$1751,"&gt;"&amp;((3)*24+VALUE(LEFT($K19,2)))))</f>
        <v/>
      </c>
      <c r="P19" s="12">
        <f>IF(G19="","",COUNTIFS('Scheduler Engine'!$N$2:$N$1751,1,'Scheduler Engine'!$L$2:$L$1751,"&lt;="&amp;((4)*24+VALUE(LEFT($K19,2))),'Scheduler Engine'!$M$2:$M$1751,"&gt;"&amp;((4)*24+VALUE(LEFT($K19,2)))))</f>
        <v/>
      </c>
      <c r="Q19" s="12">
        <f>IF(H19="","",COUNTIFS('Scheduler Engine'!$N$2:$N$1751,1,'Scheduler Engine'!$L$2:$L$1751,"&lt;="&amp;((5)*24+VALUE(LEFT($K19,2))),'Scheduler Engine'!$M$2:$M$1751,"&gt;"&amp;((5)*24+VALUE(LEFT($K19,2)))))</f>
        <v/>
      </c>
      <c r="R19" s="12">
        <f>IF(I19="","",COUNTIFS('Scheduler Engine'!$N$2:$N$1751,1,'Scheduler Engine'!$L$2:$L$1751,"&lt;="&amp;((6)*24+VALUE(LEFT($K19,2))),'Scheduler Engine'!$M$2:$M$1751,"&gt;"&amp;((6)*24+VALUE(LEFT($K19,2)))))</f>
        <v/>
      </c>
      <c r="AC19" s="12" t="inlineStr">
        <is>
          <t>15:00</t>
        </is>
      </c>
      <c r="AD19" s="12">
        <f>IF(C19="","",L19*(1-(IF(IFERROR(INDEX(Instructions!$B:$B,MATCH("Shrinkage Source",Instructions!$A:$A,0)),"Shrinkage Sheet")="Shrinkage Sheet",IFERROR(IF(Shrinkage!B19="-",IF(C19&lt;IFERROR(INDEX(Instructions!$B:$B,MATCH("Shrinkage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FTEs",Instructions!$A:$A,0)),12%)),Shrinkage!B19),IF(C19&lt;IFERROR(INDEX(Instructions!$B:$B,MATCH("Shrinkage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19" s="12">
        <f>IF(D19="","",M19*(1-(IF(IFERROR(INDEX(Instructions!$B:$B,MATCH("Shrinkage Source",Instructions!$A:$A,0)),"Shrinkage Sheet")="Shrinkage Sheet",IFERROR(IF(Shrinkage!C19="-",IF(D19&lt;IFERROR(INDEX(Instructions!$B:$B,MATCH("Shrinkage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FTEs",Instructions!$A:$A,0)),12%)),Shrinkage!C19),IF(D19&lt;IFERROR(INDEX(Instructions!$B:$B,MATCH("Shrinkage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19" s="12">
        <f>IF(E19="","",N19*(1-(IF(IFERROR(INDEX(Instructions!$B:$B,MATCH("Shrinkage Source",Instructions!$A:$A,0)),"Shrinkage Sheet")="Shrinkage Sheet",IFERROR(IF(Shrinkage!D19="-",IF(E19&lt;IFERROR(INDEX(Instructions!$B:$B,MATCH("Shrinkage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FTEs",Instructions!$A:$A,0)),12%)),Shrinkage!D19),IF(E19&lt;IFERROR(INDEX(Instructions!$B:$B,MATCH("Shrinkage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19" s="12">
        <f>IF(F19="","",O19*(1-(IF(IFERROR(INDEX(Instructions!$B:$B,MATCH("Shrinkage Source",Instructions!$A:$A,0)),"Shrinkage Sheet")="Shrinkage Sheet",IFERROR(IF(Shrinkage!E19="-",IF(F19&lt;IFERROR(INDEX(Instructions!$B:$B,MATCH("Shrinkage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FTEs",Instructions!$A:$A,0)),12%)),Shrinkage!E19),IF(F19&lt;IFERROR(INDEX(Instructions!$B:$B,MATCH("Shrinkage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19" s="12">
        <f>IF(G19="","",P19*(1-(IF(IFERROR(INDEX(Instructions!$B:$B,MATCH("Shrinkage Source",Instructions!$A:$A,0)),"Shrinkage Sheet")="Shrinkage Sheet",IFERROR(IF(Shrinkage!F19="-",IF(G19&lt;IFERROR(INDEX(Instructions!$B:$B,MATCH("Shrinkage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FTEs",Instructions!$A:$A,0)),12%)),Shrinkage!F19),IF(G19&lt;IFERROR(INDEX(Instructions!$B:$B,MATCH("Shrinkage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19" s="12">
        <f>IF(H19="","",Q19*(1-(IF(IFERROR(INDEX(Instructions!$B:$B,MATCH("Shrinkage Source",Instructions!$A:$A,0)),"Shrinkage Sheet")="Shrinkage Sheet",IFERROR(IF(Shrinkage!G19="-",IF(H19&lt;IFERROR(INDEX(Instructions!$B:$B,MATCH("Shrinkage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FTEs",Instructions!$A:$A,0)),12%)),Shrinkage!G19),IF(H19&lt;IFERROR(INDEX(Instructions!$B:$B,MATCH("Shrinkage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19" s="12">
        <f>IF(I19="","",R19*(1-(IF(IFERROR(INDEX(Instructions!$B:$B,MATCH("Shrinkage Source",Instructions!$A:$A,0)),"Shrinkage Sheet")="Shrinkage Sheet",IFERROR(IF(Shrinkage!H19="-",IF(I19&lt;IFERROR(INDEX(Instructions!$B:$B,MATCH("Shrinkage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FTEs",Instructions!$A:$A,0)),12%)),Shrinkage!H19),IF(I19&lt;IFERROR(INDEX(Instructions!$B:$B,MATCH("Shrinkage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19" s="12" t="inlineStr">
        <is>
          <t>15:00</t>
        </is>
      </c>
      <c r="AV19" s="53">
        <f>IFERROR(AD19/C19,"")</f>
        <v/>
      </c>
      <c r="AW19" s="53">
        <f>IFERROR(AE19/D19,"")</f>
        <v/>
      </c>
      <c r="AX19" s="53">
        <f>IFERROR(AF19/E19,"")</f>
        <v/>
      </c>
      <c r="AY19" s="53">
        <f>IFERROR(AG19/F19,"")</f>
        <v/>
      </c>
      <c r="AZ19" s="53">
        <f>IFERROR(AH19/G19,"")</f>
        <v/>
      </c>
      <c r="BA19" s="53">
        <f>IFERROR(AI19/H19,"")</f>
        <v/>
      </c>
      <c r="BB19" s="53">
        <f>IFERROR(AJ19/I19,"")</f>
        <v/>
      </c>
      <c r="BD19" s="12" t="inlineStr">
        <is>
          <t>15:00</t>
        </is>
      </c>
      <c r="BE19" s="12">
        <f>IF(C19="","",IF(AV19&gt;=Instructions!$B$15,1,0))</f>
        <v/>
      </c>
      <c r="BF19" s="12">
        <f>IF(D19="","",IF(AW19&gt;=Instructions!$B$15,1,0))</f>
        <v/>
      </c>
      <c r="BG19" s="12">
        <f>IF(E19="","",IF(AX19&gt;=Instructions!$B$15,1,0))</f>
        <v/>
      </c>
      <c r="BH19" s="12">
        <f>IF(F19="","",IF(AY19&gt;=Instructions!$B$15,1,0))</f>
        <v/>
      </c>
      <c r="BI19" s="12">
        <f>IF(G19="","",IF(AZ19&gt;=Instructions!$B$15,1,0))</f>
        <v/>
      </c>
      <c r="BJ19" s="12">
        <f>IF(H19="","",IF(BA19&gt;=Instructions!$B$15,1,0))</f>
        <v/>
      </c>
      <c r="BK19" s="12">
        <f>IF(I19="","",IF(BB19&gt;=Instructions!$B$15,1,0))</f>
        <v/>
      </c>
      <c r="BM19" s="12" t="inlineStr">
        <is>
          <t>15:00</t>
        </is>
      </c>
      <c r="BN19" s="12">
        <f>IF(C19="","",IF(AV19&gt;=Instructions!$B$16,1,0))</f>
        <v/>
      </c>
      <c r="BO19" s="12">
        <f>IF(D19="","",IF(AW19&gt;=Instructions!$B$16,1,0))</f>
        <v/>
      </c>
      <c r="BP19" s="12">
        <f>IF(E19="","",IF(AX19&gt;=Instructions!$B$16,1,0))</f>
        <v/>
      </c>
      <c r="BQ19" s="12">
        <f>IF(F19="","",IF(AY19&gt;=Instructions!$B$16,1,0))</f>
        <v/>
      </c>
      <c r="BR19" s="12">
        <f>IF(G19="","",IF(AZ19&gt;=Instructions!$B$16,1,0))</f>
        <v/>
      </c>
      <c r="BS19" s="12">
        <f>IF(H19="","",IF(BA19&gt;=Instructions!$B$16,1,0))</f>
        <v/>
      </c>
      <c r="BT19" s="12">
        <f>IF(I19="","",IF(BB19&gt;=Instructions!$B$16,1,0))</f>
        <v/>
      </c>
      <c r="BV19" s="12" t="inlineStr">
        <is>
          <t>15:00</t>
        </is>
      </c>
      <c r="BW19" s="12">
        <f>IF(C19="","",IF(ROUND(AV19,6)&gt;=ROUND(Instructions!$B$16-Instructions!$B$17,6),1,0))</f>
        <v/>
      </c>
      <c r="BX19" s="12">
        <f>IF(D19="","",IF(ROUND(AW19,6)&gt;=ROUND(Instructions!$B$16-Instructions!$B$17,6),1,0))</f>
        <v/>
      </c>
      <c r="BY19" s="12">
        <f>IF(E19="","",IF(ROUND(AX19,6)&gt;=ROUND(Instructions!$B$16-Instructions!$B$17,6),1,0))</f>
        <v/>
      </c>
      <c r="BZ19" s="12">
        <f>IF(F19="","",IF(ROUND(AY19,6)&gt;=ROUND(Instructions!$B$16-Instructions!$B$17,6),1,0))</f>
        <v/>
      </c>
      <c r="CA19" s="12">
        <f>IF(G19="","",IF(ROUND(AZ19,6)&gt;=ROUND(Instructions!$B$16-Instructions!$B$17,6),1,0))</f>
        <v/>
      </c>
      <c r="CB19" s="12">
        <f>IF(H19="","",IF(ROUND(BA19,6)&gt;=ROUND(Instructions!$B$16-Instructions!$B$17,6),1,0))</f>
        <v/>
      </c>
      <c r="CC19" s="12">
        <f>IF(I19="","",IF(ROUND(BB19,6)&gt;=ROUND(Instructions!$B$16-Instructions!$B$17,6),1,0))</f>
        <v/>
      </c>
      <c r="CF19" s="12" t="inlineStr">
        <is>
          <t>15:00</t>
        </is>
      </c>
      <c r="CG19" s="12">
        <f>IF(C19="","",AD19-C19)</f>
        <v/>
      </c>
      <c r="CH19" s="12">
        <f>IF(D19="","",AE19-D19)</f>
        <v/>
      </c>
      <c r="CI19" s="12">
        <f>IF(E19="","",AF19-E19)</f>
        <v/>
      </c>
      <c r="CJ19" s="12">
        <f>IF(F19="","",AG19-F19)</f>
        <v/>
      </c>
      <c r="CK19" s="12">
        <f>IF(G19="","",AH19-G19)</f>
        <v/>
      </c>
      <c r="CL19" s="12">
        <f>IF(H19="","",AI19-H19)</f>
        <v/>
      </c>
      <c r="CM19" s="12">
        <f>IF(I19="","",AJ19-I19)</f>
        <v/>
      </c>
    </row>
    <row r="20">
      <c r="B20" s="12" t="inlineStr">
        <is>
          <t>16:00</t>
        </is>
      </c>
      <c r="C20" s="16" t="n"/>
      <c r="D20" s="16" t="n"/>
      <c r="E20" s="16" t="n"/>
      <c r="F20" s="16" t="n"/>
      <c r="G20" s="16" t="n"/>
      <c r="H20" s="16" t="n"/>
      <c r="I20" s="16" t="n"/>
      <c r="K20" s="12" t="inlineStr">
        <is>
          <t>16:00</t>
        </is>
      </c>
      <c r="L20" s="12">
        <f>IF(C20="","",COUNTIFS('Scheduler Engine'!$N$2:$N$1751,1,'Scheduler Engine'!$L$2:$L$1751,"&lt;="&amp;((0)*24+VALUE(LEFT($K20,2))),'Scheduler Engine'!$M$2:$M$1751,"&gt;"&amp;((0)*24+VALUE(LEFT($K20,2))))+COUNTIFS('Previous Engine'!$K$2:$K$251,1,'Previous Engine'!$H$2:$H$251,"&lt;="&amp;VALUE(LEFT($K20,2)),'Previous Engine'!$I$2:$I$251,"&gt;"&amp;VALUE(LEFT($K20,2))))</f>
        <v/>
      </c>
      <c r="M20" s="12">
        <f>IF(D20="","",COUNTIFS('Scheduler Engine'!$N$2:$N$1751,1,'Scheduler Engine'!$L$2:$L$1751,"&lt;="&amp;((1)*24+VALUE(LEFT($K20,2))),'Scheduler Engine'!$M$2:$M$1751,"&gt;"&amp;((1)*24+VALUE(LEFT($K20,2)))))</f>
        <v/>
      </c>
      <c r="N20" s="12">
        <f>IF(E20="","",COUNTIFS('Scheduler Engine'!$N$2:$N$1751,1,'Scheduler Engine'!$L$2:$L$1751,"&lt;="&amp;((2)*24+VALUE(LEFT($K20,2))),'Scheduler Engine'!$M$2:$M$1751,"&gt;"&amp;((2)*24+VALUE(LEFT($K20,2)))))</f>
        <v/>
      </c>
      <c r="O20" s="12">
        <f>IF(F20="","",COUNTIFS('Scheduler Engine'!$N$2:$N$1751,1,'Scheduler Engine'!$L$2:$L$1751,"&lt;="&amp;((3)*24+VALUE(LEFT($K20,2))),'Scheduler Engine'!$M$2:$M$1751,"&gt;"&amp;((3)*24+VALUE(LEFT($K20,2)))))</f>
        <v/>
      </c>
      <c r="P20" s="12">
        <f>IF(G20="","",COUNTIFS('Scheduler Engine'!$N$2:$N$1751,1,'Scheduler Engine'!$L$2:$L$1751,"&lt;="&amp;((4)*24+VALUE(LEFT($K20,2))),'Scheduler Engine'!$M$2:$M$1751,"&gt;"&amp;((4)*24+VALUE(LEFT($K20,2)))))</f>
        <v/>
      </c>
      <c r="Q20" s="12">
        <f>IF(H20="","",COUNTIFS('Scheduler Engine'!$N$2:$N$1751,1,'Scheduler Engine'!$L$2:$L$1751,"&lt;="&amp;((5)*24+VALUE(LEFT($K20,2))),'Scheduler Engine'!$M$2:$M$1751,"&gt;"&amp;((5)*24+VALUE(LEFT($K20,2)))))</f>
        <v/>
      </c>
      <c r="R20" s="12">
        <f>IF(I20="","",COUNTIFS('Scheduler Engine'!$N$2:$N$1751,1,'Scheduler Engine'!$L$2:$L$1751,"&lt;="&amp;((6)*24+VALUE(LEFT($K20,2))),'Scheduler Engine'!$M$2:$M$1751,"&gt;"&amp;((6)*24+VALUE(LEFT($K20,2)))))</f>
        <v/>
      </c>
      <c r="AC20" s="12" t="inlineStr">
        <is>
          <t>16:00</t>
        </is>
      </c>
      <c r="AD20" s="12">
        <f>IF(C20="","",L20*(1-(IF(IFERROR(INDEX(Instructions!$B:$B,MATCH("Shrinkage Source",Instructions!$A:$A,0)),"Shrinkage Sheet")="Shrinkage Sheet",IFERROR(IF(Shrinkage!B20="-",IF(C20&lt;IFERROR(INDEX(Instructions!$B:$B,MATCH("Shrinkage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FTEs",Instructions!$A:$A,0)),12%)),Shrinkage!B20),IF(C20&lt;IFERROR(INDEX(Instructions!$B:$B,MATCH("Shrinkage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20" s="12">
        <f>IF(D20="","",M20*(1-(IF(IFERROR(INDEX(Instructions!$B:$B,MATCH("Shrinkage Source",Instructions!$A:$A,0)),"Shrinkage Sheet")="Shrinkage Sheet",IFERROR(IF(Shrinkage!C20="-",IF(D20&lt;IFERROR(INDEX(Instructions!$B:$B,MATCH("Shrinkage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FTEs",Instructions!$A:$A,0)),12%)),Shrinkage!C20),IF(D20&lt;IFERROR(INDEX(Instructions!$B:$B,MATCH("Shrinkage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20" s="12">
        <f>IF(E20="","",N20*(1-(IF(IFERROR(INDEX(Instructions!$B:$B,MATCH("Shrinkage Source",Instructions!$A:$A,0)),"Shrinkage Sheet")="Shrinkage Sheet",IFERROR(IF(Shrinkage!D20="-",IF(E20&lt;IFERROR(INDEX(Instructions!$B:$B,MATCH("Shrinkage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FTEs",Instructions!$A:$A,0)),12%)),Shrinkage!D20),IF(E20&lt;IFERROR(INDEX(Instructions!$B:$B,MATCH("Shrinkage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20" s="12">
        <f>IF(F20="","",O20*(1-(IF(IFERROR(INDEX(Instructions!$B:$B,MATCH("Shrinkage Source",Instructions!$A:$A,0)),"Shrinkage Sheet")="Shrinkage Sheet",IFERROR(IF(Shrinkage!E20="-",IF(F20&lt;IFERROR(INDEX(Instructions!$B:$B,MATCH("Shrinkage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FTEs",Instructions!$A:$A,0)),12%)),Shrinkage!E20),IF(F20&lt;IFERROR(INDEX(Instructions!$B:$B,MATCH("Shrinkage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20" s="12">
        <f>IF(G20="","",P20*(1-(IF(IFERROR(INDEX(Instructions!$B:$B,MATCH("Shrinkage Source",Instructions!$A:$A,0)),"Shrinkage Sheet")="Shrinkage Sheet",IFERROR(IF(Shrinkage!F20="-",IF(G20&lt;IFERROR(INDEX(Instructions!$B:$B,MATCH("Shrinkage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FTEs",Instructions!$A:$A,0)),12%)),Shrinkage!F20),IF(G20&lt;IFERROR(INDEX(Instructions!$B:$B,MATCH("Shrinkage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20" s="12">
        <f>IF(H20="","",Q20*(1-(IF(IFERROR(INDEX(Instructions!$B:$B,MATCH("Shrinkage Source",Instructions!$A:$A,0)),"Shrinkage Sheet")="Shrinkage Sheet",IFERROR(IF(Shrinkage!G20="-",IF(H20&lt;IFERROR(INDEX(Instructions!$B:$B,MATCH("Shrinkage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FTEs",Instructions!$A:$A,0)),12%)),Shrinkage!G20),IF(H20&lt;IFERROR(INDEX(Instructions!$B:$B,MATCH("Shrinkage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20" s="12">
        <f>IF(I20="","",R20*(1-(IF(IFERROR(INDEX(Instructions!$B:$B,MATCH("Shrinkage Source",Instructions!$A:$A,0)),"Shrinkage Sheet")="Shrinkage Sheet",IFERROR(IF(Shrinkage!H20="-",IF(I20&lt;IFERROR(INDEX(Instructions!$B:$B,MATCH("Shrinkage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FTEs",Instructions!$A:$A,0)),12%)),Shrinkage!H20),IF(I20&lt;IFERROR(INDEX(Instructions!$B:$B,MATCH("Shrinkage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20" s="12" t="inlineStr">
        <is>
          <t>16:00</t>
        </is>
      </c>
      <c r="AV20" s="53">
        <f>IFERROR(AD20/C20,"")</f>
        <v/>
      </c>
      <c r="AW20" s="53">
        <f>IFERROR(AE20/D20,"")</f>
        <v/>
      </c>
      <c r="AX20" s="53">
        <f>IFERROR(AF20/E20,"")</f>
        <v/>
      </c>
      <c r="AY20" s="53">
        <f>IFERROR(AG20/F20,"")</f>
        <v/>
      </c>
      <c r="AZ20" s="53">
        <f>IFERROR(AH20/G20,"")</f>
        <v/>
      </c>
      <c r="BA20" s="53">
        <f>IFERROR(AI20/H20,"")</f>
        <v/>
      </c>
      <c r="BB20" s="53">
        <f>IFERROR(AJ20/I20,"")</f>
        <v/>
      </c>
      <c r="BD20" s="12" t="inlineStr">
        <is>
          <t>16:00</t>
        </is>
      </c>
      <c r="BE20" s="12">
        <f>IF(C20="","",IF(AV20&gt;=Instructions!$B$15,1,0))</f>
        <v/>
      </c>
      <c r="BF20" s="12">
        <f>IF(D20="","",IF(AW20&gt;=Instructions!$B$15,1,0))</f>
        <v/>
      </c>
      <c r="BG20" s="12">
        <f>IF(E20="","",IF(AX20&gt;=Instructions!$B$15,1,0))</f>
        <v/>
      </c>
      <c r="BH20" s="12">
        <f>IF(F20="","",IF(AY20&gt;=Instructions!$B$15,1,0))</f>
        <v/>
      </c>
      <c r="BI20" s="12">
        <f>IF(G20="","",IF(AZ20&gt;=Instructions!$B$15,1,0))</f>
        <v/>
      </c>
      <c r="BJ20" s="12">
        <f>IF(H20="","",IF(BA20&gt;=Instructions!$B$15,1,0))</f>
        <v/>
      </c>
      <c r="BK20" s="12">
        <f>IF(I20="","",IF(BB20&gt;=Instructions!$B$15,1,0))</f>
        <v/>
      </c>
      <c r="BM20" s="12" t="inlineStr">
        <is>
          <t>16:00</t>
        </is>
      </c>
      <c r="BN20" s="12">
        <f>IF(C20="","",IF(AV20&gt;=Instructions!$B$16,1,0))</f>
        <v/>
      </c>
      <c r="BO20" s="12">
        <f>IF(D20="","",IF(AW20&gt;=Instructions!$B$16,1,0))</f>
        <v/>
      </c>
      <c r="BP20" s="12">
        <f>IF(E20="","",IF(AX20&gt;=Instructions!$B$16,1,0))</f>
        <v/>
      </c>
      <c r="BQ20" s="12">
        <f>IF(F20="","",IF(AY20&gt;=Instructions!$B$16,1,0))</f>
        <v/>
      </c>
      <c r="BR20" s="12">
        <f>IF(G20="","",IF(AZ20&gt;=Instructions!$B$16,1,0))</f>
        <v/>
      </c>
      <c r="BS20" s="12">
        <f>IF(H20="","",IF(BA20&gt;=Instructions!$B$16,1,0))</f>
        <v/>
      </c>
      <c r="BT20" s="12">
        <f>IF(I20="","",IF(BB20&gt;=Instructions!$B$16,1,0))</f>
        <v/>
      </c>
      <c r="BV20" s="12" t="inlineStr">
        <is>
          <t>16:00</t>
        </is>
      </c>
      <c r="BW20" s="12">
        <f>IF(C20="","",IF(ROUND(AV20,6)&gt;=ROUND(Instructions!$B$16-Instructions!$B$17,6),1,0))</f>
        <v/>
      </c>
      <c r="BX20" s="12">
        <f>IF(D20="","",IF(ROUND(AW20,6)&gt;=ROUND(Instructions!$B$16-Instructions!$B$17,6),1,0))</f>
        <v/>
      </c>
      <c r="BY20" s="12">
        <f>IF(E20="","",IF(ROUND(AX20,6)&gt;=ROUND(Instructions!$B$16-Instructions!$B$17,6),1,0))</f>
        <v/>
      </c>
      <c r="BZ20" s="12">
        <f>IF(F20="","",IF(ROUND(AY20,6)&gt;=ROUND(Instructions!$B$16-Instructions!$B$17,6),1,0))</f>
        <v/>
      </c>
      <c r="CA20" s="12">
        <f>IF(G20="","",IF(ROUND(AZ20,6)&gt;=ROUND(Instructions!$B$16-Instructions!$B$17,6),1,0))</f>
        <v/>
      </c>
      <c r="CB20" s="12">
        <f>IF(H20="","",IF(ROUND(BA20,6)&gt;=ROUND(Instructions!$B$16-Instructions!$B$17,6),1,0))</f>
        <v/>
      </c>
      <c r="CC20" s="12">
        <f>IF(I20="","",IF(ROUND(BB20,6)&gt;=ROUND(Instructions!$B$16-Instructions!$B$17,6),1,0))</f>
        <v/>
      </c>
      <c r="CF20" s="12" t="inlineStr">
        <is>
          <t>16:00</t>
        </is>
      </c>
      <c r="CG20" s="12">
        <f>IF(C20="","",AD20-C20)</f>
        <v/>
      </c>
      <c r="CH20" s="12">
        <f>IF(D20="","",AE20-D20)</f>
        <v/>
      </c>
      <c r="CI20" s="12">
        <f>IF(E20="","",AF20-E20)</f>
        <v/>
      </c>
      <c r="CJ20" s="12">
        <f>IF(F20="","",AG20-F20)</f>
        <v/>
      </c>
      <c r="CK20" s="12">
        <f>IF(G20="","",AH20-G20)</f>
        <v/>
      </c>
      <c r="CL20" s="12">
        <f>IF(H20="","",AI20-H20)</f>
        <v/>
      </c>
      <c r="CM20" s="12">
        <f>IF(I20="","",AJ20-I20)</f>
        <v/>
      </c>
    </row>
    <row r="21">
      <c r="B21" s="12" t="inlineStr">
        <is>
          <t>17:00</t>
        </is>
      </c>
      <c r="C21" s="16" t="n"/>
      <c r="D21" s="16" t="n"/>
      <c r="E21" s="16" t="n"/>
      <c r="F21" s="16" t="n"/>
      <c r="G21" s="16" t="n"/>
      <c r="H21" s="16" t="n"/>
      <c r="I21" s="16" t="n"/>
      <c r="K21" s="12" t="inlineStr">
        <is>
          <t>17:00</t>
        </is>
      </c>
      <c r="L21" s="12">
        <f>IF(C21="","",COUNTIFS('Scheduler Engine'!$N$2:$N$1751,1,'Scheduler Engine'!$L$2:$L$1751,"&lt;="&amp;((0)*24+VALUE(LEFT($K21,2))),'Scheduler Engine'!$M$2:$M$1751,"&gt;"&amp;((0)*24+VALUE(LEFT($K21,2))))+COUNTIFS('Previous Engine'!$K$2:$K$251,1,'Previous Engine'!$H$2:$H$251,"&lt;="&amp;VALUE(LEFT($K21,2)),'Previous Engine'!$I$2:$I$251,"&gt;"&amp;VALUE(LEFT($K21,2))))</f>
        <v/>
      </c>
      <c r="M21" s="12">
        <f>IF(D21="","",COUNTIFS('Scheduler Engine'!$N$2:$N$1751,1,'Scheduler Engine'!$L$2:$L$1751,"&lt;="&amp;((1)*24+VALUE(LEFT($K21,2))),'Scheduler Engine'!$M$2:$M$1751,"&gt;"&amp;((1)*24+VALUE(LEFT($K21,2)))))</f>
        <v/>
      </c>
      <c r="N21" s="12">
        <f>IF(E21="","",COUNTIFS('Scheduler Engine'!$N$2:$N$1751,1,'Scheduler Engine'!$L$2:$L$1751,"&lt;="&amp;((2)*24+VALUE(LEFT($K21,2))),'Scheduler Engine'!$M$2:$M$1751,"&gt;"&amp;((2)*24+VALUE(LEFT($K21,2)))))</f>
        <v/>
      </c>
      <c r="O21" s="12">
        <f>IF(F21="","",COUNTIFS('Scheduler Engine'!$N$2:$N$1751,1,'Scheduler Engine'!$L$2:$L$1751,"&lt;="&amp;((3)*24+VALUE(LEFT($K21,2))),'Scheduler Engine'!$M$2:$M$1751,"&gt;"&amp;((3)*24+VALUE(LEFT($K21,2)))))</f>
        <v/>
      </c>
      <c r="P21" s="12">
        <f>IF(G21="","",COUNTIFS('Scheduler Engine'!$N$2:$N$1751,1,'Scheduler Engine'!$L$2:$L$1751,"&lt;="&amp;((4)*24+VALUE(LEFT($K21,2))),'Scheduler Engine'!$M$2:$M$1751,"&gt;"&amp;((4)*24+VALUE(LEFT($K21,2)))))</f>
        <v/>
      </c>
      <c r="Q21" s="12">
        <f>IF(H21="","",COUNTIFS('Scheduler Engine'!$N$2:$N$1751,1,'Scheduler Engine'!$L$2:$L$1751,"&lt;="&amp;((5)*24+VALUE(LEFT($K21,2))),'Scheduler Engine'!$M$2:$M$1751,"&gt;"&amp;((5)*24+VALUE(LEFT($K21,2)))))</f>
        <v/>
      </c>
      <c r="R21" s="12">
        <f>IF(I21="","",COUNTIFS('Scheduler Engine'!$N$2:$N$1751,1,'Scheduler Engine'!$L$2:$L$1751,"&lt;="&amp;((6)*24+VALUE(LEFT($K21,2))),'Scheduler Engine'!$M$2:$M$1751,"&gt;"&amp;((6)*24+VALUE(LEFT($K21,2)))))</f>
        <v/>
      </c>
      <c r="AC21" s="12" t="inlineStr">
        <is>
          <t>17:00</t>
        </is>
      </c>
      <c r="AD21" s="12">
        <f>IF(C21="","",L21*(1-(IF(IFERROR(INDEX(Instructions!$B:$B,MATCH("Shrinkage Source",Instructions!$A:$A,0)),"Shrinkage Sheet")="Shrinkage Sheet",IFERROR(IF(Shrinkage!B21="-",IF(C21&lt;IFERROR(INDEX(Instructions!$B:$B,MATCH("Shrinkage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FTEs",Instructions!$A:$A,0)),12%)),Shrinkage!B21),IF(C21&lt;IFERROR(INDEX(Instructions!$B:$B,MATCH("Shrinkage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21" s="12">
        <f>IF(D21="","",M21*(1-(IF(IFERROR(INDEX(Instructions!$B:$B,MATCH("Shrinkage Source",Instructions!$A:$A,0)),"Shrinkage Sheet")="Shrinkage Sheet",IFERROR(IF(Shrinkage!C21="-",IF(D21&lt;IFERROR(INDEX(Instructions!$B:$B,MATCH("Shrinkage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FTEs",Instructions!$A:$A,0)),12%)),Shrinkage!C21),IF(D21&lt;IFERROR(INDEX(Instructions!$B:$B,MATCH("Shrinkage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21" s="12">
        <f>IF(E21="","",N21*(1-(IF(IFERROR(INDEX(Instructions!$B:$B,MATCH("Shrinkage Source",Instructions!$A:$A,0)),"Shrinkage Sheet")="Shrinkage Sheet",IFERROR(IF(Shrinkage!D21="-",IF(E21&lt;IFERROR(INDEX(Instructions!$B:$B,MATCH("Shrinkage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FTEs",Instructions!$A:$A,0)),12%)),Shrinkage!D21),IF(E21&lt;IFERROR(INDEX(Instructions!$B:$B,MATCH("Shrinkage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21" s="12">
        <f>IF(F21="","",O21*(1-(IF(IFERROR(INDEX(Instructions!$B:$B,MATCH("Shrinkage Source",Instructions!$A:$A,0)),"Shrinkage Sheet")="Shrinkage Sheet",IFERROR(IF(Shrinkage!E21="-",IF(F21&lt;IFERROR(INDEX(Instructions!$B:$B,MATCH("Shrinkage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FTEs",Instructions!$A:$A,0)),12%)),Shrinkage!E21),IF(F21&lt;IFERROR(INDEX(Instructions!$B:$B,MATCH("Shrinkage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21" s="12">
        <f>IF(G21="","",P21*(1-(IF(IFERROR(INDEX(Instructions!$B:$B,MATCH("Shrinkage Source",Instructions!$A:$A,0)),"Shrinkage Sheet")="Shrinkage Sheet",IFERROR(IF(Shrinkage!F21="-",IF(G21&lt;IFERROR(INDEX(Instructions!$B:$B,MATCH("Shrinkage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FTEs",Instructions!$A:$A,0)),12%)),Shrinkage!F21),IF(G21&lt;IFERROR(INDEX(Instructions!$B:$B,MATCH("Shrinkage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21" s="12">
        <f>IF(H21="","",Q21*(1-(IF(IFERROR(INDEX(Instructions!$B:$B,MATCH("Shrinkage Source",Instructions!$A:$A,0)),"Shrinkage Sheet")="Shrinkage Sheet",IFERROR(IF(Shrinkage!G21="-",IF(H21&lt;IFERROR(INDEX(Instructions!$B:$B,MATCH("Shrinkage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FTEs",Instructions!$A:$A,0)),12%)),Shrinkage!G21),IF(H21&lt;IFERROR(INDEX(Instructions!$B:$B,MATCH("Shrinkage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21" s="12">
        <f>IF(I21="","",R21*(1-(IF(IFERROR(INDEX(Instructions!$B:$B,MATCH("Shrinkage Source",Instructions!$A:$A,0)),"Shrinkage Sheet")="Shrinkage Sheet",IFERROR(IF(Shrinkage!H21="-",IF(I21&lt;IFERROR(INDEX(Instructions!$B:$B,MATCH("Shrinkage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FTEs",Instructions!$A:$A,0)),12%)),Shrinkage!H21),IF(I21&lt;IFERROR(INDEX(Instructions!$B:$B,MATCH("Shrinkage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21" s="12" t="inlineStr">
        <is>
          <t>17:00</t>
        </is>
      </c>
      <c r="AV21" s="53">
        <f>IFERROR(AD21/C21,"")</f>
        <v/>
      </c>
      <c r="AW21" s="53">
        <f>IFERROR(AE21/D21,"")</f>
        <v/>
      </c>
      <c r="AX21" s="53">
        <f>IFERROR(AF21/E21,"")</f>
        <v/>
      </c>
      <c r="AY21" s="53">
        <f>IFERROR(AG21/F21,"")</f>
        <v/>
      </c>
      <c r="AZ21" s="53">
        <f>IFERROR(AH21/G21,"")</f>
        <v/>
      </c>
      <c r="BA21" s="53">
        <f>IFERROR(AI21/H21,"")</f>
        <v/>
      </c>
      <c r="BB21" s="53">
        <f>IFERROR(AJ21/I21,"")</f>
        <v/>
      </c>
      <c r="BD21" s="12" t="inlineStr">
        <is>
          <t>17:00</t>
        </is>
      </c>
      <c r="BE21" s="12">
        <f>IF(C21="","",IF(AV21&gt;=Instructions!$B$15,1,0))</f>
        <v/>
      </c>
      <c r="BF21" s="12">
        <f>IF(D21="","",IF(AW21&gt;=Instructions!$B$15,1,0))</f>
        <v/>
      </c>
      <c r="BG21" s="12">
        <f>IF(E21="","",IF(AX21&gt;=Instructions!$B$15,1,0))</f>
        <v/>
      </c>
      <c r="BH21" s="12">
        <f>IF(F21="","",IF(AY21&gt;=Instructions!$B$15,1,0))</f>
        <v/>
      </c>
      <c r="BI21" s="12">
        <f>IF(G21="","",IF(AZ21&gt;=Instructions!$B$15,1,0))</f>
        <v/>
      </c>
      <c r="BJ21" s="12">
        <f>IF(H21="","",IF(BA21&gt;=Instructions!$B$15,1,0))</f>
        <v/>
      </c>
      <c r="BK21" s="12">
        <f>IF(I21="","",IF(BB21&gt;=Instructions!$B$15,1,0))</f>
        <v/>
      </c>
      <c r="BM21" s="12" t="inlineStr">
        <is>
          <t>17:00</t>
        </is>
      </c>
      <c r="BN21" s="12">
        <f>IF(C21="","",IF(AV21&gt;=Instructions!$B$16,1,0))</f>
        <v/>
      </c>
      <c r="BO21" s="12">
        <f>IF(D21="","",IF(AW21&gt;=Instructions!$B$16,1,0))</f>
        <v/>
      </c>
      <c r="BP21" s="12">
        <f>IF(E21="","",IF(AX21&gt;=Instructions!$B$16,1,0))</f>
        <v/>
      </c>
      <c r="BQ21" s="12">
        <f>IF(F21="","",IF(AY21&gt;=Instructions!$B$16,1,0))</f>
        <v/>
      </c>
      <c r="BR21" s="12">
        <f>IF(G21="","",IF(AZ21&gt;=Instructions!$B$16,1,0))</f>
        <v/>
      </c>
      <c r="BS21" s="12">
        <f>IF(H21="","",IF(BA21&gt;=Instructions!$B$16,1,0))</f>
        <v/>
      </c>
      <c r="BT21" s="12">
        <f>IF(I21="","",IF(BB21&gt;=Instructions!$B$16,1,0))</f>
        <v/>
      </c>
      <c r="BV21" s="12" t="inlineStr">
        <is>
          <t>17:00</t>
        </is>
      </c>
      <c r="BW21" s="12">
        <f>IF(C21="","",IF(ROUND(AV21,6)&gt;=ROUND(Instructions!$B$16-Instructions!$B$17,6),1,0))</f>
        <v/>
      </c>
      <c r="BX21" s="12">
        <f>IF(D21="","",IF(ROUND(AW21,6)&gt;=ROUND(Instructions!$B$16-Instructions!$B$17,6),1,0))</f>
        <v/>
      </c>
      <c r="BY21" s="12">
        <f>IF(E21="","",IF(ROUND(AX21,6)&gt;=ROUND(Instructions!$B$16-Instructions!$B$17,6),1,0))</f>
        <v/>
      </c>
      <c r="BZ21" s="12">
        <f>IF(F21="","",IF(ROUND(AY21,6)&gt;=ROUND(Instructions!$B$16-Instructions!$B$17,6),1,0))</f>
        <v/>
      </c>
      <c r="CA21" s="12">
        <f>IF(G21="","",IF(ROUND(AZ21,6)&gt;=ROUND(Instructions!$B$16-Instructions!$B$17,6),1,0))</f>
        <v/>
      </c>
      <c r="CB21" s="12">
        <f>IF(H21="","",IF(ROUND(BA21,6)&gt;=ROUND(Instructions!$B$16-Instructions!$B$17,6),1,0))</f>
        <v/>
      </c>
      <c r="CC21" s="12">
        <f>IF(I21="","",IF(ROUND(BB21,6)&gt;=ROUND(Instructions!$B$16-Instructions!$B$17,6),1,0))</f>
        <v/>
      </c>
      <c r="CF21" s="12" t="inlineStr">
        <is>
          <t>17:00</t>
        </is>
      </c>
      <c r="CG21" s="12">
        <f>IF(C21="","",AD21-C21)</f>
        <v/>
      </c>
      <c r="CH21" s="12">
        <f>IF(D21="","",AE21-D21)</f>
        <v/>
      </c>
      <c r="CI21" s="12">
        <f>IF(E21="","",AF21-E21)</f>
        <v/>
      </c>
      <c r="CJ21" s="12">
        <f>IF(F21="","",AG21-F21)</f>
        <v/>
      </c>
      <c r="CK21" s="12">
        <f>IF(G21="","",AH21-G21)</f>
        <v/>
      </c>
      <c r="CL21" s="12">
        <f>IF(H21="","",AI21-H21)</f>
        <v/>
      </c>
      <c r="CM21" s="12">
        <f>IF(I21="","",AJ21-I21)</f>
        <v/>
      </c>
    </row>
    <row r="22">
      <c r="B22" s="12" t="inlineStr">
        <is>
          <t>18:00</t>
        </is>
      </c>
      <c r="C22" s="16" t="n"/>
      <c r="D22" s="16" t="n"/>
      <c r="E22" s="16" t="n"/>
      <c r="F22" s="16" t="n"/>
      <c r="G22" s="16" t="n"/>
      <c r="H22" s="16" t="n"/>
      <c r="I22" s="16" t="n"/>
      <c r="K22" s="12" t="inlineStr">
        <is>
          <t>18:00</t>
        </is>
      </c>
      <c r="L22" s="12">
        <f>IF(C22="","",COUNTIFS('Scheduler Engine'!$N$2:$N$1751,1,'Scheduler Engine'!$L$2:$L$1751,"&lt;="&amp;((0)*24+VALUE(LEFT($K22,2))),'Scheduler Engine'!$M$2:$M$1751,"&gt;"&amp;((0)*24+VALUE(LEFT($K22,2))))+COUNTIFS('Previous Engine'!$K$2:$K$251,1,'Previous Engine'!$H$2:$H$251,"&lt;="&amp;VALUE(LEFT($K22,2)),'Previous Engine'!$I$2:$I$251,"&gt;"&amp;VALUE(LEFT($K22,2))))</f>
        <v/>
      </c>
      <c r="M22" s="12">
        <f>IF(D22="","",COUNTIFS('Scheduler Engine'!$N$2:$N$1751,1,'Scheduler Engine'!$L$2:$L$1751,"&lt;="&amp;((1)*24+VALUE(LEFT($K22,2))),'Scheduler Engine'!$M$2:$M$1751,"&gt;"&amp;((1)*24+VALUE(LEFT($K22,2)))))</f>
        <v/>
      </c>
      <c r="N22" s="12">
        <f>IF(E22="","",COUNTIFS('Scheduler Engine'!$N$2:$N$1751,1,'Scheduler Engine'!$L$2:$L$1751,"&lt;="&amp;((2)*24+VALUE(LEFT($K22,2))),'Scheduler Engine'!$M$2:$M$1751,"&gt;"&amp;((2)*24+VALUE(LEFT($K22,2)))))</f>
        <v/>
      </c>
      <c r="O22" s="12">
        <f>IF(F22="","",COUNTIFS('Scheduler Engine'!$N$2:$N$1751,1,'Scheduler Engine'!$L$2:$L$1751,"&lt;="&amp;((3)*24+VALUE(LEFT($K22,2))),'Scheduler Engine'!$M$2:$M$1751,"&gt;"&amp;((3)*24+VALUE(LEFT($K22,2)))))</f>
        <v/>
      </c>
      <c r="P22" s="12">
        <f>IF(G22="","",COUNTIFS('Scheduler Engine'!$N$2:$N$1751,1,'Scheduler Engine'!$L$2:$L$1751,"&lt;="&amp;((4)*24+VALUE(LEFT($K22,2))),'Scheduler Engine'!$M$2:$M$1751,"&gt;"&amp;((4)*24+VALUE(LEFT($K22,2)))))</f>
        <v/>
      </c>
      <c r="Q22" s="12">
        <f>IF(H22="","",COUNTIFS('Scheduler Engine'!$N$2:$N$1751,1,'Scheduler Engine'!$L$2:$L$1751,"&lt;="&amp;((5)*24+VALUE(LEFT($K22,2))),'Scheduler Engine'!$M$2:$M$1751,"&gt;"&amp;((5)*24+VALUE(LEFT($K22,2)))))</f>
        <v/>
      </c>
      <c r="R22" s="12">
        <f>IF(I22="","",COUNTIFS('Scheduler Engine'!$N$2:$N$1751,1,'Scheduler Engine'!$L$2:$L$1751,"&lt;="&amp;((6)*24+VALUE(LEFT($K22,2))),'Scheduler Engine'!$M$2:$M$1751,"&gt;"&amp;((6)*24+VALUE(LEFT($K22,2)))))</f>
        <v/>
      </c>
      <c r="AC22" s="12" t="inlineStr">
        <is>
          <t>18:00</t>
        </is>
      </c>
      <c r="AD22" s="12">
        <f>IF(C22="","",L22*(1-(IF(IFERROR(INDEX(Instructions!$B:$B,MATCH("Shrinkage Source",Instructions!$A:$A,0)),"Shrinkage Sheet")="Shrinkage Sheet",IFERROR(IF(Shrinkage!B22="-",IF(C22&lt;IFERROR(INDEX(Instructions!$B:$B,MATCH("Shrinkage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FTEs",Instructions!$A:$A,0)),12%)),Shrinkage!B22),IF(C22&lt;IFERROR(INDEX(Instructions!$B:$B,MATCH("Shrinkage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22" s="12">
        <f>IF(D22="","",M22*(1-(IF(IFERROR(INDEX(Instructions!$B:$B,MATCH("Shrinkage Source",Instructions!$A:$A,0)),"Shrinkage Sheet")="Shrinkage Sheet",IFERROR(IF(Shrinkage!C22="-",IF(D22&lt;IFERROR(INDEX(Instructions!$B:$B,MATCH("Shrinkage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FTEs",Instructions!$A:$A,0)),12%)),Shrinkage!C22),IF(D22&lt;IFERROR(INDEX(Instructions!$B:$B,MATCH("Shrinkage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22" s="12">
        <f>IF(E22="","",N22*(1-(IF(IFERROR(INDEX(Instructions!$B:$B,MATCH("Shrinkage Source",Instructions!$A:$A,0)),"Shrinkage Sheet")="Shrinkage Sheet",IFERROR(IF(Shrinkage!D22="-",IF(E22&lt;IFERROR(INDEX(Instructions!$B:$B,MATCH("Shrinkage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FTEs",Instructions!$A:$A,0)),12%)),Shrinkage!D22),IF(E22&lt;IFERROR(INDEX(Instructions!$B:$B,MATCH("Shrinkage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22" s="12">
        <f>IF(F22="","",O22*(1-(IF(IFERROR(INDEX(Instructions!$B:$B,MATCH("Shrinkage Source",Instructions!$A:$A,0)),"Shrinkage Sheet")="Shrinkage Sheet",IFERROR(IF(Shrinkage!E22="-",IF(F22&lt;IFERROR(INDEX(Instructions!$B:$B,MATCH("Shrinkage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FTEs",Instructions!$A:$A,0)),12%)),Shrinkage!E22),IF(F22&lt;IFERROR(INDEX(Instructions!$B:$B,MATCH("Shrinkage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22" s="12">
        <f>IF(G22="","",P22*(1-(IF(IFERROR(INDEX(Instructions!$B:$B,MATCH("Shrinkage Source",Instructions!$A:$A,0)),"Shrinkage Sheet")="Shrinkage Sheet",IFERROR(IF(Shrinkage!F22="-",IF(G22&lt;IFERROR(INDEX(Instructions!$B:$B,MATCH("Shrinkage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FTEs",Instructions!$A:$A,0)),12%)),Shrinkage!F22),IF(G22&lt;IFERROR(INDEX(Instructions!$B:$B,MATCH("Shrinkage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22" s="12">
        <f>IF(H22="","",Q22*(1-(IF(IFERROR(INDEX(Instructions!$B:$B,MATCH("Shrinkage Source",Instructions!$A:$A,0)),"Shrinkage Sheet")="Shrinkage Sheet",IFERROR(IF(Shrinkage!G22="-",IF(H22&lt;IFERROR(INDEX(Instructions!$B:$B,MATCH("Shrinkage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FTEs",Instructions!$A:$A,0)),12%)),Shrinkage!G22),IF(H22&lt;IFERROR(INDEX(Instructions!$B:$B,MATCH("Shrinkage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22" s="12">
        <f>IF(I22="","",R22*(1-(IF(IFERROR(INDEX(Instructions!$B:$B,MATCH("Shrinkage Source",Instructions!$A:$A,0)),"Shrinkage Sheet")="Shrinkage Sheet",IFERROR(IF(Shrinkage!H22="-",IF(I22&lt;IFERROR(INDEX(Instructions!$B:$B,MATCH("Shrinkage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FTEs",Instructions!$A:$A,0)),12%)),Shrinkage!H22),IF(I22&lt;IFERROR(INDEX(Instructions!$B:$B,MATCH("Shrinkage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22" s="12" t="inlineStr">
        <is>
          <t>18:00</t>
        </is>
      </c>
      <c r="AV22" s="53">
        <f>IFERROR(AD22/C22,"")</f>
        <v/>
      </c>
      <c r="AW22" s="53">
        <f>IFERROR(AE22/D22,"")</f>
        <v/>
      </c>
      <c r="AX22" s="53">
        <f>IFERROR(AF22/E22,"")</f>
        <v/>
      </c>
      <c r="AY22" s="53">
        <f>IFERROR(AG22/F22,"")</f>
        <v/>
      </c>
      <c r="AZ22" s="53">
        <f>IFERROR(AH22/G22,"")</f>
        <v/>
      </c>
      <c r="BA22" s="53">
        <f>IFERROR(AI22/H22,"")</f>
        <v/>
      </c>
      <c r="BB22" s="53">
        <f>IFERROR(AJ22/I22,"")</f>
        <v/>
      </c>
      <c r="BD22" s="12" t="inlineStr">
        <is>
          <t>18:00</t>
        </is>
      </c>
      <c r="BE22" s="12">
        <f>IF(C22="","",IF(AV22&gt;=Instructions!$B$15,1,0))</f>
        <v/>
      </c>
      <c r="BF22" s="12">
        <f>IF(D22="","",IF(AW22&gt;=Instructions!$B$15,1,0))</f>
        <v/>
      </c>
      <c r="BG22" s="12">
        <f>IF(E22="","",IF(AX22&gt;=Instructions!$B$15,1,0))</f>
        <v/>
      </c>
      <c r="BH22" s="12">
        <f>IF(F22="","",IF(AY22&gt;=Instructions!$B$15,1,0))</f>
        <v/>
      </c>
      <c r="BI22" s="12">
        <f>IF(G22="","",IF(AZ22&gt;=Instructions!$B$15,1,0))</f>
        <v/>
      </c>
      <c r="BJ22" s="12">
        <f>IF(H22="","",IF(BA22&gt;=Instructions!$B$15,1,0))</f>
        <v/>
      </c>
      <c r="BK22" s="12">
        <f>IF(I22="","",IF(BB22&gt;=Instructions!$B$15,1,0))</f>
        <v/>
      </c>
      <c r="BM22" s="12" t="inlineStr">
        <is>
          <t>18:00</t>
        </is>
      </c>
      <c r="BN22" s="12">
        <f>IF(C22="","",IF(AV22&gt;=Instructions!$B$16,1,0))</f>
        <v/>
      </c>
      <c r="BO22" s="12">
        <f>IF(D22="","",IF(AW22&gt;=Instructions!$B$16,1,0))</f>
        <v/>
      </c>
      <c r="BP22" s="12">
        <f>IF(E22="","",IF(AX22&gt;=Instructions!$B$16,1,0))</f>
        <v/>
      </c>
      <c r="BQ22" s="12">
        <f>IF(F22="","",IF(AY22&gt;=Instructions!$B$16,1,0))</f>
        <v/>
      </c>
      <c r="BR22" s="12">
        <f>IF(G22="","",IF(AZ22&gt;=Instructions!$B$16,1,0))</f>
        <v/>
      </c>
      <c r="BS22" s="12">
        <f>IF(H22="","",IF(BA22&gt;=Instructions!$B$16,1,0))</f>
        <v/>
      </c>
      <c r="BT22" s="12">
        <f>IF(I22="","",IF(BB22&gt;=Instructions!$B$16,1,0))</f>
        <v/>
      </c>
      <c r="BV22" s="12" t="inlineStr">
        <is>
          <t>18:00</t>
        </is>
      </c>
      <c r="BW22" s="12">
        <f>IF(C22="","",IF(ROUND(AV22,6)&gt;=ROUND(Instructions!$B$16-Instructions!$B$17,6),1,0))</f>
        <v/>
      </c>
      <c r="BX22" s="12">
        <f>IF(D22="","",IF(ROUND(AW22,6)&gt;=ROUND(Instructions!$B$16-Instructions!$B$17,6),1,0))</f>
        <v/>
      </c>
      <c r="BY22" s="12">
        <f>IF(E22="","",IF(ROUND(AX22,6)&gt;=ROUND(Instructions!$B$16-Instructions!$B$17,6),1,0))</f>
        <v/>
      </c>
      <c r="BZ22" s="12">
        <f>IF(F22="","",IF(ROUND(AY22,6)&gt;=ROUND(Instructions!$B$16-Instructions!$B$17,6),1,0))</f>
        <v/>
      </c>
      <c r="CA22" s="12">
        <f>IF(G22="","",IF(ROUND(AZ22,6)&gt;=ROUND(Instructions!$B$16-Instructions!$B$17,6),1,0))</f>
        <v/>
      </c>
      <c r="CB22" s="12">
        <f>IF(H22="","",IF(ROUND(BA22,6)&gt;=ROUND(Instructions!$B$16-Instructions!$B$17,6),1,0))</f>
        <v/>
      </c>
      <c r="CC22" s="12">
        <f>IF(I22="","",IF(ROUND(BB22,6)&gt;=ROUND(Instructions!$B$16-Instructions!$B$17,6),1,0))</f>
        <v/>
      </c>
      <c r="CF22" s="12" t="inlineStr">
        <is>
          <t>18:00</t>
        </is>
      </c>
      <c r="CG22" s="12">
        <f>IF(C22="","",AD22-C22)</f>
        <v/>
      </c>
      <c r="CH22" s="12">
        <f>IF(D22="","",AE22-D22)</f>
        <v/>
      </c>
      <c r="CI22" s="12">
        <f>IF(E22="","",AF22-E22)</f>
        <v/>
      </c>
      <c r="CJ22" s="12">
        <f>IF(F22="","",AG22-F22)</f>
        <v/>
      </c>
      <c r="CK22" s="12">
        <f>IF(G22="","",AH22-G22)</f>
        <v/>
      </c>
      <c r="CL22" s="12">
        <f>IF(H22="","",AI22-H22)</f>
        <v/>
      </c>
      <c r="CM22" s="12">
        <f>IF(I22="","",AJ22-I22)</f>
        <v/>
      </c>
    </row>
    <row r="23">
      <c r="B23" s="12" t="inlineStr">
        <is>
          <t>19:00</t>
        </is>
      </c>
      <c r="C23" s="16" t="n"/>
      <c r="D23" s="16" t="n"/>
      <c r="E23" s="16" t="n"/>
      <c r="F23" s="16" t="n"/>
      <c r="G23" s="16" t="n"/>
      <c r="H23" s="16" t="n"/>
      <c r="I23" s="16" t="n"/>
      <c r="K23" s="12" t="inlineStr">
        <is>
          <t>19:00</t>
        </is>
      </c>
      <c r="L23" s="12">
        <f>IF(C23="","",COUNTIFS('Scheduler Engine'!$N$2:$N$1751,1,'Scheduler Engine'!$L$2:$L$1751,"&lt;="&amp;((0)*24+VALUE(LEFT($K23,2))),'Scheduler Engine'!$M$2:$M$1751,"&gt;"&amp;((0)*24+VALUE(LEFT($K23,2))))+COUNTIFS('Previous Engine'!$K$2:$K$251,1,'Previous Engine'!$H$2:$H$251,"&lt;="&amp;VALUE(LEFT($K23,2)),'Previous Engine'!$I$2:$I$251,"&gt;"&amp;VALUE(LEFT($K23,2))))</f>
        <v/>
      </c>
      <c r="M23" s="12">
        <f>IF(D23="","",COUNTIFS('Scheduler Engine'!$N$2:$N$1751,1,'Scheduler Engine'!$L$2:$L$1751,"&lt;="&amp;((1)*24+VALUE(LEFT($K23,2))),'Scheduler Engine'!$M$2:$M$1751,"&gt;"&amp;((1)*24+VALUE(LEFT($K23,2)))))</f>
        <v/>
      </c>
      <c r="N23" s="12">
        <f>IF(E23="","",COUNTIFS('Scheduler Engine'!$N$2:$N$1751,1,'Scheduler Engine'!$L$2:$L$1751,"&lt;="&amp;((2)*24+VALUE(LEFT($K23,2))),'Scheduler Engine'!$M$2:$M$1751,"&gt;"&amp;((2)*24+VALUE(LEFT($K23,2)))))</f>
        <v/>
      </c>
      <c r="O23" s="12">
        <f>IF(F23="","",COUNTIFS('Scheduler Engine'!$N$2:$N$1751,1,'Scheduler Engine'!$L$2:$L$1751,"&lt;="&amp;((3)*24+VALUE(LEFT($K23,2))),'Scheduler Engine'!$M$2:$M$1751,"&gt;"&amp;((3)*24+VALUE(LEFT($K23,2)))))</f>
        <v/>
      </c>
      <c r="P23" s="12">
        <f>IF(G23="","",COUNTIFS('Scheduler Engine'!$N$2:$N$1751,1,'Scheduler Engine'!$L$2:$L$1751,"&lt;="&amp;((4)*24+VALUE(LEFT($K23,2))),'Scheduler Engine'!$M$2:$M$1751,"&gt;"&amp;((4)*24+VALUE(LEFT($K23,2)))))</f>
        <v/>
      </c>
      <c r="Q23" s="12">
        <f>IF(H23="","",COUNTIFS('Scheduler Engine'!$N$2:$N$1751,1,'Scheduler Engine'!$L$2:$L$1751,"&lt;="&amp;((5)*24+VALUE(LEFT($K23,2))),'Scheduler Engine'!$M$2:$M$1751,"&gt;"&amp;((5)*24+VALUE(LEFT($K23,2)))))</f>
        <v/>
      </c>
      <c r="R23" s="12">
        <f>IF(I23="","",COUNTIFS('Scheduler Engine'!$N$2:$N$1751,1,'Scheduler Engine'!$L$2:$L$1751,"&lt;="&amp;((6)*24+VALUE(LEFT($K23,2))),'Scheduler Engine'!$M$2:$M$1751,"&gt;"&amp;((6)*24+VALUE(LEFT($K23,2)))))</f>
        <v/>
      </c>
      <c r="AC23" s="12" t="inlineStr">
        <is>
          <t>19:00</t>
        </is>
      </c>
      <c r="AD23" s="12">
        <f>IF(C23="","",L23*(1-(IF(IFERROR(INDEX(Instructions!$B:$B,MATCH("Shrinkage Source",Instructions!$A:$A,0)),"Shrinkage Sheet")="Shrinkage Sheet",IFERROR(IF(Shrinkage!B23="-",IF(C23&lt;IFERROR(INDEX(Instructions!$B:$B,MATCH("Shrinkage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FTEs",Instructions!$A:$A,0)),12%)),Shrinkage!B23),IF(C23&lt;IFERROR(INDEX(Instructions!$B:$B,MATCH("Shrinkage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23" s="12">
        <f>IF(D23="","",M23*(1-(IF(IFERROR(INDEX(Instructions!$B:$B,MATCH("Shrinkage Source",Instructions!$A:$A,0)),"Shrinkage Sheet")="Shrinkage Sheet",IFERROR(IF(Shrinkage!C23="-",IF(D23&lt;IFERROR(INDEX(Instructions!$B:$B,MATCH("Shrinkage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FTEs",Instructions!$A:$A,0)),12%)),Shrinkage!C23),IF(D23&lt;IFERROR(INDEX(Instructions!$B:$B,MATCH("Shrinkage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23" s="12">
        <f>IF(E23="","",N23*(1-(IF(IFERROR(INDEX(Instructions!$B:$B,MATCH("Shrinkage Source",Instructions!$A:$A,0)),"Shrinkage Sheet")="Shrinkage Sheet",IFERROR(IF(Shrinkage!D23="-",IF(E23&lt;IFERROR(INDEX(Instructions!$B:$B,MATCH("Shrinkage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FTEs",Instructions!$A:$A,0)),12%)),Shrinkage!D23),IF(E23&lt;IFERROR(INDEX(Instructions!$B:$B,MATCH("Shrinkage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23" s="12">
        <f>IF(F23="","",O23*(1-(IF(IFERROR(INDEX(Instructions!$B:$B,MATCH("Shrinkage Source",Instructions!$A:$A,0)),"Shrinkage Sheet")="Shrinkage Sheet",IFERROR(IF(Shrinkage!E23="-",IF(F23&lt;IFERROR(INDEX(Instructions!$B:$B,MATCH("Shrinkage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FTEs",Instructions!$A:$A,0)),12%)),Shrinkage!E23),IF(F23&lt;IFERROR(INDEX(Instructions!$B:$B,MATCH("Shrinkage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23" s="12">
        <f>IF(G23="","",P23*(1-(IF(IFERROR(INDEX(Instructions!$B:$B,MATCH("Shrinkage Source",Instructions!$A:$A,0)),"Shrinkage Sheet")="Shrinkage Sheet",IFERROR(IF(Shrinkage!F23="-",IF(G23&lt;IFERROR(INDEX(Instructions!$B:$B,MATCH("Shrinkage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FTEs",Instructions!$A:$A,0)),12%)),Shrinkage!F23),IF(G23&lt;IFERROR(INDEX(Instructions!$B:$B,MATCH("Shrinkage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23" s="12">
        <f>IF(H23="","",Q23*(1-(IF(IFERROR(INDEX(Instructions!$B:$B,MATCH("Shrinkage Source",Instructions!$A:$A,0)),"Shrinkage Sheet")="Shrinkage Sheet",IFERROR(IF(Shrinkage!G23="-",IF(H23&lt;IFERROR(INDEX(Instructions!$B:$B,MATCH("Shrinkage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FTEs",Instructions!$A:$A,0)),12%)),Shrinkage!G23),IF(H23&lt;IFERROR(INDEX(Instructions!$B:$B,MATCH("Shrinkage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23" s="12">
        <f>IF(I23="","",R23*(1-(IF(IFERROR(INDEX(Instructions!$B:$B,MATCH("Shrinkage Source",Instructions!$A:$A,0)),"Shrinkage Sheet")="Shrinkage Sheet",IFERROR(IF(Shrinkage!H23="-",IF(I23&lt;IFERROR(INDEX(Instructions!$B:$B,MATCH("Shrinkage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FTEs",Instructions!$A:$A,0)),12%)),Shrinkage!H23),IF(I23&lt;IFERROR(INDEX(Instructions!$B:$B,MATCH("Shrinkage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23" s="12" t="inlineStr">
        <is>
          <t>19:00</t>
        </is>
      </c>
      <c r="AV23" s="53">
        <f>IFERROR(AD23/C23,"")</f>
        <v/>
      </c>
      <c r="AW23" s="53">
        <f>IFERROR(AE23/D23,"")</f>
        <v/>
      </c>
      <c r="AX23" s="53">
        <f>IFERROR(AF23/E23,"")</f>
        <v/>
      </c>
      <c r="AY23" s="53">
        <f>IFERROR(AG23/F23,"")</f>
        <v/>
      </c>
      <c r="AZ23" s="53">
        <f>IFERROR(AH23/G23,"")</f>
        <v/>
      </c>
      <c r="BA23" s="53">
        <f>IFERROR(AI23/H23,"")</f>
        <v/>
      </c>
      <c r="BB23" s="53">
        <f>IFERROR(AJ23/I23,"")</f>
        <v/>
      </c>
      <c r="BD23" s="12" t="inlineStr">
        <is>
          <t>19:00</t>
        </is>
      </c>
      <c r="BE23" s="12">
        <f>IF(C23="","",IF(AV23&gt;=Instructions!$B$15,1,0))</f>
        <v/>
      </c>
      <c r="BF23" s="12">
        <f>IF(D23="","",IF(AW23&gt;=Instructions!$B$15,1,0))</f>
        <v/>
      </c>
      <c r="BG23" s="12">
        <f>IF(E23="","",IF(AX23&gt;=Instructions!$B$15,1,0))</f>
        <v/>
      </c>
      <c r="BH23" s="12">
        <f>IF(F23="","",IF(AY23&gt;=Instructions!$B$15,1,0))</f>
        <v/>
      </c>
      <c r="BI23" s="12">
        <f>IF(G23="","",IF(AZ23&gt;=Instructions!$B$15,1,0))</f>
        <v/>
      </c>
      <c r="BJ23" s="12">
        <f>IF(H23="","",IF(BA23&gt;=Instructions!$B$15,1,0))</f>
        <v/>
      </c>
      <c r="BK23" s="12">
        <f>IF(I23="","",IF(BB23&gt;=Instructions!$B$15,1,0))</f>
        <v/>
      </c>
      <c r="BM23" s="12" t="inlineStr">
        <is>
          <t>19:00</t>
        </is>
      </c>
      <c r="BN23" s="12">
        <f>IF(C23="","",IF(AV23&gt;=Instructions!$B$16,1,0))</f>
        <v/>
      </c>
      <c r="BO23" s="12">
        <f>IF(D23="","",IF(AW23&gt;=Instructions!$B$16,1,0))</f>
        <v/>
      </c>
      <c r="BP23" s="12">
        <f>IF(E23="","",IF(AX23&gt;=Instructions!$B$16,1,0))</f>
        <v/>
      </c>
      <c r="BQ23" s="12">
        <f>IF(F23="","",IF(AY23&gt;=Instructions!$B$16,1,0))</f>
        <v/>
      </c>
      <c r="BR23" s="12">
        <f>IF(G23="","",IF(AZ23&gt;=Instructions!$B$16,1,0))</f>
        <v/>
      </c>
      <c r="BS23" s="12">
        <f>IF(H23="","",IF(BA23&gt;=Instructions!$B$16,1,0))</f>
        <v/>
      </c>
      <c r="BT23" s="12">
        <f>IF(I23="","",IF(BB23&gt;=Instructions!$B$16,1,0))</f>
        <v/>
      </c>
      <c r="BV23" s="12" t="inlineStr">
        <is>
          <t>19:00</t>
        </is>
      </c>
      <c r="BW23" s="12">
        <f>IF(C23="","",IF(ROUND(AV23,6)&gt;=ROUND(Instructions!$B$16-Instructions!$B$17,6),1,0))</f>
        <v/>
      </c>
      <c r="BX23" s="12">
        <f>IF(D23="","",IF(ROUND(AW23,6)&gt;=ROUND(Instructions!$B$16-Instructions!$B$17,6),1,0))</f>
        <v/>
      </c>
      <c r="BY23" s="12">
        <f>IF(E23="","",IF(ROUND(AX23,6)&gt;=ROUND(Instructions!$B$16-Instructions!$B$17,6),1,0))</f>
        <v/>
      </c>
      <c r="BZ23" s="12">
        <f>IF(F23="","",IF(ROUND(AY23,6)&gt;=ROUND(Instructions!$B$16-Instructions!$B$17,6),1,0))</f>
        <v/>
      </c>
      <c r="CA23" s="12">
        <f>IF(G23="","",IF(ROUND(AZ23,6)&gt;=ROUND(Instructions!$B$16-Instructions!$B$17,6),1,0))</f>
        <v/>
      </c>
      <c r="CB23" s="12">
        <f>IF(H23="","",IF(ROUND(BA23,6)&gt;=ROUND(Instructions!$B$16-Instructions!$B$17,6),1,0))</f>
        <v/>
      </c>
      <c r="CC23" s="12">
        <f>IF(I23="","",IF(ROUND(BB23,6)&gt;=ROUND(Instructions!$B$16-Instructions!$B$17,6),1,0))</f>
        <v/>
      </c>
      <c r="CF23" s="12" t="inlineStr">
        <is>
          <t>19:00</t>
        </is>
      </c>
      <c r="CG23" s="12">
        <f>IF(C23="","",AD23-C23)</f>
        <v/>
      </c>
      <c r="CH23" s="12">
        <f>IF(D23="","",AE23-D23)</f>
        <v/>
      </c>
      <c r="CI23" s="12">
        <f>IF(E23="","",AF23-E23)</f>
        <v/>
      </c>
      <c r="CJ23" s="12">
        <f>IF(F23="","",AG23-F23)</f>
        <v/>
      </c>
      <c r="CK23" s="12">
        <f>IF(G23="","",AH23-G23)</f>
        <v/>
      </c>
      <c r="CL23" s="12">
        <f>IF(H23="","",AI23-H23)</f>
        <v/>
      </c>
      <c r="CM23" s="12">
        <f>IF(I23="","",AJ23-I23)</f>
        <v/>
      </c>
    </row>
    <row r="24">
      <c r="B24" s="12" t="inlineStr">
        <is>
          <t>20:00</t>
        </is>
      </c>
      <c r="C24" s="16" t="n"/>
      <c r="D24" s="16" t="n"/>
      <c r="E24" s="16" t="n"/>
      <c r="F24" s="16" t="n"/>
      <c r="G24" s="16" t="n"/>
      <c r="H24" s="16" t="n"/>
      <c r="I24" s="16" t="n"/>
      <c r="K24" s="12" t="inlineStr">
        <is>
          <t>20:00</t>
        </is>
      </c>
      <c r="L24" s="12">
        <f>IF(C24="","",COUNTIFS('Scheduler Engine'!$N$2:$N$1751,1,'Scheduler Engine'!$L$2:$L$1751,"&lt;="&amp;((0)*24+VALUE(LEFT($K24,2))),'Scheduler Engine'!$M$2:$M$1751,"&gt;"&amp;((0)*24+VALUE(LEFT($K24,2))))+COUNTIFS('Previous Engine'!$K$2:$K$251,1,'Previous Engine'!$H$2:$H$251,"&lt;="&amp;VALUE(LEFT($K24,2)),'Previous Engine'!$I$2:$I$251,"&gt;"&amp;VALUE(LEFT($K24,2))))</f>
        <v/>
      </c>
      <c r="M24" s="12">
        <f>IF(D24="","",COUNTIFS('Scheduler Engine'!$N$2:$N$1751,1,'Scheduler Engine'!$L$2:$L$1751,"&lt;="&amp;((1)*24+VALUE(LEFT($K24,2))),'Scheduler Engine'!$M$2:$M$1751,"&gt;"&amp;((1)*24+VALUE(LEFT($K24,2)))))</f>
        <v/>
      </c>
      <c r="N24" s="12">
        <f>IF(E24="","",COUNTIFS('Scheduler Engine'!$N$2:$N$1751,1,'Scheduler Engine'!$L$2:$L$1751,"&lt;="&amp;((2)*24+VALUE(LEFT($K24,2))),'Scheduler Engine'!$M$2:$M$1751,"&gt;"&amp;((2)*24+VALUE(LEFT($K24,2)))))</f>
        <v/>
      </c>
      <c r="O24" s="12">
        <f>IF(F24="","",COUNTIFS('Scheduler Engine'!$N$2:$N$1751,1,'Scheduler Engine'!$L$2:$L$1751,"&lt;="&amp;((3)*24+VALUE(LEFT($K24,2))),'Scheduler Engine'!$M$2:$M$1751,"&gt;"&amp;((3)*24+VALUE(LEFT($K24,2)))))</f>
        <v/>
      </c>
      <c r="P24" s="12">
        <f>IF(G24="","",COUNTIFS('Scheduler Engine'!$N$2:$N$1751,1,'Scheduler Engine'!$L$2:$L$1751,"&lt;="&amp;((4)*24+VALUE(LEFT($K24,2))),'Scheduler Engine'!$M$2:$M$1751,"&gt;"&amp;((4)*24+VALUE(LEFT($K24,2)))))</f>
        <v/>
      </c>
      <c r="Q24" s="12">
        <f>IF(H24="","",COUNTIFS('Scheduler Engine'!$N$2:$N$1751,1,'Scheduler Engine'!$L$2:$L$1751,"&lt;="&amp;((5)*24+VALUE(LEFT($K24,2))),'Scheduler Engine'!$M$2:$M$1751,"&gt;"&amp;((5)*24+VALUE(LEFT($K24,2)))))</f>
        <v/>
      </c>
      <c r="R24" s="12">
        <f>IF(I24="","",COUNTIFS('Scheduler Engine'!$N$2:$N$1751,1,'Scheduler Engine'!$L$2:$L$1751,"&lt;="&amp;((6)*24+VALUE(LEFT($K24,2))),'Scheduler Engine'!$M$2:$M$1751,"&gt;"&amp;((6)*24+VALUE(LEFT($K24,2)))))</f>
        <v/>
      </c>
      <c r="AC24" s="12" t="inlineStr">
        <is>
          <t>20:00</t>
        </is>
      </c>
      <c r="AD24" s="12">
        <f>IF(C24="","",L24*(1-(IF(IFERROR(INDEX(Instructions!$B:$B,MATCH("Shrinkage Source",Instructions!$A:$A,0)),"Shrinkage Sheet")="Shrinkage Sheet",IFERROR(IF(Shrinkage!B24="-",IF(C24&lt;IFERROR(INDEX(Instructions!$B:$B,MATCH("Shrinkage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FTEs",Instructions!$A:$A,0)),12%)),Shrinkage!B24),IF(C24&lt;IFERROR(INDEX(Instructions!$B:$B,MATCH("Shrinkage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24" s="12">
        <f>IF(D24="","",M24*(1-(IF(IFERROR(INDEX(Instructions!$B:$B,MATCH("Shrinkage Source",Instructions!$A:$A,0)),"Shrinkage Sheet")="Shrinkage Sheet",IFERROR(IF(Shrinkage!C24="-",IF(D24&lt;IFERROR(INDEX(Instructions!$B:$B,MATCH("Shrinkage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FTEs",Instructions!$A:$A,0)),12%)),Shrinkage!C24),IF(D24&lt;IFERROR(INDEX(Instructions!$B:$B,MATCH("Shrinkage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24" s="12">
        <f>IF(E24="","",N24*(1-(IF(IFERROR(INDEX(Instructions!$B:$B,MATCH("Shrinkage Source",Instructions!$A:$A,0)),"Shrinkage Sheet")="Shrinkage Sheet",IFERROR(IF(Shrinkage!D24="-",IF(E24&lt;IFERROR(INDEX(Instructions!$B:$B,MATCH("Shrinkage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FTEs",Instructions!$A:$A,0)),12%)),Shrinkage!D24),IF(E24&lt;IFERROR(INDEX(Instructions!$B:$B,MATCH("Shrinkage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24" s="12">
        <f>IF(F24="","",O24*(1-(IF(IFERROR(INDEX(Instructions!$B:$B,MATCH("Shrinkage Source",Instructions!$A:$A,0)),"Shrinkage Sheet")="Shrinkage Sheet",IFERROR(IF(Shrinkage!E24="-",IF(F24&lt;IFERROR(INDEX(Instructions!$B:$B,MATCH("Shrinkage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FTEs",Instructions!$A:$A,0)),12%)),Shrinkage!E24),IF(F24&lt;IFERROR(INDEX(Instructions!$B:$B,MATCH("Shrinkage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24" s="12">
        <f>IF(G24="","",P24*(1-(IF(IFERROR(INDEX(Instructions!$B:$B,MATCH("Shrinkage Source",Instructions!$A:$A,0)),"Shrinkage Sheet")="Shrinkage Sheet",IFERROR(IF(Shrinkage!F24="-",IF(G24&lt;IFERROR(INDEX(Instructions!$B:$B,MATCH("Shrinkage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FTEs",Instructions!$A:$A,0)),12%)),Shrinkage!F24),IF(G24&lt;IFERROR(INDEX(Instructions!$B:$B,MATCH("Shrinkage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24" s="12">
        <f>IF(H24="","",Q24*(1-(IF(IFERROR(INDEX(Instructions!$B:$B,MATCH("Shrinkage Source",Instructions!$A:$A,0)),"Shrinkage Sheet")="Shrinkage Sheet",IFERROR(IF(Shrinkage!G24="-",IF(H24&lt;IFERROR(INDEX(Instructions!$B:$B,MATCH("Shrinkage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FTEs",Instructions!$A:$A,0)),12%)),Shrinkage!G24),IF(H24&lt;IFERROR(INDEX(Instructions!$B:$B,MATCH("Shrinkage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24" s="12">
        <f>IF(I24="","",R24*(1-(IF(IFERROR(INDEX(Instructions!$B:$B,MATCH("Shrinkage Source",Instructions!$A:$A,0)),"Shrinkage Sheet")="Shrinkage Sheet",IFERROR(IF(Shrinkage!H24="-",IF(I24&lt;IFERROR(INDEX(Instructions!$B:$B,MATCH("Shrinkage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FTEs",Instructions!$A:$A,0)),12%)),Shrinkage!H24),IF(I24&lt;IFERROR(INDEX(Instructions!$B:$B,MATCH("Shrinkage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24" s="12" t="inlineStr">
        <is>
          <t>20:00</t>
        </is>
      </c>
      <c r="AV24" s="53">
        <f>IFERROR(AD24/C24,"")</f>
        <v/>
      </c>
      <c r="AW24" s="53">
        <f>IFERROR(AE24/D24,"")</f>
        <v/>
      </c>
      <c r="AX24" s="53">
        <f>IFERROR(AF24/E24,"")</f>
        <v/>
      </c>
      <c r="AY24" s="53">
        <f>IFERROR(AG24/F24,"")</f>
        <v/>
      </c>
      <c r="AZ24" s="53">
        <f>IFERROR(AH24/G24,"")</f>
        <v/>
      </c>
      <c r="BA24" s="53">
        <f>IFERROR(AI24/H24,"")</f>
        <v/>
      </c>
      <c r="BB24" s="53">
        <f>IFERROR(AJ24/I24,"")</f>
        <v/>
      </c>
      <c r="BD24" s="12" t="inlineStr">
        <is>
          <t>20:00</t>
        </is>
      </c>
      <c r="BE24" s="12">
        <f>IF(C24="","",IF(AV24&gt;=Instructions!$B$15,1,0))</f>
        <v/>
      </c>
      <c r="BF24" s="12">
        <f>IF(D24="","",IF(AW24&gt;=Instructions!$B$15,1,0))</f>
        <v/>
      </c>
      <c r="BG24" s="12">
        <f>IF(E24="","",IF(AX24&gt;=Instructions!$B$15,1,0))</f>
        <v/>
      </c>
      <c r="BH24" s="12">
        <f>IF(F24="","",IF(AY24&gt;=Instructions!$B$15,1,0))</f>
        <v/>
      </c>
      <c r="BI24" s="12">
        <f>IF(G24="","",IF(AZ24&gt;=Instructions!$B$15,1,0))</f>
        <v/>
      </c>
      <c r="BJ24" s="12">
        <f>IF(H24="","",IF(BA24&gt;=Instructions!$B$15,1,0))</f>
        <v/>
      </c>
      <c r="BK24" s="12">
        <f>IF(I24="","",IF(BB24&gt;=Instructions!$B$15,1,0))</f>
        <v/>
      </c>
      <c r="BM24" s="12" t="inlineStr">
        <is>
          <t>20:00</t>
        </is>
      </c>
      <c r="BN24" s="12">
        <f>IF(C24="","",IF(AV24&gt;=Instructions!$B$16,1,0))</f>
        <v/>
      </c>
      <c r="BO24" s="12">
        <f>IF(D24="","",IF(AW24&gt;=Instructions!$B$16,1,0))</f>
        <v/>
      </c>
      <c r="BP24" s="12">
        <f>IF(E24="","",IF(AX24&gt;=Instructions!$B$16,1,0))</f>
        <v/>
      </c>
      <c r="BQ24" s="12">
        <f>IF(F24="","",IF(AY24&gt;=Instructions!$B$16,1,0))</f>
        <v/>
      </c>
      <c r="BR24" s="12">
        <f>IF(G24="","",IF(AZ24&gt;=Instructions!$B$16,1,0))</f>
        <v/>
      </c>
      <c r="BS24" s="12">
        <f>IF(H24="","",IF(BA24&gt;=Instructions!$B$16,1,0))</f>
        <v/>
      </c>
      <c r="BT24" s="12">
        <f>IF(I24="","",IF(BB24&gt;=Instructions!$B$16,1,0))</f>
        <v/>
      </c>
      <c r="BV24" s="12" t="inlineStr">
        <is>
          <t>20:00</t>
        </is>
      </c>
      <c r="BW24" s="12">
        <f>IF(C24="","",IF(ROUND(AV24,6)&gt;=ROUND(Instructions!$B$16-Instructions!$B$17,6),1,0))</f>
        <v/>
      </c>
      <c r="BX24" s="12">
        <f>IF(D24="","",IF(ROUND(AW24,6)&gt;=ROUND(Instructions!$B$16-Instructions!$B$17,6),1,0))</f>
        <v/>
      </c>
      <c r="BY24" s="12">
        <f>IF(E24="","",IF(ROUND(AX24,6)&gt;=ROUND(Instructions!$B$16-Instructions!$B$17,6),1,0))</f>
        <v/>
      </c>
      <c r="BZ24" s="12">
        <f>IF(F24="","",IF(ROUND(AY24,6)&gt;=ROUND(Instructions!$B$16-Instructions!$B$17,6),1,0))</f>
        <v/>
      </c>
      <c r="CA24" s="12">
        <f>IF(G24="","",IF(ROUND(AZ24,6)&gt;=ROUND(Instructions!$B$16-Instructions!$B$17,6),1,0))</f>
        <v/>
      </c>
      <c r="CB24" s="12">
        <f>IF(H24="","",IF(ROUND(BA24,6)&gt;=ROUND(Instructions!$B$16-Instructions!$B$17,6),1,0))</f>
        <v/>
      </c>
      <c r="CC24" s="12">
        <f>IF(I24="","",IF(ROUND(BB24,6)&gt;=ROUND(Instructions!$B$16-Instructions!$B$17,6),1,0))</f>
        <v/>
      </c>
      <c r="CF24" s="12" t="inlineStr">
        <is>
          <t>20:00</t>
        </is>
      </c>
      <c r="CG24" s="12">
        <f>IF(C24="","",AD24-C24)</f>
        <v/>
      </c>
      <c r="CH24" s="12">
        <f>IF(D24="","",AE24-D24)</f>
        <v/>
      </c>
      <c r="CI24" s="12">
        <f>IF(E24="","",AF24-E24)</f>
        <v/>
      </c>
      <c r="CJ24" s="12">
        <f>IF(F24="","",AG24-F24)</f>
        <v/>
      </c>
      <c r="CK24" s="12">
        <f>IF(G24="","",AH24-G24)</f>
        <v/>
      </c>
      <c r="CL24" s="12">
        <f>IF(H24="","",AI24-H24)</f>
        <v/>
      </c>
      <c r="CM24" s="12">
        <f>IF(I24="","",AJ24-I24)</f>
        <v/>
      </c>
    </row>
    <row r="25">
      <c r="B25" s="12" t="inlineStr">
        <is>
          <t>21:00</t>
        </is>
      </c>
      <c r="C25" s="16" t="n"/>
      <c r="D25" s="16" t="n"/>
      <c r="E25" s="16" t="n"/>
      <c r="F25" s="16" t="n"/>
      <c r="G25" s="16" t="n"/>
      <c r="H25" s="16" t="n"/>
      <c r="I25" s="16" t="n"/>
      <c r="K25" s="12" t="inlineStr">
        <is>
          <t>21:00</t>
        </is>
      </c>
      <c r="L25" s="12">
        <f>IF(C25="","",COUNTIFS('Scheduler Engine'!$N$2:$N$1751,1,'Scheduler Engine'!$L$2:$L$1751,"&lt;="&amp;((0)*24+VALUE(LEFT($K25,2))),'Scheduler Engine'!$M$2:$M$1751,"&gt;"&amp;((0)*24+VALUE(LEFT($K25,2))))+COUNTIFS('Previous Engine'!$K$2:$K$251,1,'Previous Engine'!$H$2:$H$251,"&lt;="&amp;VALUE(LEFT($K25,2)),'Previous Engine'!$I$2:$I$251,"&gt;"&amp;VALUE(LEFT($K25,2))))</f>
        <v/>
      </c>
      <c r="M25" s="12">
        <f>IF(D25="","",COUNTIFS('Scheduler Engine'!$N$2:$N$1751,1,'Scheduler Engine'!$L$2:$L$1751,"&lt;="&amp;((1)*24+VALUE(LEFT($K25,2))),'Scheduler Engine'!$M$2:$M$1751,"&gt;"&amp;((1)*24+VALUE(LEFT($K25,2)))))</f>
        <v/>
      </c>
      <c r="N25" s="12">
        <f>IF(E25="","",COUNTIFS('Scheduler Engine'!$N$2:$N$1751,1,'Scheduler Engine'!$L$2:$L$1751,"&lt;="&amp;((2)*24+VALUE(LEFT($K25,2))),'Scheduler Engine'!$M$2:$M$1751,"&gt;"&amp;((2)*24+VALUE(LEFT($K25,2)))))</f>
        <v/>
      </c>
      <c r="O25" s="12">
        <f>IF(F25="","",COUNTIFS('Scheduler Engine'!$N$2:$N$1751,1,'Scheduler Engine'!$L$2:$L$1751,"&lt;="&amp;((3)*24+VALUE(LEFT($K25,2))),'Scheduler Engine'!$M$2:$M$1751,"&gt;"&amp;((3)*24+VALUE(LEFT($K25,2)))))</f>
        <v/>
      </c>
      <c r="P25" s="12">
        <f>IF(G25="","",COUNTIFS('Scheduler Engine'!$N$2:$N$1751,1,'Scheduler Engine'!$L$2:$L$1751,"&lt;="&amp;((4)*24+VALUE(LEFT($K25,2))),'Scheduler Engine'!$M$2:$M$1751,"&gt;"&amp;((4)*24+VALUE(LEFT($K25,2)))))</f>
        <v/>
      </c>
      <c r="Q25" s="12">
        <f>IF(H25="","",COUNTIFS('Scheduler Engine'!$N$2:$N$1751,1,'Scheduler Engine'!$L$2:$L$1751,"&lt;="&amp;((5)*24+VALUE(LEFT($K25,2))),'Scheduler Engine'!$M$2:$M$1751,"&gt;"&amp;((5)*24+VALUE(LEFT($K25,2)))))</f>
        <v/>
      </c>
      <c r="R25" s="12">
        <f>IF(I25="","",COUNTIFS('Scheduler Engine'!$N$2:$N$1751,1,'Scheduler Engine'!$L$2:$L$1751,"&lt;="&amp;((6)*24+VALUE(LEFT($K25,2))),'Scheduler Engine'!$M$2:$M$1751,"&gt;"&amp;((6)*24+VALUE(LEFT($K25,2)))))</f>
        <v/>
      </c>
      <c r="AC25" s="12" t="inlineStr">
        <is>
          <t>21:00</t>
        </is>
      </c>
      <c r="AD25" s="12">
        <f>IF(C25="","",L25*(1-(IF(IFERROR(INDEX(Instructions!$B:$B,MATCH("Shrinkage Source",Instructions!$A:$A,0)),"Shrinkage Sheet")="Shrinkage Sheet",IFERROR(IF(Shrinkage!B25="-",IF(C25&lt;IFERROR(INDEX(Instructions!$B:$B,MATCH("Shrinkage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FTEs",Instructions!$A:$A,0)),12%)),Shrinkage!B25),IF(C25&lt;IFERROR(INDEX(Instructions!$B:$B,MATCH("Shrinkage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25" s="12">
        <f>IF(D25="","",M25*(1-(IF(IFERROR(INDEX(Instructions!$B:$B,MATCH("Shrinkage Source",Instructions!$A:$A,0)),"Shrinkage Sheet")="Shrinkage Sheet",IFERROR(IF(Shrinkage!C25="-",IF(D25&lt;IFERROR(INDEX(Instructions!$B:$B,MATCH("Shrinkage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FTEs",Instructions!$A:$A,0)),12%)),Shrinkage!C25),IF(D25&lt;IFERROR(INDEX(Instructions!$B:$B,MATCH("Shrinkage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25" s="12">
        <f>IF(E25="","",N25*(1-(IF(IFERROR(INDEX(Instructions!$B:$B,MATCH("Shrinkage Source",Instructions!$A:$A,0)),"Shrinkage Sheet")="Shrinkage Sheet",IFERROR(IF(Shrinkage!D25="-",IF(E25&lt;IFERROR(INDEX(Instructions!$B:$B,MATCH("Shrinkage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FTEs",Instructions!$A:$A,0)),12%)),Shrinkage!D25),IF(E25&lt;IFERROR(INDEX(Instructions!$B:$B,MATCH("Shrinkage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25" s="12">
        <f>IF(F25="","",O25*(1-(IF(IFERROR(INDEX(Instructions!$B:$B,MATCH("Shrinkage Source",Instructions!$A:$A,0)),"Shrinkage Sheet")="Shrinkage Sheet",IFERROR(IF(Shrinkage!E25="-",IF(F25&lt;IFERROR(INDEX(Instructions!$B:$B,MATCH("Shrinkage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FTEs",Instructions!$A:$A,0)),12%)),Shrinkage!E25),IF(F25&lt;IFERROR(INDEX(Instructions!$B:$B,MATCH("Shrinkage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25" s="12">
        <f>IF(G25="","",P25*(1-(IF(IFERROR(INDEX(Instructions!$B:$B,MATCH("Shrinkage Source",Instructions!$A:$A,0)),"Shrinkage Sheet")="Shrinkage Sheet",IFERROR(IF(Shrinkage!F25="-",IF(G25&lt;IFERROR(INDEX(Instructions!$B:$B,MATCH("Shrinkage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FTEs",Instructions!$A:$A,0)),12%)),Shrinkage!F25),IF(G25&lt;IFERROR(INDEX(Instructions!$B:$B,MATCH("Shrinkage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25" s="12">
        <f>IF(H25="","",Q25*(1-(IF(IFERROR(INDEX(Instructions!$B:$B,MATCH("Shrinkage Source",Instructions!$A:$A,0)),"Shrinkage Sheet")="Shrinkage Sheet",IFERROR(IF(Shrinkage!G25="-",IF(H25&lt;IFERROR(INDEX(Instructions!$B:$B,MATCH("Shrinkage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FTEs",Instructions!$A:$A,0)),12%)),Shrinkage!G25),IF(H25&lt;IFERROR(INDEX(Instructions!$B:$B,MATCH("Shrinkage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25" s="12">
        <f>IF(I25="","",R25*(1-(IF(IFERROR(INDEX(Instructions!$B:$B,MATCH("Shrinkage Source",Instructions!$A:$A,0)),"Shrinkage Sheet")="Shrinkage Sheet",IFERROR(IF(Shrinkage!H25="-",IF(I25&lt;IFERROR(INDEX(Instructions!$B:$B,MATCH("Shrinkage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FTEs",Instructions!$A:$A,0)),12%)),Shrinkage!H25),IF(I25&lt;IFERROR(INDEX(Instructions!$B:$B,MATCH("Shrinkage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25" s="12" t="inlineStr">
        <is>
          <t>21:00</t>
        </is>
      </c>
      <c r="AV25" s="53">
        <f>IFERROR(AD25/C25,"")</f>
        <v/>
      </c>
      <c r="AW25" s="53">
        <f>IFERROR(AE25/D25,"")</f>
        <v/>
      </c>
      <c r="AX25" s="53">
        <f>IFERROR(AF25/E25,"")</f>
        <v/>
      </c>
      <c r="AY25" s="53">
        <f>IFERROR(AG25/F25,"")</f>
        <v/>
      </c>
      <c r="AZ25" s="53">
        <f>IFERROR(AH25/G25,"")</f>
        <v/>
      </c>
      <c r="BA25" s="53">
        <f>IFERROR(AI25/H25,"")</f>
        <v/>
      </c>
      <c r="BB25" s="53">
        <f>IFERROR(AJ25/I25,"")</f>
        <v/>
      </c>
      <c r="BD25" s="12" t="inlineStr">
        <is>
          <t>21:00</t>
        </is>
      </c>
      <c r="BE25" s="12">
        <f>IF(C25="","",IF(AV25&gt;=Instructions!$B$15,1,0))</f>
        <v/>
      </c>
      <c r="BF25" s="12">
        <f>IF(D25="","",IF(AW25&gt;=Instructions!$B$15,1,0))</f>
        <v/>
      </c>
      <c r="BG25" s="12">
        <f>IF(E25="","",IF(AX25&gt;=Instructions!$B$15,1,0))</f>
        <v/>
      </c>
      <c r="BH25" s="12">
        <f>IF(F25="","",IF(AY25&gt;=Instructions!$B$15,1,0))</f>
        <v/>
      </c>
      <c r="BI25" s="12">
        <f>IF(G25="","",IF(AZ25&gt;=Instructions!$B$15,1,0))</f>
        <v/>
      </c>
      <c r="BJ25" s="12">
        <f>IF(H25="","",IF(BA25&gt;=Instructions!$B$15,1,0))</f>
        <v/>
      </c>
      <c r="BK25" s="12">
        <f>IF(I25="","",IF(BB25&gt;=Instructions!$B$15,1,0))</f>
        <v/>
      </c>
      <c r="BM25" s="12" t="inlineStr">
        <is>
          <t>21:00</t>
        </is>
      </c>
      <c r="BN25" s="12">
        <f>IF(C25="","",IF(AV25&gt;=Instructions!$B$16,1,0))</f>
        <v/>
      </c>
      <c r="BO25" s="12">
        <f>IF(D25="","",IF(AW25&gt;=Instructions!$B$16,1,0))</f>
        <v/>
      </c>
      <c r="BP25" s="12">
        <f>IF(E25="","",IF(AX25&gt;=Instructions!$B$16,1,0))</f>
        <v/>
      </c>
      <c r="BQ25" s="12">
        <f>IF(F25="","",IF(AY25&gt;=Instructions!$B$16,1,0))</f>
        <v/>
      </c>
      <c r="BR25" s="12">
        <f>IF(G25="","",IF(AZ25&gt;=Instructions!$B$16,1,0))</f>
        <v/>
      </c>
      <c r="BS25" s="12">
        <f>IF(H25="","",IF(BA25&gt;=Instructions!$B$16,1,0))</f>
        <v/>
      </c>
      <c r="BT25" s="12">
        <f>IF(I25="","",IF(BB25&gt;=Instructions!$B$16,1,0))</f>
        <v/>
      </c>
      <c r="BV25" s="12" t="inlineStr">
        <is>
          <t>21:00</t>
        </is>
      </c>
      <c r="BW25" s="12">
        <f>IF(C25="","",IF(ROUND(AV25,6)&gt;=ROUND(Instructions!$B$16-Instructions!$B$17,6),1,0))</f>
        <v/>
      </c>
      <c r="BX25" s="12">
        <f>IF(D25="","",IF(ROUND(AW25,6)&gt;=ROUND(Instructions!$B$16-Instructions!$B$17,6),1,0))</f>
        <v/>
      </c>
      <c r="BY25" s="12">
        <f>IF(E25="","",IF(ROUND(AX25,6)&gt;=ROUND(Instructions!$B$16-Instructions!$B$17,6),1,0))</f>
        <v/>
      </c>
      <c r="BZ25" s="12">
        <f>IF(F25="","",IF(ROUND(AY25,6)&gt;=ROUND(Instructions!$B$16-Instructions!$B$17,6),1,0))</f>
        <v/>
      </c>
      <c r="CA25" s="12">
        <f>IF(G25="","",IF(ROUND(AZ25,6)&gt;=ROUND(Instructions!$B$16-Instructions!$B$17,6),1,0))</f>
        <v/>
      </c>
      <c r="CB25" s="12">
        <f>IF(H25="","",IF(ROUND(BA25,6)&gt;=ROUND(Instructions!$B$16-Instructions!$B$17,6),1,0))</f>
        <v/>
      </c>
      <c r="CC25" s="12">
        <f>IF(I25="","",IF(ROUND(BB25,6)&gt;=ROUND(Instructions!$B$16-Instructions!$B$17,6),1,0))</f>
        <v/>
      </c>
      <c r="CF25" s="12" t="inlineStr">
        <is>
          <t>21:00</t>
        </is>
      </c>
      <c r="CG25" s="12">
        <f>IF(C25="","",AD25-C25)</f>
        <v/>
      </c>
      <c r="CH25" s="12">
        <f>IF(D25="","",AE25-D25)</f>
        <v/>
      </c>
      <c r="CI25" s="12">
        <f>IF(E25="","",AF25-E25)</f>
        <v/>
      </c>
      <c r="CJ25" s="12">
        <f>IF(F25="","",AG25-F25)</f>
        <v/>
      </c>
      <c r="CK25" s="12">
        <f>IF(G25="","",AH25-G25)</f>
        <v/>
      </c>
      <c r="CL25" s="12">
        <f>IF(H25="","",AI25-H25)</f>
        <v/>
      </c>
      <c r="CM25" s="12">
        <f>IF(I25="","",AJ25-I25)</f>
        <v/>
      </c>
    </row>
    <row r="26">
      <c r="B26" s="12" t="inlineStr">
        <is>
          <t>22:00</t>
        </is>
      </c>
      <c r="C26" s="16" t="n"/>
      <c r="D26" s="16" t="n"/>
      <c r="E26" s="16" t="n"/>
      <c r="F26" s="16" t="n"/>
      <c r="G26" s="16" t="n"/>
      <c r="H26" s="16" t="n"/>
      <c r="I26" s="16" t="n"/>
      <c r="K26" s="12" t="inlineStr">
        <is>
          <t>22:00</t>
        </is>
      </c>
      <c r="L26" s="12">
        <f>IF(C26="","",COUNTIFS('Scheduler Engine'!$N$2:$N$1751,1,'Scheduler Engine'!$L$2:$L$1751,"&lt;="&amp;((0)*24+VALUE(LEFT($K26,2))),'Scheduler Engine'!$M$2:$M$1751,"&gt;"&amp;((0)*24+VALUE(LEFT($K26,2))))+COUNTIFS('Previous Engine'!$K$2:$K$251,1,'Previous Engine'!$H$2:$H$251,"&lt;="&amp;VALUE(LEFT($K26,2)),'Previous Engine'!$I$2:$I$251,"&gt;"&amp;VALUE(LEFT($K26,2))))</f>
        <v/>
      </c>
      <c r="M26" s="12">
        <f>IF(D26="","",COUNTIFS('Scheduler Engine'!$N$2:$N$1751,1,'Scheduler Engine'!$L$2:$L$1751,"&lt;="&amp;((1)*24+VALUE(LEFT($K26,2))),'Scheduler Engine'!$M$2:$M$1751,"&gt;"&amp;((1)*24+VALUE(LEFT($K26,2)))))</f>
        <v/>
      </c>
      <c r="N26" s="12">
        <f>IF(E26="","",COUNTIFS('Scheduler Engine'!$N$2:$N$1751,1,'Scheduler Engine'!$L$2:$L$1751,"&lt;="&amp;((2)*24+VALUE(LEFT($K26,2))),'Scheduler Engine'!$M$2:$M$1751,"&gt;"&amp;((2)*24+VALUE(LEFT($K26,2)))))</f>
        <v/>
      </c>
      <c r="O26" s="12">
        <f>IF(F26="","",COUNTIFS('Scheduler Engine'!$N$2:$N$1751,1,'Scheduler Engine'!$L$2:$L$1751,"&lt;="&amp;((3)*24+VALUE(LEFT($K26,2))),'Scheduler Engine'!$M$2:$M$1751,"&gt;"&amp;((3)*24+VALUE(LEFT($K26,2)))))</f>
        <v/>
      </c>
      <c r="P26" s="12">
        <f>IF(G26="","",COUNTIFS('Scheduler Engine'!$N$2:$N$1751,1,'Scheduler Engine'!$L$2:$L$1751,"&lt;="&amp;((4)*24+VALUE(LEFT($K26,2))),'Scheduler Engine'!$M$2:$M$1751,"&gt;"&amp;((4)*24+VALUE(LEFT($K26,2)))))</f>
        <v/>
      </c>
      <c r="Q26" s="12">
        <f>IF(H26="","",COUNTIFS('Scheduler Engine'!$N$2:$N$1751,1,'Scheduler Engine'!$L$2:$L$1751,"&lt;="&amp;((5)*24+VALUE(LEFT($K26,2))),'Scheduler Engine'!$M$2:$M$1751,"&gt;"&amp;((5)*24+VALUE(LEFT($K26,2)))))</f>
        <v/>
      </c>
      <c r="R26" s="12">
        <f>IF(I26="","",COUNTIFS('Scheduler Engine'!$N$2:$N$1751,1,'Scheduler Engine'!$L$2:$L$1751,"&lt;="&amp;((6)*24+VALUE(LEFT($K26,2))),'Scheduler Engine'!$M$2:$M$1751,"&gt;"&amp;((6)*24+VALUE(LEFT($K26,2)))))</f>
        <v/>
      </c>
      <c r="AC26" s="12" t="inlineStr">
        <is>
          <t>22:00</t>
        </is>
      </c>
      <c r="AD26" s="12">
        <f>IF(C26="","",L26*(1-(IF(IFERROR(INDEX(Instructions!$B:$B,MATCH("Shrinkage Source",Instructions!$A:$A,0)),"Shrinkage Sheet")="Shrinkage Sheet",IFERROR(IF(Shrinkage!B26="-",IF(C26&lt;IFERROR(INDEX(Instructions!$B:$B,MATCH("Shrinkage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FTEs",Instructions!$A:$A,0)),12%)),Shrinkage!B26),IF(C26&lt;IFERROR(INDEX(Instructions!$B:$B,MATCH("Shrinkage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26" s="12">
        <f>IF(D26="","",M26*(1-(IF(IFERROR(INDEX(Instructions!$B:$B,MATCH("Shrinkage Source",Instructions!$A:$A,0)),"Shrinkage Sheet")="Shrinkage Sheet",IFERROR(IF(Shrinkage!C26="-",IF(D26&lt;IFERROR(INDEX(Instructions!$B:$B,MATCH("Shrinkage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FTEs",Instructions!$A:$A,0)),12%)),Shrinkage!C26),IF(D26&lt;IFERROR(INDEX(Instructions!$B:$B,MATCH("Shrinkage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26" s="12">
        <f>IF(E26="","",N26*(1-(IF(IFERROR(INDEX(Instructions!$B:$B,MATCH("Shrinkage Source",Instructions!$A:$A,0)),"Shrinkage Sheet")="Shrinkage Sheet",IFERROR(IF(Shrinkage!D26="-",IF(E26&lt;IFERROR(INDEX(Instructions!$B:$B,MATCH("Shrinkage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FTEs",Instructions!$A:$A,0)),12%)),Shrinkage!D26),IF(E26&lt;IFERROR(INDEX(Instructions!$B:$B,MATCH("Shrinkage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26" s="12">
        <f>IF(F26="","",O26*(1-(IF(IFERROR(INDEX(Instructions!$B:$B,MATCH("Shrinkage Source",Instructions!$A:$A,0)),"Shrinkage Sheet")="Shrinkage Sheet",IFERROR(IF(Shrinkage!E26="-",IF(F26&lt;IFERROR(INDEX(Instructions!$B:$B,MATCH("Shrinkage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FTEs",Instructions!$A:$A,0)),12%)),Shrinkage!E26),IF(F26&lt;IFERROR(INDEX(Instructions!$B:$B,MATCH("Shrinkage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26" s="12">
        <f>IF(G26="","",P26*(1-(IF(IFERROR(INDEX(Instructions!$B:$B,MATCH("Shrinkage Source",Instructions!$A:$A,0)),"Shrinkage Sheet")="Shrinkage Sheet",IFERROR(IF(Shrinkage!F26="-",IF(G26&lt;IFERROR(INDEX(Instructions!$B:$B,MATCH("Shrinkage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FTEs",Instructions!$A:$A,0)),12%)),Shrinkage!F26),IF(G26&lt;IFERROR(INDEX(Instructions!$B:$B,MATCH("Shrinkage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26" s="12">
        <f>IF(H26="","",Q26*(1-(IF(IFERROR(INDEX(Instructions!$B:$B,MATCH("Shrinkage Source",Instructions!$A:$A,0)),"Shrinkage Sheet")="Shrinkage Sheet",IFERROR(IF(Shrinkage!G26="-",IF(H26&lt;IFERROR(INDEX(Instructions!$B:$B,MATCH("Shrinkage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FTEs",Instructions!$A:$A,0)),12%)),Shrinkage!G26),IF(H26&lt;IFERROR(INDEX(Instructions!$B:$B,MATCH("Shrinkage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26" s="12">
        <f>IF(I26="","",R26*(1-(IF(IFERROR(INDEX(Instructions!$B:$B,MATCH("Shrinkage Source",Instructions!$A:$A,0)),"Shrinkage Sheet")="Shrinkage Sheet",IFERROR(IF(Shrinkage!H26="-",IF(I26&lt;IFERROR(INDEX(Instructions!$B:$B,MATCH("Shrinkage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FTEs",Instructions!$A:$A,0)),12%)),Shrinkage!H26),IF(I26&lt;IFERROR(INDEX(Instructions!$B:$B,MATCH("Shrinkage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26" s="12" t="inlineStr">
        <is>
          <t>22:00</t>
        </is>
      </c>
      <c r="AV26" s="53">
        <f>IFERROR(AD26/C26,"")</f>
        <v/>
      </c>
      <c r="AW26" s="53">
        <f>IFERROR(AE26/D26,"")</f>
        <v/>
      </c>
      <c r="AX26" s="53">
        <f>IFERROR(AF26/E26,"")</f>
        <v/>
      </c>
      <c r="AY26" s="53">
        <f>IFERROR(AG26/F26,"")</f>
        <v/>
      </c>
      <c r="AZ26" s="53">
        <f>IFERROR(AH26/G26,"")</f>
        <v/>
      </c>
      <c r="BA26" s="53">
        <f>IFERROR(AI26/H26,"")</f>
        <v/>
      </c>
      <c r="BB26" s="53">
        <f>IFERROR(AJ26/I26,"")</f>
        <v/>
      </c>
      <c r="BD26" s="12" t="inlineStr">
        <is>
          <t>22:00</t>
        </is>
      </c>
      <c r="BE26" s="12">
        <f>IF(C26="","",IF(AV26&gt;=Instructions!$B$15,1,0))</f>
        <v/>
      </c>
      <c r="BF26" s="12">
        <f>IF(D26="","",IF(AW26&gt;=Instructions!$B$15,1,0))</f>
        <v/>
      </c>
      <c r="BG26" s="12">
        <f>IF(E26="","",IF(AX26&gt;=Instructions!$B$15,1,0))</f>
        <v/>
      </c>
      <c r="BH26" s="12">
        <f>IF(F26="","",IF(AY26&gt;=Instructions!$B$15,1,0))</f>
        <v/>
      </c>
      <c r="BI26" s="12">
        <f>IF(G26="","",IF(AZ26&gt;=Instructions!$B$15,1,0))</f>
        <v/>
      </c>
      <c r="BJ26" s="12">
        <f>IF(H26="","",IF(BA26&gt;=Instructions!$B$15,1,0))</f>
        <v/>
      </c>
      <c r="BK26" s="12">
        <f>IF(I26="","",IF(BB26&gt;=Instructions!$B$15,1,0))</f>
        <v/>
      </c>
      <c r="BM26" s="12" t="inlineStr">
        <is>
          <t>22:00</t>
        </is>
      </c>
      <c r="BN26" s="12">
        <f>IF(C26="","",IF(AV26&gt;=Instructions!$B$16,1,0))</f>
        <v/>
      </c>
      <c r="BO26" s="12">
        <f>IF(D26="","",IF(AW26&gt;=Instructions!$B$16,1,0))</f>
        <v/>
      </c>
      <c r="BP26" s="12">
        <f>IF(E26="","",IF(AX26&gt;=Instructions!$B$16,1,0))</f>
        <v/>
      </c>
      <c r="BQ26" s="12">
        <f>IF(F26="","",IF(AY26&gt;=Instructions!$B$16,1,0))</f>
        <v/>
      </c>
      <c r="BR26" s="12">
        <f>IF(G26="","",IF(AZ26&gt;=Instructions!$B$16,1,0))</f>
        <v/>
      </c>
      <c r="BS26" s="12">
        <f>IF(H26="","",IF(BA26&gt;=Instructions!$B$16,1,0))</f>
        <v/>
      </c>
      <c r="BT26" s="12">
        <f>IF(I26="","",IF(BB26&gt;=Instructions!$B$16,1,0))</f>
        <v/>
      </c>
      <c r="BV26" s="12" t="inlineStr">
        <is>
          <t>22:00</t>
        </is>
      </c>
      <c r="BW26" s="12">
        <f>IF(C26="","",IF(ROUND(AV26,6)&gt;=ROUND(Instructions!$B$16-Instructions!$B$17,6),1,0))</f>
        <v/>
      </c>
      <c r="BX26" s="12">
        <f>IF(D26="","",IF(ROUND(AW26,6)&gt;=ROUND(Instructions!$B$16-Instructions!$B$17,6),1,0))</f>
        <v/>
      </c>
      <c r="BY26" s="12">
        <f>IF(E26="","",IF(ROUND(AX26,6)&gt;=ROUND(Instructions!$B$16-Instructions!$B$17,6),1,0))</f>
        <v/>
      </c>
      <c r="BZ26" s="12">
        <f>IF(F26="","",IF(ROUND(AY26,6)&gt;=ROUND(Instructions!$B$16-Instructions!$B$17,6),1,0))</f>
        <v/>
      </c>
      <c r="CA26" s="12">
        <f>IF(G26="","",IF(ROUND(AZ26,6)&gt;=ROUND(Instructions!$B$16-Instructions!$B$17,6),1,0))</f>
        <v/>
      </c>
      <c r="CB26" s="12">
        <f>IF(H26="","",IF(ROUND(BA26,6)&gt;=ROUND(Instructions!$B$16-Instructions!$B$17,6),1,0))</f>
        <v/>
      </c>
      <c r="CC26" s="12">
        <f>IF(I26="","",IF(ROUND(BB26,6)&gt;=ROUND(Instructions!$B$16-Instructions!$B$17,6),1,0))</f>
        <v/>
      </c>
      <c r="CF26" s="12" t="inlineStr">
        <is>
          <t>22:00</t>
        </is>
      </c>
      <c r="CG26" s="12">
        <f>IF(C26="","",AD26-C26)</f>
        <v/>
      </c>
      <c r="CH26" s="12">
        <f>IF(D26="","",AE26-D26)</f>
        <v/>
      </c>
      <c r="CI26" s="12">
        <f>IF(E26="","",AF26-E26)</f>
        <v/>
      </c>
      <c r="CJ26" s="12">
        <f>IF(F26="","",AG26-F26)</f>
        <v/>
      </c>
      <c r="CK26" s="12">
        <f>IF(G26="","",AH26-G26)</f>
        <v/>
      </c>
      <c r="CL26" s="12">
        <f>IF(H26="","",AI26-H26)</f>
        <v/>
      </c>
      <c r="CM26" s="12">
        <f>IF(I26="","",AJ26-I26)</f>
        <v/>
      </c>
    </row>
    <row r="27">
      <c r="B27" s="12" t="inlineStr">
        <is>
          <t>23:00</t>
        </is>
      </c>
      <c r="C27" s="16" t="n"/>
      <c r="D27" s="16" t="n"/>
      <c r="E27" s="16" t="n"/>
      <c r="F27" s="16" t="n"/>
      <c r="G27" s="16" t="n"/>
      <c r="H27" s="16" t="n"/>
      <c r="I27" s="16" t="n"/>
      <c r="K27" s="12" t="inlineStr">
        <is>
          <t>23:00</t>
        </is>
      </c>
      <c r="L27" s="12">
        <f>IF(C27="","",COUNTIFS('Scheduler Engine'!$N$2:$N$1751,1,'Scheduler Engine'!$L$2:$L$1751,"&lt;="&amp;((0)*24+VALUE(LEFT($K27,2))),'Scheduler Engine'!$M$2:$M$1751,"&gt;"&amp;((0)*24+VALUE(LEFT($K27,2))))+COUNTIFS('Previous Engine'!$K$2:$K$251,1,'Previous Engine'!$H$2:$H$251,"&lt;="&amp;VALUE(LEFT($K27,2)),'Previous Engine'!$I$2:$I$251,"&gt;"&amp;VALUE(LEFT($K27,2))))</f>
        <v/>
      </c>
      <c r="M27" s="12">
        <f>IF(D27="","",COUNTIFS('Scheduler Engine'!$N$2:$N$1751,1,'Scheduler Engine'!$L$2:$L$1751,"&lt;="&amp;((1)*24+VALUE(LEFT($K27,2))),'Scheduler Engine'!$M$2:$M$1751,"&gt;"&amp;((1)*24+VALUE(LEFT($K27,2)))))</f>
        <v/>
      </c>
      <c r="N27" s="12">
        <f>IF(E27="","",COUNTIFS('Scheduler Engine'!$N$2:$N$1751,1,'Scheduler Engine'!$L$2:$L$1751,"&lt;="&amp;((2)*24+VALUE(LEFT($K27,2))),'Scheduler Engine'!$M$2:$M$1751,"&gt;"&amp;((2)*24+VALUE(LEFT($K27,2)))))</f>
        <v/>
      </c>
      <c r="O27" s="12">
        <f>IF(F27="","",COUNTIFS('Scheduler Engine'!$N$2:$N$1751,1,'Scheduler Engine'!$L$2:$L$1751,"&lt;="&amp;((3)*24+VALUE(LEFT($K27,2))),'Scheduler Engine'!$M$2:$M$1751,"&gt;"&amp;((3)*24+VALUE(LEFT($K27,2)))))</f>
        <v/>
      </c>
      <c r="P27" s="12">
        <f>IF(G27="","",COUNTIFS('Scheduler Engine'!$N$2:$N$1751,1,'Scheduler Engine'!$L$2:$L$1751,"&lt;="&amp;((4)*24+VALUE(LEFT($K27,2))),'Scheduler Engine'!$M$2:$M$1751,"&gt;"&amp;((4)*24+VALUE(LEFT($K27,2)))))</f>
        <v/>
      </c>
      <c r="Q27" s="12">
        <f>IF(H27="","",COUNTIFS('Scheduler Engine'!$N$2:$N$1751,1,'Scheduler Engine'!$L$2:$L$1751,"&lt;="&amp;((5)*24+VALUE(LEFT($K27,2))),'Scheduler Engine'!$M$2:$M$1751,"&gt;"&amp;((5)*24+VALUE(LEFT($K27,2)))))</f>
        <v/>
      </c>
      <c r="R27" s="12">
        <f>IF(I27="","",COUNTIFS('Scheduler Engine'!$N$2:$N$1751,1,'Scheduler Engine'!$L$2:$L$1751,"&lt;="&amp;((6)*24+VALUE(LEFT($K27,2))),'Scheduler Engine'!$M$2:$M$1751,"&gt;"&amp;((6)*24+VALUE(LEFT($K27,2)))))</f>
        <v/>
      </c>
      <c r="AC27" s="12" t="inlineStr">
        <is>
          <t>23:00</t>
        </is>
      </c>
      <c r="AD27" s="12">
        <f>IF(C27="","",L27*(1-(IF(IFERROR(INDEX(Instructions!$B:$B,MATCH("Shrinkage Source",Instructions!$A:$A,0)),"Shrinkage Sheet")="Shrinkage Sheet",IFERROR(IF(Shrinkage!B27="-",IF(C27&lt;IFERROR(INDEX(Instructions!$B:$B,MATCH("Shrinkage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FTEs",Instructions!$A:$A,0)),12%)),Shrinkage!B27),IF(C27&lt;IFERROR(INDEX(Instructions!$B:$B,MATCH("Shrinkage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27" s="12">
        <f>IF(D27="","",M27*(1-(IF(IFERROR(INDEX(Instructions!$B:$B,MATCH("Shrinkage Source",Instructions!$A:$A,0)),"Shrinkage Sheet")="Shrinkage Sheet",IFERROR(IF(Shrinkage!C27="-",IF(D27&lt;IFERROR(INDEX(Instructions!$B:$B,MATCH("Shrinkage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FTEs",Instructions!$A:$A,0)),12%)),Shrinkage!C27),IF(D27&lt;IFERROR(INDEX(Instructions!$B:$B,MATCH("Shrinkage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27" s="12">
        <f>IF(E27="","",N27*(1-(IF(IFERROR(INDEX(Instructions!$B:$B,MATCH("Shrinkage Source",Instructions!$A:$A,0)),"Shrinkage Sheet")="Shrinkage Sheet",IFERROR(IF(Shrinkage!D27="-",IF(E27&lt;IFERROR(INDEX(Instructions!$B:$B,MATCH("Shrinkage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FTEs",Instructions!$A:$A,0)),12%)),Shrinkage!D27),IF(E27&lt;IFERROR(INDEX(Instructions!$B:$B,MATCH("Shrinkage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27" s="12">
        <f>IF(F27="","",O27*(1-(IF(IFERROR(INDEX(Instructions!$B:$B,MATCH("Shrinkage Source",Instructions!$A:$A,0)),"Shrinkage Sheet")="Shrinkage Sheet",IFERROR(IF(Shrinkage!E27="-",IF(F27&lt;IFERROR(INDEX(Instructions!$B:$B,MATCH("Shrinkage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FTEs",Instructions!$A:$A,0)),12%)),Shrinkage!E27),IF(F27&lt;IFERROR(INDEX(Instructions!$B:$B,MATCH("Shrinkage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27" s="12">
        <f>IF(G27="","",P27*(1-(IF(IFERROR(INDEX(Instructions!$B:$B,MATCH("Shrinkage Source",Instructions!$A:$A,0)),"Shrinkage Sheet")="Shrinkage Sheet",IFERROR(IF(Shrinkage!F27="-",IF(G27&lt;IFERROR(INDEX(Instructions!$B:$B,MATCH("Shrinkage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FTEs",Instructions!$A:$A,0)),12%)),Shrinkage!F27),IF(G27&lt;IFERROR(INDEX(Instructions!$B:$B,MATCH("Shrinkage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27" s="12">
        <f>IF(H27="","",Q27*(1-(IF(IFERROR(INDEX(Instructions!$B:$B,MATCH("Shrinkage Source",Instructions!$A:$A,0)),"Shrinkage Sheet")="Shrinkage Sheet",IFERROR(IF(Shrinkage!G27="-",IF(H27&lt;IFERROR(INDEX(Instructions!$B:$B,MATCH("Shrinkage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FTEs",Instructions!$A:$A,0)),12%)),Shrinkage!G27),IF(H27&lt;IFERROR(INDEX(Instructions!$B:$B,MATCH("Shrinkage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27" s="12">
        <f>IF(I27="","",R27*(1-(IF(IFERROR(INDEX(Instructions!$B:$B,MATCH("Shrinkage Source",Instructions!$A:$A,0)),"Shrinkage Sheet")="Shrinkage Sheet",IFERROR(IF(Shrinkage!H27="-",IF(I27&lt;IFERROR(INDEX(Instructions!$B:$B,MATCH("Shrinkage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FTEs",Instructions!$A:$A,0)),12%)),Shrinkage!H27),IF(I27&lt;IFERROR(INDEX(Instructions!$B:$B,MATCH("Shrinkage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27" s="12" t="inlineStr">
        <is>
          <t>23:00</t>
        </is>
      </c>
      <c r="AV27" s="53">
        <f>IFERROR(AD27/C27,"")</f>
        <v/>
      </c>
      <c r="AW27" s="53">
        <f>IFERROR(AE27/D27,"")</f>
        <v/>
      </c>
      <c r="AX27" s="53">
        <f>IFERROR(AF27/E27,"")</f>
        <v/>
      </c>
      <c r="AY27" s="53">
        <f>IFERROR(AG27/F27,"")</f>
        <v/>
      </c>
      <c r="AZ27" s="53">
        <f>IFERROR(AH27/G27,"")</f>
        <v/>
      </c>
      <c r="BA27" s="53">
        <f>IFERROR(AI27/H27,"")</f>
        <v/>
      </c>
      <c r="BB27" s="53">
        <f>IFERROR(AJ27/I27,"")</f>
        <v/>
      </c>
      <c r="BD27" s="12" t="inlineStr">
        <is>
          <t>23:00</t>
        </is>
      </c>
      <c r="BE27" s="12">
        <f>IF(C27="","",IF(AV27&gt;=Instructions!$B$15,1,0))</f>
        <v/>
      </c>
      <c r="BF27" s="12">
        <f>IF(D27="","",IF(AW27&gt;=Instructions!$B$15,1,0))</f>
        <v/>
      </c>
      <c r="BG27" s="12">
        <f>IF(E27="","",IF(AX27&gt;=Instructions!$B$15,1,0))</f>
        <v/>
      </c>
      <c r="BH27" s="12">
        <f>IF(F27="","",IF(AY27&gt;=Instructions!$B$15,1,0))</f>
        <v/>
      </c>
      <c r="BI27" s="12">
        <f>IF(G27="","",IF(AZ27&gt;=Instructions!$B$15,1,0))</f>
        <v/>
      </c>
      <c r="BJ27" s="12">
        <f>IF(H27="","",IF(BA27&gt;=Instructions!$B$15,1,0))</f>
        <v/>
      </c>
      <c r="BK27" s="12">
        <f>IF(I27="","",IF(BB27&gt;=Instructions!$B$15,1,0))</f>
        <v/>
      </c>
      <c r="BM27" s="12" t="inlineStr">
        <is>
          <t>23:00</t>
        </is>
      </c>
      <c r="BN27" s="12">
        <f>IF(C27="","",IF(AV27&gt;=Instructions!$B$16,1,0))</f>
        <v/>
      </c>
      <c r="BO27" s="12">
        <f>IF(D27="","",IF(AW27&gt;=Instructions!$B$16,1,0))</f>
        <v/>
      </c>
      <c r="BP27" s="12">
        <f>IF(E27="","",IF(AX27&gt;=Instructions!$B$16,1,0))</f>
        <v/>
      </c>
      <c r="BQ27" s="12">
        <f>IF(F27="","",IF(AY27&gt;=Instructions!$B$16,1,0))</f>
        <v/>
      </c>
      <c r="BR27" s="12">
        <f>IF(G27="","",IF(AZ27&gt;=Instructions!$B$16,1,0))</f>
        <v/>
      </c>
      <c r="BS27" s="12">
        <f>IF(H27="","",IF(BA27&gt;=Instructions!$B$16,1,0))</f>
        <v/>
      </c>
      <c r="BT27" s="12">
        <f>IF(I27="","",IF(BB27&gt;=Instructions!$B$16,1,0))</f>
        <v/>
      </c>
      <c r="BV27" s="12" t="inlineStr">
        <is>
          <t>23:00</t>
        </is>
      </c>
      <c r="BW27" s="12">
        <f>IF(C27="","",IF(ROUND(AV27,6)&gt;=ROUND(Instructions!$B$16-Instructions!$B$17,6),1,0))</f>
        <v/>
      </c>
      <c r="BX27" s="12">
        <f>IF(D27="","",IF(ROUND(AW27,6)&gt;=ROUND(Instructions!$B$16-Instructions!$B$17,6),1,0))</f>
        <v/>
      </c>
      <c r="BY27" s="12">
        <f>IF(E27="","",IF(ROUND(AX27,6)&gt;=ROUND(Instructions!$B$16-Instructions!$B$17,6),1,0))</f>
        <v/>
      </c>
      <c r="BZ27" s="12">
        <f>IF(F27="","",IF(ROUND(AY27,6)&gt;=ROUND(Instructions!$B$16-Instructions!$B$17,6),1,0))</f>
        <v/>
      </c>
      <c r="CA27" s="12">
        <f>IF(G27="","",IF(ROUND(AZ27,6)&gt;=ROUND(Instructions!$B$16-Instructions!$B$17,6),1,0))</f>
        <v/>
      </c>
      <c r="CB27" s="12">
        <f>IF(H27="","",IF(ROUND(BA27,6)&gt;=ROUND(Instructions!$B$16-Instructions!$B$17,6),1,0))</f>
        <v/>
      </c>
      <c r="CC27" s="12">
        <f>IF(I27="","",IF(ROUND(BB27,6)&gt;=ROUND(Instructions!$B$16-Instructions!$B$17,6),1,0))</f>
        <v/>
      </c>
      <c r="CF27" s="12" t="inlineStr">
        <is>
          <t>23:00</t>
        </is>
      </c>
      <c r="CG27" s="12">
        <f>IF(C27="","",AD27-C27)</f>
        <v/>
      </c>
      <c r="CH27" s="12">
        <f>IF(D27="","",AE27-D27)</f>
        <v/>
      </c>
      <c r="CI27" s="12">
        <f>IF(E27="","",AF27-E27)</f>
        <v/>
      </c>
      <c r="CJ27" s="12">
        <f>IF(F27="","",AG27-F27)</f>
        <v/>
      </c>
      <c r="CK27" s="12">
        <f>IF(G27="","",AH27-G27)</f>
        <v/>
      </c>
      <c r="CL27" s="12">
        <f>IF(H27="","",AI27-H27)</f>
        <v/>
      </c>
      <c r="CM27" s="12">
        <f>IF(I27="","",AJ27-I27)</f>
        <v/>
      </c>
    </row>
    <row r="29">
      <c r="C29" s="17" t="n"/>
      <c r="D29" s="17" t="n"/>
      <c r="E29" s="17" t="n"/>
      <c r="F29" s="17" t="n"/>
      <c r="G29" s="17" t="n"/>
      <c r="H29" s="17" t="n"/>
      <c r="I29" s="17" t="n"/>
    </row>
    <row r="30">
      <c r="C30" s="17" t="n"/>
      <c r="D30" s="17" t="n"/>
      <c r="E30" s="17" t="n"/>
      <c r="F30" s="17" t="n"/>
      <c r="G30" s="17" t="n"/>
      <c r="H30" s="17" t="n"/>
      <c r="I30" s="17" t="n"/>
    </row>
    <row r="31">
      <c r="C31" s="17" t="n"/>
      <c r="D31" s="17" t="n"/>
      <c r="E31" s="17" t="n"/>
      <c r="F31" s="17" t="n"/>
      <c r="G31" s="17" t="n"/>
      <c r="H31" s="17" t="n"/>
      <c r="I31" s="17" t="n"/>
    </row>
    <row r="32">
      <c r="C32" s="17" t="n"/>
      <c r="D32" s="17" t="n"/>
      <c r="E32" s="17" t="n"/>
      <c r="F32" s="17" t="n"/>
      <c r="G32" s="17" t="n"/>
      <c r="H32" s="17" t="n"/>
      <c r="I32" s="17" t="n"/>
    </row>
    <row r="33">
      <c r="C33" s="17" t="n"/>
      <c r="D33" s="17" t="n"/>
      <c r="E33" s="17" t="n"/>
      <c r="F33" s="17" t="n"/>
      <c r="G33" s="17" t="n"/>
      <c r="H33" s="17" t="n"/>
      <c r="I33" s="17" t="n"/>
    </row>
    <row r="34">
      <c r="C34" s="17" t="n"/>
      <c r="D34" s="17" t="n"/>
      <c r="E34" s="17" t="n"/>
      <c r="F34" s="17" t="n"/>
      <c r="G34" s="17" t="n"/>
      <c r="H34" s="17" t="n"/>
      <c r="I34" s="17" t="n"/>
    </row>
    <row r="35">
      <c r="C35" s="17" t="n"/>
      <c r="D35" s="17" t="n"/>
      <c r="E35" s="17" t="n"/>
      <c r="F35" s="17" t="n"/>
      <c r="G35" s="17" t="n"/>
      <c r="H35" s="17" t="n"/>
      <c r="I35" s="17" t="n"/>
    </row>
    <row r="36">
      <c r="C36" s="17" t="n"/>
      <c r="D36" s="17" t="n"/>
      <c r="E36" s="17" t="n"/>
      <c r="F36" s="17" t="n"/>
      <c r="G36" s="17" t="n"/>
      <c r="H36" s="17" t="n"/>
      <c r="I36" s="17" t="n"/>
    </row>
    <row r="37">
      <c r="C37" s="17" t="n"/>
      <c r="D37" s="17" t="n"/>
      <c r="E37" s="17" t="n"/>
      <c r="F37" s="17" t="n"/>
      <c r="G37" s="17" t="n"/>
      <c r="H37" s="17" t="n"/>
      <c r="I37" s="17" t="n"/>
    </row>
    <row r="38">
      <c r="C38" s="17" t="n"/>
      <c r="D38" s="17" t="n"/>
      <c r="E38" s="17" t="n"/>
      <c r="F38" s="17" t="n"/>
      <c r="G38" s="17" t="n"/>
      <c r="H38" s="17" t="n"/>
      <c r="I38" s="17" t="n"/>
    </row>
    <row r="39">
      <c r="C39" s="17" t="n"/>
      <c r="D39" s="17" t="n"/>
      <c r="E39" s="17" t="n"/>
      <c r="F39" s="17" t="n"/>
      <c r="G39" s="17" t="n"/>
      <c r="H39" s="17" t="n"/>
      <c r="I39" s="17" t="n"/>
    </row>
    <row r="40">
      <c r="C40" s="17" t="n"/>
      <c r="D40" s="17" t="n"/>
      <c r="E40" s="17" t="n"/>
      <c r="F40" s="17" t="n"/>
      <c r="G40" s="17" t="n"/>
      <c r="H40" s="17" t="n"/>
      <c r="I40" s="17" t="n"/>
    </row>
    <row r="41">
      <c r="C41" s="17" t="n"/>
      <c r="D41" s="17" t="n"/>
      <c r="E41" s="17" t="n"/>
      <c r="F41" s="17" t="n"/>
      <c r="G41" s="17" t="n"/>
      <c r="H41" s="17" t="n"/>
      <c r="I41" s="17" t="n"/>
    </row>
    <row r="42">
      <c r="C42" s="17" t="n"/>
      <c r="D42" s="17" t="n"/>
      <c r="E42" s="17" t="n"/>
      <c r="F42" s="17" t="n"/>
      <c r="G42" s="17" t="n"/>
      <c r="H42" s="17" t="n"/>
      <c r="I42" s="17" t="n"/>
    </row>
    <row r="43">
      <c r="C43" s="17" t="n"/>
      <c r="D43" s="17" t="n"/>
      <c r="E43" s="17" t="n"/>
      <c r="F43" s="17" t="n"/>
      <c r="G43" s="17" t="n"/>
      <c r="H43" s="17" t="n"/>
      <c r="I43" s="17" t="n"/>
    </row>
    <row r="44">
      <c r="C44" s="17" t="n"/>
      <c r="D44" s="17" t="n"/>
      <c r="E44" s="17" t="n"/>
      <c r="F44" s="17" t="n"/>
      <c r="G44" s="17" t="n"/>
      <c r="H44" s="17" t="n"/>
      <c r="I44" s="17" t="n"/>
    </row>
    <row r="45">
      <c r="C45" s="17" t="n"/>
      <c r="D45" s="17" t="n"/>
      <c r="E45" s="17" t="n"/>
      <c r="F45" s="17" t="n"/>
      <c r="G45" s="17" t="n"/>
      <c r="H45" s="17" t="n"/>
      <c r="I45" s="17" t="n"/>
    </row>
    <row r="46">
      <c r="C46" s="17" t="n"/>
      <c r="D46" s="17" t="n"/>
      <c r="E46" s="17" t="n"/>
      <c r="F46" s="17" t="n"/>
      <c r="G46" s="17" t="n"/>
      <c r="H46" s="17" t="n"/>
      <c r="I46" s="17" t="n"/>
    </row>
    <row r="47">
      <c r="C47" s="17" t="n"/>
      <c r="D47" s="17" t="n"/>
      <c r="E47" s="17" t="n"/>
      <c r="F47" s="17" t="n"/>
      <c r="G47" s="17" t="n"/>
      <c r="H47" s="17" t="n"/>
      <c r="I47" s="17" t="n"/>
    </row>
    <row r="48">
      <c r="C48" s="17" t="n"/>
      <c r="D48" s="17" t="n"/>
      <c r="E48" s="17" t="n"/>
      <c r="F48" s="17" t="n"/>
      <c r="G48" s="17" t="n"/>
      <c r="H48" s="17" t="n"/>
      <c r="I48" s="17" t="n"/>
    </row>
    <row r="49">
      <c r="C49" s="17" t="n"/>
      <c r="D49" s="17" t="n"/>
      <c r="E49" s="17" t="n"/>
      <c r="F49" s="17" t="n"/>
      <c r="G49" s="17" t="n"/>
      <c r="H49" s="17" t="n"/>
      <c r="I49" s="17" t="n"/>
    </row>
    <row r="50">
      <c r="C50" s="17" t="n"/>
      <c r="D50" s="17" t="n"/>
      <c r="E50" s="17" t="n"/>
      <c r="F50" s="17" t="n"/>
      <c r="G50" s="17" t="n"/>
      <c r="H50" s="17" t="n"/>
      <c r="I50" s="17" t="n"/>
    </row>
    <row r="51">
      <c r="C51" s="17" t="n"/>
      <c r="D51" s="17" t="n"/>
      <c r="E51" s="17" t="n"/>
      <c r="F51" s="17" t="n"/>
      <c r="G51" s="17" t="n"/>
      <c r="H51" s="17" t="n"/>
      <c r="I51" s="17" t="n"/>
    </row>
    <row r="52">
      <c r="C52" s="17" t="n"/>
      <c r="D52" s="17" t="n"/>
      <c r="E52" s="17" t="n"/>
      <c r="F52" s="17" t="n"/>
      <c r="G52" s="17" t="n"/>
      <c r="H52" s="17" t="n"/>
      <c r="I52" s="17" t="n"/>
    </row>
    <row r="53">
      <c r="C53" s="17" t="n"/>
      <c r="D53" s="17" t="n"/>
      <c r="E53" s="17" t="n"/>
      <c r="F53" s="17" t="n"/>
      <c r="G53" s="17" t="n"/>
      <c r="H53" s="17" t="n"/>
      <c r="I53" s="17" t="n"/>
    </row>
  </sheetData>
  <mergeCells count="8">
    <mergeCell ref="CF1:CM1"/>
    <mergeCell ref="K1:R1"/>
    <mergeCell ref="AC1:AJ1"/>
    <mergeCell ref="BM1:BT1"/>
    <mergeCell ref="BD1:BK1"/>
    <mergeCell ref="B1:I1"/>
    <mergeCell ref="BV1:CC1"/>
    <mergeCell ref="AU1:BB1"/>
  </mergeCells>
  <conditionalFormatting sqref="AC4:AJ27">
    <cfRule type="cellIs" priority="25" operator="lessThan" dxfId="0">
      <formula>0</formula>
    </cfRule>
  </conditionalFormatting>
  <conditionalFormatting sqref="AV4:BC27">
    <cfRule type="cellIs" priority="26" operator="lessThan" dxfId="0">
      <formula>0.7</formula>
    </cfRule>
    <cfRule type="cellIs" priority="27" operator="between" dxfId="18">
      <formula>0.7</formula>
      <formula>0.8</formula>
    </cfRule>
    <cfRule type="cellIs" priority="28" operator="greaterThanOrEqual" dxfId="17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FCE4D6"/>
    <outlinePr summaryBelow="1" summaryRight="1"/>
    <pageSetUpPr/>
  </sheetPr>
  <dimension ref="B1:AJ27"/>
  <sheetViews>
    <sheetView showGridLines="0" workbookViewId="0">
      <selection activeCell="E4" sqref="E4"/>
    </sheetView>
  </sheetViews>
  <sheetFormatPr baseColWidth="8" defaultRowHeight="15"/>
  <cols>
    <col width="12" customWidth="1" style="45" min="1" max="54"/>
  </cols>
  <sheetData>
    <row r="1" ht="60" customHeight="1" s="45">
      <c r="B1" s="47" t="inlineStr">
        <is>
          <t>Required FTEs</t>
        </is>
      </c>
      <c r="K1" s="47" t="inlineStr">
        <is>
          <t>Break FTEs Deducted</t>
        </is>
      </c>
      <c r="T1" s="47" t="inlineStr">
        <is>
          <t>Staffed FTEs After Breaks and Shrinkage</t>
        </is>
      </c>
      <c r="AC1" s="47" t="inlineStr">
        <is>
          <t>Actual / Required % After Breaks</t>
        </is>
      </c>
    </row>
    <row r="2">
      <c r="B2" s="13" t="inlineStr">
        <is>
          <t>Interval</t>
        </is>
      </c>
      <c r="C2" s="13" t="inlineStr">
        <is>
          <t>Sun</t>
        </is>
      </c>
      <c r="D2" s="13" t="inlineStr">
        <is>
          <t>Mon</t>
        </is>
      </c>
      <c r="E2" s="13" t="inlineStr">
        <is>
          <t>Tue</t>
        </is>
      </c>
      <c r="F2" s="13" t="inlineStr">
        <is>
          <t>Wed</t>
        </is>
      </c>
      <c r="G2" s="13" t="inlineStr">
        <is>
          <t>Thu</t>
        </is>
      </c>
      <c r="H2" s="13" t="inlineStr">
        <is>
          <t>Fri</t>
        </is>
      </c>
      <c r="I2" s="13" t="inlineStr">
        <is>
          <t>Sat</t>
        </is>
      </c>
      <c r="K2" s="13" t="inlineStr">
        <is>
          <t>Interval</t>
        </is>
      </c>
      <c r="L2" s="13" t="inlineStr">
        <is>
          <t>Sun</t>
        </is>
      </c>
      <c r="M2" s="13" t="inlineStr">
        <is>
          <t>Mon</t>
        </is>
      </c>
      <c r="N2" s="13" t="inlineStr">
        <is>
          <t>Tue</t>
        </is>
      </c>
      <c r="O2" s="13" t="inlineStr">
        <is>
          <t>Wed</t>
        </is>
      </c>
      <c r="P2" s="13" t="inlineStr">
        <is>
          <t>Thu</t>
        </is>
      </c>
      <c r="Q2" s="13" t="inlineStr">
        <is>
          <t>Fri</t>
        </is>
      </c>
      <c r="R2" s="13" t="inlineStr">
        <is>
          <t>Sat</t>
        </is>
      </c>
      <c r="T2" s="13" t="inlineStr">
        <is>
          <t>Interval</t>
        </is>
      </c>
      <c r="U2" s="13" t="inlineStr">
        <is>
          <t>Sun</t>
        </is>
      </c>
      <c r="V2" s="13" t="inlineStr">
        <is>
          <t>Mon</t>
        </is>
      </c>
      <c r="W2" s="13" t="inlineStr">
        <is>
          <t>Tue</t>
        </is>
      </c>
      <c r="X2" s="13" t="inlineStr">
        <is>
          <t>Wed</t>
        </is>
      </c>
      <c r="Y2" s="13" t="inlineStr">
        <is>
          <t>Thu</t>
        </is>
      </c>
      <c r="Z2" s="13" t="inlineStr">
        <is>
          <t>Fri</t>
        </is>
      </c>
      <c r="AA2" s="13" t="inlineStr">
        <is>
          <t>Sat</t>
        </is>
      </c>
      <c r="AC2" s="13" t="inlineStr">
        <is>
          <t>Interval</t>
        </is>
      </c>
      <c r="AD2" s="13" t="inlineStr">
        <is>
          <t>Sun</t>
        </is>
      </c>
      <c r="AE2" s="13" t="inlineStr">
        <is>
          <t>Mon</t>
        </is>
      </c>
      <c r="AF2" s="13" t="inlineStr">
        <is>
          <t>Tue</t>
        </is>
      </c>
      <c r="AG2" s="13" t="inlineStr">
        <is>
          <t>Wed</t>
        </is>
      </c>
      <c r="AH2" s="13" t="inlineStr">
        <is>
          <t>Thu</t>
        </is>
      </c>
      <c r="AI2" s="13" t="inlineStr">
        <is>
          <t>Fri</t>
        </is>
      </c>
      <c r="AJ2" s="13" t="inlineStr">
        <is>
          <t>Sat</t>
        </is>
      </c>
    </row>
    <row r="3" ht="30" customHeight="1" s="45">
      <c r="B3" s="13" t="inlineStr">
        <is>
          <t>Interval</t>
        </is>
      </c>
      <c r="C3" s="13" t="inlineStr">
        <is>
          <t>28-Jun</t>
        </is>
      </c>
      <c r="D3" s="13" t="inlineStr">
        <is>
          <t>29-Jun</t>
        </is>
      </c>
      <c r="E3" s="13" t="inlineStr">
        <is>
          <t>30-Jun</t>
        </is>
      </c>
      <c r="F3" s="13" t="inlineStr">
        <is>
          <t>1-Jul</t>
        </is>
      </c>
      <c r="G3" s="13" t="inlineStr">
        <is>
          <t>2-Jul</t>
        </is>
      </c>
      <c r="H3" s="13" t="inlineStr">
        <is>
          <t>3-Jul</t>
        </is>
      </c>
      <c r="I3" s="13" t="inlineStr">
        <is>
          <t>4-Jul</t>
        </is>
      </c>
      <c r="K3" s="13" t="inlineStr">
        <is>
          <t>Interval</t>
        </is>
      </c>
      <c r="L3" s="13" t="inlineStr">
        <is>
          <t>28-Jun</t>
        </is>
      </c>
      <c r="M3" s="13" t="inlineStr">
        <is>
          <t>29-Jun</t>
        </is>
      </c>
      <c r="N3" s="13" t="inlineStr">
        <is>
          <t>30-Jun</t>
        </is>
      </c>
      <c r="O3" s="13" t="inlineStr">
        <is>
          <t>1-Jul</t>
        </is>
      </c>
      <c r="P3" s="13" t="inlineStr">
        <is>
          <t>2-Jul</t>
        </is>
      </c>
      <c r="Q3" s="13" t="inlineStr">
        <is>
          <t>3-Jul</t>
        </is>
      </c>
      <c r="R3" s="13" t="inlineStr">
        <is>
          <t>4-Jul</t>
        </is>
      </c>
      <c r="T3" s="13" t="inlineStr">
        <is>
          <t>Interval</t>
        </is>
      </c>
      <c r="U3" s="13" t="inlineStr">
        <is>
          <t>28-Jun</t>
        </is>
      </c>
      <c r="V3" s="13" t="inlineStr">
        <is>
          <t>29-Jun</t>
        </is>
      </c>
      <c r="W3" s="13" t="inlineStr">
        <is>
          <t>30-Jun</t>
        </is>
      </c>
      <c r="X3" s="13" t="inlineStr">
        <is>
          <t>1-Jul</t>
        </is>
      </c>
      <c r="Y3" s="13" t="inlineStr">
        <is>
          <t>2-Jul</t>
        </is>
      </c>
      <c r="Z3" s="13" t="inlineStr">
        <is>
          <t>3-Jul</t>
        </is>
      </c>
      <c r="AA3" s="13" t="inlineStr">
        <is>
          <t>4-Jul</t>
        </is>
      </c>
      <c r="AC3" s="13" t="inlineStr">
        <is>
          <t>Interval</t>
        </is>
      </c>
      <c r="AD3" s="13" t="inlineStr">
        <is>
          <t>28-Jun</t>
        </is>
      </c>
      <c r="AE3" s="13" t="inlineStr">
        <is>
          <t>29-Jun</t>
        </is>
      </c>
      <c r="AF3" s="13" t="inlineStr">
        <is>
          <t>30-Jun</t>
        </is>
      </c>
      <c r="AG3" s="13" t="inlineStr">
        <is>
          <t>1-Jul</t>
        </is>
      </c>
      <c r="AH3" s="13" t="inlineStr">
        <is>
          <t>2-Jul</t>
        </is>
      </c>
      <c r="AI3" s="13" t="inlineStr">
        <is>
          <t>3-Jul</t>
        </is>
      </c>
      <c r="AJ3" s="13" t="inlineStr">
        <is>
          <t>4-Jul</t>
        </is>
      </c>
    </row>
    <row r="4">
      <c r="B4" s="12" t="inlineStr">
        <is>
          <t>00:00</t>
        </is>
      </c>
      <c r="C4" s="12" t="n"/>
      <c r="D4" s="12" t="n"/>
      <c r="E4" s="12" t="n"/>
      <c r="F4" s="12" t="n"/>
      <c r="G4" s="12" t="n"/>
      <c r="H4" s="12" t="n"/>
      <c r="I4" s="12" t="n"/>
      <c r="K4" s="12" t="inlineStr">
        <is>
          <t>00:00</t>
        </is>
      </c>
      <c r="L4" s="12">
        <f>IF(C4="","",SUMIFS('Break Schedule'!$I:$I,'Break Schedule'!$J:$J,"&lt;"&amp;(((0)*24+VALUE(LEFT($B4,2)))+1),'Break Schedule'!$K:$K,"&gt;"&amp;((0)*24+VALUE(LEFT($B4,2)))))</f>
        <v/>
      </c>
      <c r="M4" s="12">
        <f>IF(D4="","",SUMIFS('Break Schedule'!$I:$I,'Break Schedule'!$J:$J,"&lt;"&amp;(((1)*24+VALUE(LEFT($B4,2)))+1),'Break Schedule'!$K:$K,"&gt;"&amp;((1)*24+VALUE(LEFT($B4,2)))))</f>
        <v/>
      </c>
      <c r="N4" s="12">
        <f>IF(E4="","",SUMIFS('Break Schedule'!$I:$I,'Break Schedule'!$J:$J,"&lt;"&amp;(((2)*24+VALUE(LEFT($B4,2)))+1),'Break Schedule'!$K:$K,"&gt;"&amp;((2)*24+VALUE(LEFT($B4,2)))))</f>
        <v/>
      </c>
      <c r="O4" s="12">
        <f>IF(F4="","",SUMIFS('Break Schedule'!$I:$I,'Break Schedule'!$J:$J,"&lt;"&amp;(((3)*24+VALUE(LEFT($B4,2)))+1),'Break Schedule'!$K:$K,"&gt;"&amp;((3)*24+VALUE(LEFT($B4,2)))))</f>
        <v/>
      </c>
      <c r="P4" s="12">
        <f>IF(G4="","",SUMIFS('Break Schedule'!$I:$I,'Break Schedule'!$J:$J,"&lt;"&amp;(((4)*24+VALUE(LEFT($B4,2)))+1),'Break Schedule'!$K:$K,"&gt;"&amp;((4)*24+VALUE(LEFT($B4,2)))))</f>
        <v/>
      </c>
      <c r="Q4" s="12">
        <f>IF(H4="","",SUMIFS('Break Schedule'!$I:$I,'Break Schedule'!$J:$J,"&lt;"&amp;(((5)*24+VALUE(LEFT($B4,2)))+1),'Break Schedule'!$K:$K,"&gt;"&amp;((5)*24+VALUE(LEFT($B4,2)))))</f>
        <v/>
      </c>
      <c r="R4" s="12">
        <f>IF(I4="","",SUMIFS('Break Schedule'!$I:$I,'Break Schedule'!$J:$J,"&lt;"&amp;(((6)*24+VALUE(LEFT($B4,2)))+1),'Break Schedule'!$K:$K,"&gt;"&amp;((6)*24+VALUE(LEFT($B4,2)))))</f>
        <v/>
      </c>
      <c r="T4" s="12" t="inlineStr">
        <is>
          <t>00:00</t>
        </is>
      </c>
      <c r="U4" s="12">
        <f>IF(C4="","",MAX(0,'FT Wise'!AD4-L4*(1-(IF(IFERROR(INDEX(Instructions!$B:$B,MATCH("Shrinkage Source",Instructions!$A:$A,0)),"Shrinkage Sheet")="Shrinkage Sheet",IFERROR(IF(Shrinkage!B4="-",IF(C4&lt;IFERROR(INDEX(Instructions!$B:$B,MATCH("Shrinkage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FTEs",Instructions!$A:$A,0)),12%)),Shrinkage!B4),IF(C4&lt;IFERROR(INDEX(Instructions!$B:$B,MATCH("Shrinkage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4" s="12">
        <f>IF(D4="","",MAX(0,'FT Wise'!AE4-M4*(1-(IF(IFERROR(INDEX(Instructions!$B:$B,MATCH("Shrinkage Source",Instructions!$A:$A,0)),"Shrinkage Sheet")="Shrinkage Sheet",IFERROR(IF(Shrinkage!C4="-",IF(D4&lt;IFERROR(INDEX(Instructions!$B:$B,MATCH("Shrinkage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FTEs",Instructions!$A:$A,0)),12%)),Shrinkage!C4),IF(D4&lt;IFERROR(INDEX(Instructions!$B:$B,MATCH("Shrinkage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4" s="12">
        <f>IF(E4="","",MAX(0,'FT Wise'!AF4-N4*(1-(IF(IFERROR(INDEX(Instructions!$B:$B,MATCH("Shrinkage Source",Instructions!$A:$A,0)),"Shrinkage Sheet")="Shrinkage Sheet",IFERROR(IF(Shrinkage!D4="-",IF(E4&lt;IFERROR(INDEX(Instructions!$B:$B,MATCH("Shrinkage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FTEs",Instructions!$A:$A,0)),12%)),Shrinkage!D4),IF(E4&lt;IFERROR(INDEX(Instructions!$B:$B,MATCH("Shrinkage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4" s="12">
        <f>IF(F4="","",MAX(0,'FT Wise'!AG4-O4*(1-(IF(IFERROR(INDEX(Instructions!$B:$B,MATCH("Shrinkage Source",Instructions!$A:$A,0)),"Shrinkage Sheet")="Shrinkage Sheet",IFERROR(IF(Shrinkage!E4="-",IF(F4&lt;IFERROR(INDEX(Instructions!$B:$B,MATCH("Shrinkage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FTEs",Instructions!$A:$A,0)),12%)),Shrinkage!E4),IF(F4&lt;IFERROR(INDEX(Instructions!$B:$B,MATCH("Shrinkage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4" s="12">
        <f>IF(G4="","",MAX(0,'FT Wise'!AH4-P4*(1-(IF(IFERROR(INDEX(Instructions!$B:$B,MATCH("Shrinkage Source",Instructions!$A:$A,0)),"Shrinkage Sheet")="Shrinkage Sheet",IFERROR(IF(Shrinkage!F4="-",IF(G4&lt;IFERROR(INDEX(Instructions!$B:$B,MATCH("Shrinkage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FTEs",Instructions!$A:$A,0)),12%)),Shrinkage!F4),IF(G4&lt;IFERROR(INDEX(Instructions!$B:$B,MATCH("Shrinkage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4" s="12">
        <f>IF(H4="","",MAX(0,'FT Wise'!AI4-Q4*(1-(IF(IFERROR(INDEX(Instructions!$B:$B,MATCH("Shrinkage Source",Instructions!$A:$A,0)),"Shrinkage Sheet")="Shrinkage Sheet",IFERROR(IF(Shrinkage!G4="-",IF(H4&lt;IFERROR(INDEX(Instructions!$B:$B,MATCH("Shrinkage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FTEs",Instructions!$A:$A,0)),12%)),Shrinkage!G4),IF(H4&lt;IFERROR(INDEX(Instructions!$B:$B,MATCH("Shrinkage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4" s="12">
        <f>IF(I4="","",MAX(0,'FT Wise'!AJ4-R4*(1-(IF(IFERROR(INDEX(Instructions!$B:$B,MATCH("Shrinkage Source",Instructions!$A:$A,0)),"Shrinkage Sheet")="Shrinkage Sheet",IFERROR(IF(Shrinkage!H4="-",IF(I4&lt;IFERROR(INDEX(Instructions!$B:$B,MATCH("Shrinkage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FTEs",Instructions!$A:$A,0)),12%)),Shrinkage!H4),IF(I4&lt;IFERROR(INDEX(Instructions!$B:$B,MATCH("Shrinkage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4" s="12" t="inlineStr">
        <is>
          <t>00:00</t>
        </is>
      </c>
      <c r="AD4" s="53">
        <f>IFERROR(U4/C4,"")</f>
        <v/>
      </c>
      <c r="AE4" s="53">
        <f>IFERROR(V4/D4,"")</f>
        <v/>
      </c>
      <c r="AF4" s="53">
        <f>IFERROR(W4/E4,"")</f>
        <v/>
      </c>
      <c r="AG4" s="53">
        <f>IFERROR(X4/F4,"")</f>
        <v/>
      </c>
      <c r="AH4" s="53">
        <f>IFERROR(Y4/G4,"")</f>
        <v/>
      </c>
      <c r="AI4" s="53">
        <f>IFERROR(Z4/H4,"")</f>
        <v/>
      </c>
      <c r="AJ4" s="53">
        <f>IFERROR(AA4/I4,"")</f>
        <v/>
      </c>
    </row>
    <row r="5" ht="30" customHeight="1" s="45">
      <c r="B5" s="12" t="inlineStr">
        <is>
          <t>01:00</t>
        </is>
      </c>
      <c r="C5" s="12" t="n"/>
      <c r="D5" s="12" t="n"/>
      <c r="E5" s="12" t="n"/>
      <c r="F5" s="12" t="n"/>
      <c r="G5" s="12" t="n"/>
      <c r="H5" s="12" t="n"/>
      <c r="I5" s="12" t="n"/>
      <c r="K5" s="12" t="inlineStr">
        <is>
          <t>01:00</t>
        </is>
      </c>
      <c r="L5" s="12">
        <f>IF(C5="","",SUMIFS('Break Schedule'!$I:$I,'Break Schedule'!$J:$J,"&lt;"&amp;(((0)*24+VALUE(LEFT($B5,2)))+1),'Break Schedule'!$K:$K,"&gt;"&amp;((0)*24+VALUE(LEFT($B5,2)))))</f>
        <v/>
      </c>
      <c r="M5" s="12">
        <f>IF(D5="","",SUMIFS('Break Schedule'!$I:$I,'Break Schedule'!$J:$J,"&lt;"&amp;(((1)*24+VALUE(LEFT($B5,2)))+1),'Break Schedule'!$K:$K,"&gt;"&amp;((1)*24+VALUE(LEFT($B5,2)))))</f>
        <v/>
      </c>
      <c r="N5" s="12">
        <f>IF(E5="","",SUMIFS('Break Schedule'!$I:$I,'Break Schedule'!$J:$J,"&lt;"&amp;(((2)*24+VALUE(LEFT($B5,2)))+1),'Break Schedule'!$K:$K,"&gt;"&amp;((2)*24+VALUE(LEFT($B5,2)))))</f>
        <v/>
      </c>
      <c r="O5" s="12">
        <f>IF(F5="","",SUMIFS('Break Schedule'!$I:$I,'Break Schedule'!$J:$J,"&lt;"&amp;(((3)*24+VALUE(LEFT($B5,2)))+1),'Break Schedule'!$K:$K,"&gt;"&amp;((3)*24+VALUE(LEFT($B5,2)))))</f>
        <v/>
      </c>
      <c r="P5" s="12">
        <f>IF(G5="","",SUMIFS('Break Schedule'!$I:$I,'Break Schedule'!$J:$J,"&lt;"&amp;(((4)*24+VALUE(LEFT($B5,2)))+1),'Break Schedule'!$K:$K,"&gt;"&amp;((4)*24+VALUE(LEFT($B5,2)))))</f>
        <v/>
      </c>
      <c r="Q5" s="12">
        <f>IF(H5="","",SUMIFS('Break Schedule'!$I:$I,'Break Schedule'!$J:$J,"&lt;"&amp;(((5)*24+VALUE(LEFT($B5,2)))+1),'Break Schedule'!$K:$K,"&gt;"&amp;((5)*24+VALUE(LEFT($B5,2)))))</f>
        <v/>
      </c>
      <c r="R5" s="12">
        <f>IF(I5="","",SUMIFS('Break Schedule'!$I:$I,'Break Schedule'!$J:$J,"&lt;"&amp;(((6)*24+VALUE(LEFT($B5,2)))+1),'Break Schedule'!$K:$K,"&gt;"&amp;((6)*24+VALUE(LEFT($B5,2)))))</f>
        <v/>
      </c>
      <c r="T5" s="12" t="inlineStr">
        <is>
          <t>01:00</t>
        </is>
      </c>
      <c r="U5" s="12">
        <f>IF(C5="","",MAX(0,'FT Wise'!AD5-L5*(1-(IF(IFERROR(INDEX(Instructions!$B:$B,MATCH("Shrinkage Source",Instructions!$A:$A,0)),"Shrinkage Sheet")="Shrinkage Sheet",IFERROR(IF(Shrinkage!B5="-",IF(C5&lt;IFERROR(INDEX(Instructions!$B:$B,MATCH("Shrinkage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FTEs",Instructions!$A:$A,0)),12%)),Shrinkage!B5),IF(C5&lt;IFERROR(INDEX(Instructions!$B:$B,MATCH("Shrinkage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5" s="12">
        <f>IF(D5="","",MAX(0,'FT Wise'!AE5-M5*(1-(IF(IFERROR(INDEX(Instructions!$B:$B,MATCH("Shrinkage Source",Instructions!$A:$A,0)),"Shrinkage Sheet")="Shrinkage Sheet",IFERROR(IF(Shrinkage!C5="-",IF(D5&lt;IFERROR(INDEX(Instructions!$B:$B,MATCH("Shrinkage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FTEs",Instructions!$A:$A,0)),12%)),Shrinkage!C5),IF(D5&lt;IFERROR(INDEX(Instructions!$B:$B,MATCH("Shrinkage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5" s="12">
        <f>IF(E5="","",MAX(0,'FT Wise'!AF5-N5*(1-(IF(IFERROR(INDEX(Instructions!$B:$B,MATCH("Shrinkage Source",Instructions!$A:$A,0)),"Shrinkage Sheet")="Shrinkage Sheet",IFERROR(IF(Shrinkage!D5="-",IF(E5&lt;IFERROR(INDEX(Instructions!$B:$B,MATCH("Shrinkage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FTEs",Instructions!$A:$A,0)),12%)),Shrinkage!D5),IF(E5&lt;IFERROR(INDEX(Instructions!$B:$B,MATCH("Shrinkage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5" s="12">
        <f>IF(F5="","",MAX(0,'FT Wise'!AG5-O5*(1-(IF(IFERROR(INDEX(Instructions!$B:$B,MATCH("Shrinkage Source",Instructions!$A:$A,0)),"Shrinkage Sheet")="Shrinkage Sheet",IFERROR(IF(Shrinkage!E5="-",IF(F5&lt;IFERROR(INDEX(Instructions!$B:$B,MATCH("Shrinkage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FTEs",Instructions!$A:$A,0)),12%)),Shrinkage!E5),IF(F5&lt;IFERROR(INDEX(Instructions!$B:$B,MATCH("Shrinkage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5" s="12">
        <f>IF(G5="","",MAX(0,'FT Wise'!AH5-P5*(1-(IF(IFERROR(INDEX(Instructions!$B:$B,MATCH("Shrinkage Source",Instructions!$A:$A,0)),"Shrinkage Sheet")="Shrinkage Sheet",IFERROR(IF(Shrinkage!F5="-",IF(G5&lt;IFERROR(INDEX(Instructions!$B:$B,MATCH("Shrinkage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FTEs",Instructions!$A:$A,0)),12%)),Shrinkage!F5),IF(G5&lt;IFERROR(INDEX(Instructions!$B:$B,MATCH("Shrinkage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5" s="12">
        <f>IF(H5="","",MAX(0,'FT Wise'!AI5-Q5*(1-(IF(IFERROR(INDEX(Instructions!$B:$B,MATCH("Shrinkage Source",Instructions!$A:$A,0)),"Shrinkage Sheet")="Shrinkage Sheet",IFERROR(IF(Shrinkage!G5="-",IF(H5&lt;IFERROR(INDEX(Instructions!$B:$B,MATCH("Shrinkage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FTEs",Instructions!$A:$A,0)),12%)),Shrinkage!G5),IF(H5&lt;IFERROR(INDEX(Instructions!$B:$B,MATCH("Shrinkage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5" s="12">
        <f>IF(I5="","",MAX(0,'FT Wise'!AJ5-R5*(1-(IF(IFERROR(INDEX(Instructions!$B:$B,MATCH("Shrinkage Source",Instructions!$A:$A,0)),"Shrinkage Sheet")="Shrinkage Sheet",IFERROR(IF(Shrinkage!H5="-",IF(I5&lt;IFERROR(INDEX(Instructions!$B:$B,MATCH("Shrinkage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FTEs",Instructions!$A:$A,0)),12%)),Shrinkage!H5),IF(I5&lt;IFERROR(INDEX(Instructions!$B:$B,MATCH("Shrinkage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5" s="12" t="inlineStr">
        <is>
          <t>01:00</t>
        </is>
      </c>
      <c r="AD5" s="53">
        <f>IFERROR(U5/C5,"")</f>
        <v/>
      </c>
      <c r="AE5" s="53">
        <f>IFERROR(V5/D5,"")</f>
        <v/>
      </c>
      <c r="AF5" s="53">
        <f>IFERROR(W5/E5,"")</f>
        <v/>
      </c>
      <c r="AG5" s="53">
        <f>IFERROR(X5/F5,"")</f>
        <v/>
      </c>
      <c r="AH5" s="53">
        <f>IFERROR(Y5/G5,"")</f>
        <v/>
      </c>
      <c r="AI5" s="53">
        <f>IFERROR(Z5/H5,"")</f>
        <v/>
      </c>
      <c r="AJ5" s="53">
        <f>IFERROR(AA5/I5,"")</f>
        <v/>
      </c>
    </row>
    <row r="6" ht="30" customHeight="1" s="45">
      <c r="B6" s="12" t="inlineStr">
        <is>
          <t>02:00</t>
        </is>
      </c>
      <c r="C6" s="12" t="n"/>
      <c r="D6" s="12" t="n"/>
      <c r="E6" s="12" t="n"/>
      <c r="F6" s="12" t="n"/>
      <c r="G6" s="12" t="n"/>
      <c r="H6" s="12" t="n"/>
      <c r="I6" s="12" t="n"/>
      <c r="K6" s="12" t="inlineStr">
        <is>
          <t>02:00</t>
        </is>
      </c>
      <c r="L6" s="12">
        <f>IF(C6="","",SUMIFS('Break Schedule'!$I:$I,'Break Schedule'!$J:$J,"&lt;"&amp;(((0)*24+VALUE(LEFT($B6,2)))+1),'Break Schedule'!$K:$K,"&gt;"&amp;((0)*24+VALUE(LEFT($B6,2)))))</f>
        <v/>
      </c>
      <c r="M6" s="12">
        <f>IF(D6="","",SUMIFS('Break Schedule'!$I:$I,'Break Schedule'!$J:$J,"&lt;"&amp;(((1)*24+VALUE(LEFT($B6,2)))+1),'Break Schedule'!$K:$K,"&gt;"&amp;((1)*24+VALUE(LEFT($B6,2)))))</f>
        <v/>
      </c>
      <c r="N6" s="12">
        <f>IF(E6="","",SUMIFS('Break Schedule'!$I:$I,'Break Schedule'!$J:$J,"&lt;"&amp;(((2)*24+VALUE(LEFT($B6,2)))+1),'Break Schedule'!$K:$K,"&gt;"&amp;((2)*24+VALUE(LEFT($B6,2)))))</f>
        <v/>
      </c>
      <c r="O6" s="12">
        <f>IF(F6="","",SUMIFS('Break Schedule'!$I:$I,'Break Schedule'!$J:$J,"&lt;"&amp;(((3)*24+VALUE(LEFT($B6,2)))+1),'Break Schedule'!$K:$K,"&gt;"&amp;((3)*24+VALUE(LEFT($B6,2)))))</f>
        <v/>
      </c>
      <c r="P6" s="12">
        <f>IF(G6="","",SUMIFS('Break Schedule'!$I:$I,'Break Schedule'!$J:$J,"&lt;"&amp;(((4)*24+VALUE(LEFT($B6,2)))+1),'Break Schedule'!$K:$K,"&gt;"&amp;((4)*24+VALUE(LEFT($B6,2)))))</f>
        <v/>
      </c>
      <c r="Q6" s="12">
        <f>IF(H6="","",SUMIFS('Break Schedule'!$I:$I,'Break Schedule'!$J:$J,"&lt;"&amp;(((5)*24+VALUE(LEFT($B6,2)))+1),'Break Schedule'!$K:$K,"&gt;"&amp;((5)*24+VALUE(LEFT($B6,2)))))</f>
        <v/>
      </c>
      <c r="R6" s="12">
        <f>IF(I6="","",SUMIFS('Break Schedule'!$I:$I,'Break Schedule'!$J:$J,"&lt;"&amp;(((6)*24+VALUE(LEFT($B6,2)))+1),'Break Schedule'!$K:$K,"&gt;"&amp;((6)*24+VALUE(LEFT($B6,2)))))</f>
        <v/>
      </c>
      <c r="T6" s="12" t="inlineStr">
        <is>
          <t>02:00</t>
        </is>
      </c>
      <c r="U6" s="12">
        <f>IF(C6="","",MAX(0,'FT Wise'!AD6-L6*(1-(IF(IFERROR(INDEX(Instructions!$B:$B,MATCH("Shrinkage Source",Instructions!$A:$A,0)),"Shrinkage Sheet")="Shrinkage Sheet",IFERROR(IF(Shrinkage!B6="-",IF(C6&lt;IFERROR(INDEX(Instructions!$B:$B,MATCH("Shrinkage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FTEs",Instructions!$A:$A,0)),12%)),Shrinkage!B6),IF(C6&lt;IFERROR(INDEX(Instructions!$B:$B,MATCH("Shrinkage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6" s="12">
        <f>IF(D6="","",MAX(0,'FT Wise'!AE6-M6*(1-(IF(IFERROR(INDEX(Instructions!$B:$B,MATCH("Shrinkage Source",Instructions!$A:$A,0)),"Shrinkage Sheet")="Shrinkage Sheet",IFERROR(IF(Shrinkage!C6="-",IF(D6&lt;IFERROR(INDEX(Instructions!$B:$B,MATCH("Shrinkage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FTEs",Instructions!$A:$A,0)),12%)),Shrinkage!C6),IF(D6&lt;IFERROR(INDEX(Instructions!$B:$B,MATCH("Shrinkage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6" s="12">
        <f>IF(E6="","",MAX(0,'FT Wise'!AF6-N6*(1-(IF(IFERROR(INDEX(Instructions!$B:$B,MATCH("Shrinkage Source",Instructions!$A:$A,0)),"Shrinkage Sheet")="Shrinkage Sheet",IFERROR(IF(Shrinkage!D6="-",IF(E6&lt;IFERROR(INDEX(Instructions!$B:$B,MATCH("Shrinkage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FTEs",Instructions!$A:$A,0)),12%)),Shrinkage!D6),IF(E6&lt;IFERROR(INDEX(Instructions!$B:$B,MATCH("Shrinkage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6" s="12">
        <f>IF(F6="","",MAX(0,'FT Wise'!AG6-O6*(1-(IF(IFERROR(INDEX(Instructions!$B:$B,MATCH("Shrinkage Source",Instructions!$A:$A,0)),"Shrinkage Sheet")="Shrinkage Sheet",IFERROR(IF(Shrinkage!E6="-",IF(F6&lt;IFERROR(INDEX(Instructions!$B:$B,MATCH("Shrinkage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FTEs",Instructions!$A:$A,0)),12%)),Shrinkage!E6),IF(F6&lt;IFERROR(INDEX(Instructions!$B:$B,MATCH("Shrinkage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6" s="12">
        <f>IF(G6="","",MAX(0,'FT Wise'!AH6-P6*(1-(IF(IFERROR(INDEX(Instructions!$B:$B,MATCH("Shrinkage Source",Instructions!$A:$A,0)),"Shrinkage Sheet")="Shrinkage Sheet",IFERROR(IF(Shrinkage!F6="-",IF(G6&lt;IFERROR(INDEX(Instructions!$B:$B,MATCH("Shrinkage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FTEs",Instructions!$A:$A,0)),12%)),Shrinkage!F6),IF(G6&lt;IFERROR(INDEX(Instructions!$B:$B,MATCH("Shrinkage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6" s="12">
        <f>IF(H6="","",MAX(0,'FT Wise'!AI6-Q6*(1-(IF(IFERROR(INDEX(Instructions!$B:$B,MATCH("Shrinkage Source",Instructions!$A:$A,0)),"Shrinkage Sheet")="Shrinkage Sheet",IFERROR(IF(Shrinkage!G6="-",IF(H6&lt;IFERROR(INDEX(Instructions!$B:$B,MATCH("Shrinkage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FTEs",Instructions!$A:$A,0)),12%)),Shrinkage!G6),IF(H6&lt;IFERROR(INDEX(Instructions!$B:$B,MATCH("Shrinkage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6" s="12">
        <f>IF(I6="","",MAX(0,'FT Wise'!AJ6-R6*(1-(IF(IFERROR(INDEX(Instructions!$B:$B,MATCH("Shrinkage Source",Instructions!$A:$A,0)),"Shrinkage Sheet")="Shrinkage Sheet",IFERROR(IF(Shrinkage!H6="-",IF(I6&lt;IFERROR(INDEX(Instructions!$B:$B,MATCH("Shrinkage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FTEs",Instructions!$A:$A,0)),12%)),Shrinkage!H6),IF(I6&lt;IFERROR(INDEX(Instructions!$B:$B,MATCH("Shrinkage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6" s="12" t="inlineStr">
        <is>
          <t>02:00</t>
        </is>
      </c>
      <c r="AD6" s="53">
        <f>IFERROR(U6/C6,"")</f>
        <v/>
      </c>
      <c r="AE6" s="53">
        <f>IFERROR(V6/D6,"")</f>
        <v/>
      </c>
      <c r="AF6" s="53">
        <f>IFERROR(W6/E6,"")</f>
        <v/>
      </c>
      <c r="AG6" s="53">
        <f>IFERROR(X6/F6,"")</f>
        <v/>
      </c>
      <c r="AH6" s="53">
        <f>IFERROR(Y6/G6,"")</f>
        <v/>
      </c>
      <c r="AI6" s="53">
        <f>IFERROR(Z6/H6,"")</f>
        <v/>
      </c>
      <c r="AJ6" s="53">
        <f>IFERROR(AA6/I6,"")</f>
        <v/>
      </c>
    </row>
    <row r="7" ht="30" customHeight="1" s="45">
      <c r="B7" s="12" t="inlineStr">
        <is>
          <t>03:00</t>
        </is>
      </c>
      <c r="C7" s="12" t="n"/>
      <c r="D7" s="12" t="n"/>
      <c r="E7" s="12" t="n"/>
      <c r="F7" s="12" t="n"/>
      <c r="G7" s="12" t="n"/>
      <c r="H7" s="12" t="n"/>
      <c r="I7" s="12" t="n"/>
      <c r="K7" s="12" t="inlineStr">
        <is>
          <t>03:00</t>
        </is>
      </c>
      <c r="L7" s="12">
        <f>IF(C7="","",SUMIFS('Break Schedule'!$I:$I,'Break Schedule'!$J:$J,"&lt;"&amp;(((0)*24+VALUE(LEFT($B7,2)))+1),'Break Schedule'!$K:$K,"&gt;"&amp;((0)*24+VALUE(LEFT($B7,2)))))</f>
        <v/>
      </c>
      <c r="M7" s="12">
        <f>IF(D7="","",SUMIFS('Break Schedule'!$I:$I,'Break Schedule'!$J:$J,"&lt;"&amp;(((1)*24+VALUE(LEFT($B7,2)))+1),'Break Schedule'!$K:$K,"&gt;"&amp;((1)*24+VALUE(LEFT($B7,2)))))</f>
        <v/>
      </c>
      <c r="N7" s="12">
        <f>IF(E7="","",SUMIFS('Break Schedule'!$I:$I,'Break Schedule'!$J:$J,"&lt;"&amp;(((2)*24+VALUE(LEFT($B7,2)))+1),'Break Schedule'!$K:$K,"&gt;"&amp;((2)*24+VALUE(LEFT($B7,2)))))</f>
        <v/>
      </c>
      <c r="O7" s="12">
        <f>IF(F7="","",SUMIFS('Break Schedule'!$I:$I,'Break Schedule'!$J:$J,"&lt;"&amp;(((3)*24+VALUE(LEFT($B7,2)))+1),'Break Schedule'!$K:$K,"&gt;"&amp;((3)*24+VALUE(LEFT($B7,2)))))</f>
        <v/>
      </c>
      <c r="P7" s="12">
        <f>IF(G7="","",SUMIFS('Break Schedule'!$I:$I,'Break Schedule'!$J:$J,"&lt;"&amp;(((4)*24+VALUE(LEFT($B7,2)))+1),'Break Schedule'!$K:$K,"&gt;"&amp;((4)*24+VALUE(LEFT($B7,2)))))</f>
        <v/>
      </c>
      <c r="Q7" s="12">
        <f>IF(H7="","",SUMIFS('Break Schedule'!$I:$I,'Break Schedule'!$J:$J,"&lt;"&amp;(((5)*24+VALUE(LEFT($B7,2)))+1),'Break Schedule'!$K:$K,"&gt;"&amp;((5)*24+VALUE(LEFT($B7,2)))))</f>
        <v/>
      </c>
      <c r="R7" s="12">
        <f>IF(I7="","",SUMIFS('Break Schedule'!$I:$I,'Break Schedule'!$J:$J,"&lt;"&amp;(((6)*24+VALUE(LEFT($B7,2)))+1),'Break Schedule'!$K:$K,"&gt;"&amp;((6)*24+VALUE(LEFT($B7,2)))))</f>
        <v/>
      </c>
      <c r="T7" s="12" t="inlineStr">
        <is>
          <t>03:00</t>
        </is>
      </c>
      <c r="U7" s="12">
        <f>IF(C7="","",MAX(0,'FT Wise'!AD7-L7*(1-(IF(IFERROR(INDEX(Instructions!$B:$B,MATCH("Shrinkage Source",Instructions!$A:$A,0)),"Shrinkage Sheet")="Shrinkage Sheet",IFERROR(IF(Shrinkage!B7="-",IF(C7&lt;IFERROR(INDEX(Instructions!$B:$B,MATCH("Shrinkage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FTEs",Instructions!$A:$A,0)),12%)),Shrinkage!B7),IF(C7&lt;IFERROR(INDEX(Instructions!$B:$B,MATCH("Shrinkage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7" s="12">
        <f>IF(D7="","",MAX(0,'FT Wise'!AE7-M7*(1-(IF(IFERROR(INDEX(Instructions!$B:$B,MATCH("Shrinkage Source",Instructions!$A:$A,0)),"Shrinkage Sheet")="Shrinkage Sheet",IFERROR(IF(Shrinkage!C7="-",IF(D7&lt;IFERROR(INDEX(Instructions!$B:$B,MATCH("Shrinkage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FTEs",Instructions!$A:$A,0)),12%)),Shrinkage!C7),IF(D7&lt;IFERROR(INDEX(Instructions!$B:$B,MATCH("Shrinkage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7" s="12">
        <f>IF(E7="","",MAX(0,'FT Wise'!AF7-N7*(1-(IF(IFERROR(INDEX(Instructions!$B:$B,MATCH("Shrinkage Source",Instructions!$A:$A,0)),"Shrinkage Sheet")="Shrinkage Sheet",IFERROR(IF(Shrinkage!D7="-",IF(E7&lt;IFERROR(INDEX(Instructions!$B:$B,MATCH("Shrinkage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FTEs",Instructions!$A:$A,0)),12%)),Shrinkage!D7),IF(E7&lt;IFERROR(INDEX(Instructions!$B:$B,MATCH("Shrinkage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7" s="12">
        <f>IF(F7="","",MAX(0,'FT Wise'!AG7-O7*(1-(IF(IFERROR(INDEX(Instructions!$B:$B,MATCH("Shrinkage Source",Instructions!$A:$A,0)),"Shrinkage Sheet")="Shrinkage Sheet",IFERROR(IF(Shrinkage!E7="-",IF(F7&lt;IFERROR(INDEX(Instructions!$B:$B,MATCH("Shrinkage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FTEs",Instructions!$A:$A,0)),12%)),Shrinkage!E7),IF(F7&lt;IFERROR(INDEX(Instructions!$B:$B,MATCH("Shrinkage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7" s="12">
        <f>IF(G7="","",MAX(0,'FT Wise'!AH7-P7*(1-(IF(IFERROR(INDEX(Instructions!$B:$B,MATCH("Shrinkage Source",Instructions!$A:$A,0)),"Shrinkage Sheet")="Shrinkage Sheet",IFERROR(IF(Shrinkage!F7="-",IF(G7&lt;IFERROR(INDEX(Instructions!$B:$B,MATCH("Shrinkage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FTEs",Instructions!$A:$A,0)),12%)),Shrinkage!F7),IF(G7&lt;IFERROR(INDEX(Instructions!$B:$B,MATCH("Shrinkage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7" s="12">
        <f>IF(H7="","",MAX(0,'FT Wise'!AI7-Q7*(1-(IF(IFERROR(INDEX(Instructions!$B:$B,MATCH("Shrinkage Source",Instructions!$A:$A,0)),"Shrinkage Sheet")="Shrinkage Sheet",IFERROR(IF(Shrinkage!G7="-",IF(H7&lt;IFERROR(INDEX(Instructions!$B:$B,MATCH("Shrinkage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FTEs",Instructions!$A:$A,0)),12%)),Shrinkage!G7),IF(H7&lt;IFERROR(INDEX(Instructions!$B:$B,MATCH("Shrinkage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7" s="12">
        <f>IF(I7="","",MAX(0,'FT Wise'!AJ7-R7*(1-(IF(IFERROR(INDEX(Instructions!$B:$B,MATCH("Shrinkage Source",Instructions!$A:$A,0)),"Shrinkage Sheet")="Shrinkage Sheet",IFERROR(IF(Shrinkage!H7="-",IF(I7&lt;IFERROR(INDEX(Instructions!$B:$B,MATCH("Shrinkage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FTEs",Instructions!$A:$A,0)),12%)),Shrinkage!H7),IF(I7&lt;IFERROR(INDEX(Instructions!$B:$B,MATCH("Shrinkage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7" s="12" t="inlineStr">
        <is>
          <t>03:00</t>
        </is>
      </c>
      <c r="AD7" s="53">
        <f>IFERROR(U7/C7,"")</f>
        <v/>
      </c>
      <c r="AE7" s="53">
        <f>IFERROR(V7/D7,"")</f>
        <v/>
      </c>
      <c r="AF7" s="53">
        <f>IFERROR(W7/E7,"")</f>
        <v/>
      </c>
      <c r="AG7" s="53">
        <f>IFERROR(X7/F7,"")</f>
        <v/>
      </c>
      <c r="AH7" s="53">
        <f>IFERROR(Y7/G7,"")</f>
        <v/>
      </c>
      <c r="AI7" s="53">
        <f>IFERROR(Z7/H7,"")</f>
        <v/>
      </c>
      <c r="AJ7" s="53">
        <f>IFERROR(AA7/I7,"")</f>
        <v/>
      </c>
    </row>
    <row r="8">
      <c r="B8" s="12" t="inlineStr">
        <is>
          <t>04:00</t>
        </is>
      </c>
      <c r="C8" s="12" t="n"/>
      <c r="D8" s="12" t="n"/>
      <c r="E8" s="12" t="n"/>
      <c r="F8" s="12" t="n"/>
      <c r="G8" s="12" t="n"/>
      <c r="H8" s="12" t="n"/>
      <c r="I8" s="12" t="n"/>
      <c r="K8" s="12" t="inlineStr">
        <is>
          <t>04:00</t>
        </is>
      </c>
      <c r="L8" s="12">
        <f>IF(C8="","",SUMIFS('Break Schedule'!$I:$I,'Break Schedule'!$J:$J,"&lt;"&amp;(((0)*24+VALUE(LEFT($B8,2)))+1),'Break Schedule'!$K:$K,"&gt;"&amp;((0)*24+VALUE(LEFT($B8,2)))))</f>
        <v/>
      </c>
      <c r="M8" s="12">
        <f>IF(D8="","",SUMIFS('Break Schedule'!$I:$I,'Break Schedule'!$J:$J,"&lt;"&amp;(((1)*24+VALUE(LEFT($B8,2)))+1),'Break Schedule'!$K:$K,"&gt;"&amp;((1)*24+VALUE(LEFT($B8,2)))))</f>
        <v/>
      </c>
      <c r="N8" s="12">
        <f>IF(E8="","",SUMIFS('Break Schedule'!$I:$I,'Break Schedule'!$J:$J,"&lt;"&amp;(((2)*24+VALUE(LEFT($B8,2)))+1),'Break Schedule'!$K:$K,"&gt;"&amp;((2)*24+VALUE(LEFT($B8,2)))))</f>
        <v/>
      </c>
      <c r="O8" s="12">
        <f>IF(F8="","",SUMIFS('Break Schedule'!$I:$I,'Break Schedule'!$J:$J,"&lt;"&amp;(((3)*24+VALUE(LEFT($B8,2)))+1),'Break Schedule'!$K:$K,"&gt;"&amp;((3)*24+VALUE(LEFT($B8,2)))))</f>
        <v/>
      </c>
      <c r="P8" s="12">
        <f>IF(G8="","",SUMIFS('Break Schedule'!$I:$I,'Break Schedule'!$J:$J,"&lt;"&amp;(((4)*24+VALUE(LEFT($B8,2)))+1),'Break Schedule'!$K:$K,"&gt;"&amp;((4)*24+VALUE(LEFT($B8,2)))))</f>
        <v/>
      </c>
      <c r="Q8" s="12">
        <f>IF(H8="","",SUMIFS('Break Schedule'!$I:$I,'Break Schedule'!$J:$J,"&lt;"&amp;(((5)*24+VALUE(LEFT($B8,2)))+1),'Break Schedule'!$K:$K,"&gt;"&amp;((5)*24+VALUE(LEFT($B8,2)))))</f>
        <v/>
      </c>
      <c r="R8" s="12">
        <f>IF(I8="","",SUMIFS('Break Schedule'!$I:$I,'Break Schedule'!$J:$J,"&lt;"&amp;(((6)*24+VALUE(LEFT($B8,2)))+1),'Break Schedule'!$K:$K,"&gt;"&amp;((6)*24+VALUE(LEFT($B8,2)))))</f>
        <v/>
      </c>
      <c r="T8" s="12" t="inlineStr">
        <is>
          <t>04:00</t>
        </is>
      </c>
      <c r="U8" s="12">
        <f>IF(C8="","",MAX(0,'FT Wise'!AD8-L8*(1-(IF(IFERROR(INDEX(Instructions!$B:$B,MATCH("Shrinkage Source",Instructions!$A:$A,0)),"Shrinkage Sheet")="Shrinkage Sheet",IFERROR(IF(Shrinkage!B8="-",IF(C8&lt;IFERROR(INDEX(Instructions!$B:$B,MATCH("Shrinkage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FTEs",Instructions!$A:$A,0)),12%)),Shrinkage!B8),IF(C8&lt;IFERROR(INDEX(Instructions!$B:$B,MATCH("Shrinkage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8" s="12">
        <f>IF(D8="","",MAX(0,'FT Wise'!AE8-M8*(1-(IF(IFERROR(INDEX(Instructions!$B:$B,MATCH("Shrinkage Source",Instructions!$A:$A,0)),"Shrinkage Sheet")="Shrinkage Sheet",IFERROR(IF(Shrinkage!C8="-",IF(D8&lt;IFERROR(INDEX(Instructions!$B:$B,MATCH("Shrinkage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FTEs",Instructions!$A:$A,0)),12%)),Shrinkage!C8),IF(D8&lt;IFERROR(INDEX(Instructions!$B:$B,MATCH("Shrinkage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8" s="12">
        <f>IF(E8="","",MAX(0,'FT Wise'!AF8-N8*(1-(IF(IFERROR(INDEX(Instructions!$B:$B,MATCH("Shrinkage Source",Instructions!$A:$A,0)),"Shrinkage Sheet")="Shrinkage Sheet",IFERROR(IF(Shrinkage!D8="-",IF(E8&lt;IFERROR(INDEX(Instructions!$B:$B,MATCH("Shrinkage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FTEs",Instructions!$A:$A,0)),12%)),Shrinkage!D8),IF(E8&lt;IFERROR(INDEX(Instructions!$B:$B,MATCH("Shrinkage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8" s="12">
        <f>IF(F8="","",MAX(0,'FT Wise'!AG8-O8*(1-(IF(IFERROR(INDEX(Instructions!$B:$B,MATCH("Shrinkage Source",Instructions!$A:$A,0)),"Shrinkage Sheet")="Shrinkage Sheet",IFERROR(IF(Shrinkage!E8="-",IF(F8&lt;IFERROR(INDEX(Instructions!$B:$B,MATCH("Shrinkage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FTEs",Instructions!$A:$A,0)),12%)),Shrinkage!E8),IF(F8&lt;IFERROR(INDEX(Instructions!$B:$B,MATCH("Shrinkage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8" s="12">
        <f>IF(G8="","",MAX(0,'FT Wise'!AH8-P8*(1-(IF(IFERROR(INDEX(Instructions!$B:$B,MATCH("Shrinkage Source",Instructions!$A:$A,0)),"Shrinkage Sheet")="Shrinkage Sheet",IFERROR(IF(Shrinkage!F8="-",IF(G8&lt;IFERROR(INDEX(Instructions!$B:$B,MATCH("Shrinkage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FTEs",Instructions!$A:$A,0)),12%)),Shrinkage!F8),IF(G8&lt;IFERROR(INDEX(Instructions!$B:$B,MATCH("Shrinkage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8" s="12">
        <f>IF(H8="","",MAX(0,'FT Wise'!AI8-Q8*(1-(IF(IFERROR(INDEX(Instructions!$B:$B,MATCH("Shrinkage Source",Instructions!$A:$A,0)),"Shrinkage Sheet")="Shrinkage Sheet",IFERROR(IF(Shrinkage!G8="-",IF(H8&lt;IFERROR(INDEX(Instructions!$B:$B,MATCH("Shrinkage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FTEs",Instructions!$A:$A,0)),12%)),Shrinkage!G8),IF(H8&lt;IFERROR(INDEX(Instructions!$B:$B,MATCH("Shrinkage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8" s="12">
        <f>IF(I8="","",MAX(0,'FT Wise'!AJ8-R8*(1-(IF(IFERROR(INDEX(Instructions!$B:$B,MATCH("Shrinkage Source",Instructions!$A:$A,0)),"Shrinkage Sheet")="Shrinkage Sheet",IFERROR(IF(Shrinkage!H8="-",IF(I8&lt;IFERROR(INDEX(Instructions!$B:$B,MATCH("Shrinkage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FTEs",Instructions!$A:$A,0)),12%)),Shrinkage!H8),IF(I8&lt;IFERROR(INDEX(Instructions!$B:$B,MATCH("Shrinkage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8" s="12" t="inlineStr">
        <is>
          <t>04:00</t>
        </is>
      </c>
      <c r="AD8" s="53">
        <f>IFERROR(U8/C8,"")</f>
        <v/>
      </c>
      <c r="AE8" s="53">
        <f>IFERROR(V8/D8,"")</f>
        <v/>
      </c>
      <c r="AF8" s="53">
        <f>IFERROR(W8/E8,"")</f>
        <v/>
      </c>
      <c r="AG8" s="53">
        <f>IFERROR(X8/F8,"")</f>
        <v/>
      </c>
      <c r="AH8" s="53">
        <f>IFERROR(Y8/G8,"")</f>
        <v/>
      </c>
      <c r="AI8" s="53">
        <f>IFERROR(Z8/H8,"")</f>
        <v/>
      </c>
      <c r="AJ8" s="53">
        <f>IFERROR(AA8/I8,"")</f>
        <v/>
      </c>
    </row>
    <row r="9">
      <c r="B9" s="12" t="inlineStr">
        <is>
          <t>05:00</t>
        </is>
      </c>
      <c r="C9" s="12" t="n"/>
      <c r="D9" s="12" t="n"/>
      <c r="E9" s="12" t="n"/>
      <c r="F9" s="12" t="n"/>
      <c r="G9" s="12" t="n"/>
      <c r="H9" s="12" t="n"/>
      <c r="I9" s="12" t="n"/>
      <c r="K9" s="12" t="inlineStr">
        <is>
          <t>05:00</t>
        </is>
      </c>
      <c r="L9" s="12">
        <f>IF(C9="","",SUMIFS('Break Schedule'!$I:$I,'Break Schedule'!$J:$J,"&lt;"&amp;(((0)*24+VALUE(LEFT($B9,2)))+1),'Break Schedule'!$K:$K,"&gt;"&amp;((0)*24+VALUE(LEFT($B9,2)))))</f>
        <v/>
      </c>
      <c r="M9" s="12">
        <f>IF(D9="","",SUMIFS('Break Schedule'!$I:$I,'Break Schedule'!$J:$J,"&lt;"&amp;(((1)*24+VALUE(LEFT($B9,2)))+1),'Break Schedule'!$K:$K,"&gt;"&amp;((1)*24+VALUE(LEFT($B9,2)))))</f>
        <v/>
      </c>
      <c r="N9" s="12">
        <f>IF(E9="","",SUMIFS('Break Schedule'!$I:$I,'Break Schedule'!$J:$J,"&lt;"&amp;(((2)*24+VALUE(LEFT($B9,2)))+1),'Break Schedule'!$K:$K,"&gt;"&amp;((2)*24+VALUE(LEFT($B9,2)))))</f>
        <v/>
      </c>
      <c r="O9" s="12">
        <f>IF(F9="","",SUMIFS('Break Schedule'!$I:$I,'Break Schedule'!$J:$J,"&lt;"&amp;(((3)*24+VALUE(LEFT($B9,2)))+1),'Break Schedule'!$K:$K,"&gt;"&amp;((3)*24+VALUE(LEFT($B9,2)))))</f>
        <v/>
      </c>
      <c r="P9" s="12">
        <f>IF(G9="","",SUMIFS('Break Schedule'!$I:$I,'Break Schedule'!$J:$J,"&lt;"&amp;(((4)*24+VALUE(LEFT($B9,2)))+1),'Break Schedule'!$K:$K,"&gt;"&amp;((4)*24+VALUE(LEFT($B9,2)))))</f>
        <v/>
      </c>
      <c r="Q9" s="12">
        <f>IF(H9="","",SUMIFS('Break Schedule'!$I:$I,'Break Schedule'!$J:$J,"&lt;"&amp;(((5)*24+VALUE(LEFT($B9,2)))+1),'Break Schedule'!$K:$K,"&gt;"&amp;((5)*24+VALUE(LEFT($B9,2)))))</f>
        <v/>
      </c>
      <c r="R9" s="12">
        <f>IF(I9="","",SUMIFS('Break Schedule'!$I:$I,'Break Schedule'!$J:$J,"&lt;"&amp;(((6)*24+VALUE(LEFT($B9,2)))+1),'Break Schedule'!$K:$K,"&gt;"&amp;((6)*24+VALUE(LEFT($B9,2)))))</f>
        <v/>
      </c>
      <c r="T9" s="12" t="inlineStr">
        <is>
          <t>05:00</t>
        </is>
      </c>
      <c r="U9" s="12">
        <f>IF(C9="","",MAX(0,'FT Wise'!AD9-L9*(1-(IF(IFERROR(INDEX(Instructions!$B:$B,MATCH("Shrinkage Source",Instructions!$A:$A,0)),"Shrinkage Sheet")="Shrinkage Sheet",IFERROR(IF(Shrinkage!B9="-",IF(C9&lt;IFERROR(INDEX(Instructions!$B:$B,MATCH("Shrinkage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FTEs",Instructions!$A:$A,0)),12%)),Shrinkage!B9),IF(C9&lt;IFERROR(INDEX(Instructions!$B:$B,MATCH("Shrinkage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9" s="12">
        <f>IF(D9="","",MAX(0,'FT Wise'!AE9-M9*(1-(IF(IFERROR(INDEX(Instructions!$B:$B,MATCH("Shrinkage Source",Instructions!$A:$A,0)),"Shrinkage Sheet")="Shrinkage Sheet",IFERROR(IF(Shrinkage!C9="-",IF(D9&lt;IFERROR(INDEX(Instructions!$B:$B,MATCH("Shrinkage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FTEs",Instructions!$A:$A,0)),12%)),Shrinkage!C9),IF(D9&lt;IFERROR(INDEX(Instructions!$B:$B,MATCH("Shrinkage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9" s="12">
        <f>IF(E9="","",MAX(0,'FT Wise'!AF9-N9*(1-(IF(IFERROR(INDEX(Instructions!$B:$B,MATCH("Shrinkage Source",Instructions!$A:$A,0)),"Shrinkage Sheet")="Shrinkage Sheet",IFERROR(IF(Shrinkage!D9="-",IF(E9&lt;IFERROR(INDEX(Instructions!$B:$B,MATCH("Shrinkage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FTEs",Instructions!$A:$A,0)),12%)),Shrinkage!D9),IF(E9&lt;IFERROR(INDEX(Instructions!$B:$B,MATCH("Shrinkage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9" s="12">
        <f>IF(F9="","",MAX(0,'FT Wise'!AG9-O9*(1-(IF(IFERROR(INDEX(Instructions!$B:$B,MATCH("Shrinkage Source",Instructions!$A:$A,0)),"Shrinkage Sheet")="Shrinkage Sheet",IFERROR(IF(Shrinkage!E9="-",IF(F9&lt;IFERROR(INDEX(Instructions!$B:$B,MATCH("Shrinkage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FTEs",Instructions!$A:$A,0)),12%)),Shrinkage!E9),IF(F9&lt;IFERROR(INDEX(Instructions!$B:$B,MATCH("Shrinkage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9" s="12">
        <f>IF(G9="","",MAX(0,'FT Wise'!AH9-P9*(1-(IF(IFERROR(INDEX(Instructions!$B:$B,MATCH("Shrinkage Source",Instructions!$A:$A,0)),"Shrinkage Sheet")="Shrinkage Sheet",IFERROR(IF(Shrinkage!F9="-",IF(G9&lt;IFERROR(INDEX(Instructions!$B:$B,MATCH("Shrinkage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FTEs",Instructions!$A:$A,0)),12%)),Shrinkage!F9),IF(G9&lt;IFERROR(INDEX(Instructions!$B:$B,MATCH("Shrinkage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9" s="12">
        <f>IF(H9="","",MAX(0,'FT Wise'!AI9-Q9*(1-(IF(IFERROR(INDEX(Instructions!$B:$B,MATCH("Shrinkage Source",Instructions!$A:$A,0)),"Shrinkage Sheet")="Shrinkage Sheet",IFERROR(IF(Shrinkage!G9="-",IF(H9&lt;IFERROR(INDEX(Instructions!$B:$B,MATCH("Shrinkage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FTEs",Instructions!$A:$A,0)),12%)),Shrinkage!G9),IF(H9&lt;IFERROR(INDEX(Instructions!$B:$B,MATCH("Shrinkage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9" s="12">
        <f>IF(I9="","",MAX(0,'FT Wise'!AJ9-R9*(1-(IF(IFERROR(INDEX(Instructions!$B:$B,MATCH("Shrinkage Source",Instructions!$A:$A,0)),"Shrinkage Sheet")="Shrinkage Sheet",IFERROR(IF(Shrinkage!H9="-",IF(I9&lt;IFERROR(INDEX(Instructions!$B:$B,MATCH("Shrinkage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FTEs",Instructions!$A:$A,0)),12%)),Shrinkage!H9),IF(I9&lt;IFERROR(INDEX(Instructions!$B:$B,MATCH("Shrinkage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9" s="12" t="inlineStr">
        <is>
          <t>05:00</t>
        </is>
      </c>
      <c r="AD9" s="53">
        <f>IFERROR(U9/C9,"")</f>
        <v/>
      </c>
      <c r="AE9" s="53">
        <f>IFERROR(V9/D9,"")</f>
        <v/>
      </c>
      <c r="AF9" s="53">
        <f>IFERROR(W9/E9,"")</f>
        <v/>
      </c>
      <c r="AG9" s="53">
        <f>IFERROR(X9/F9,"")</f>
        <v/>
      </c>
      <c r="AH9" s="53">
        <f>IFERROR(Y9/G9,"")</f>
        <v/>
      </c>
      <c r="AI9" s="53">
        <f>IFERROR(Z9/H9,"")</f>
        <v/>
      </c>
      <c r="AJ9" s="53">
        <f>IFERROR(AA9/I9,"")</f>
        <v/>
      </c>
    </row>
    <row r="10">
      <c r="B10" s="12" t="inlineStr">
        <is>
          <t>06:00</t>
        </is>
      </c>
      <c r="C10" s="12" t="n"/>
      <c r="D10" s="12" t="n"/>
      <c r="E10" s="12" t="n"/>
      <c r="F10" s="12" t="n"/>
      <c r="G10" s="12" t="n"/>
      <c r="H10" s="12" t="n"/>
      <c r="I10" s="12" t="n"/>
      <c r="K10" s="12" t="inlineStr">
        <is>
          <t>06:00</t>
        </is>
      </c>
      <c r="L10" s="12">
        <f>IF(C10="","",SUMIFS('Break Schedule'!$I:$I,'Break Schedule'!$J:$J,"&lt;"&amp;(((0)*24+VALUE(LEFT($B10,2)))+1),'Break Schedule'!$K:$K,"&gt;"&amp;((0)*24+VALUE(LEFT($B10,2)))))</f>
        <v/>
      </c>
      <c r="M10" s="12">
        <f>IF(D10="","",SUMIFS('Break Schedule'!$I:$I,'Break Schedule'!$J:$J,"&lt;"&amp;(((1)*24+VALUE(LEFT($B10,2)))+1),'Break Schedule'!$K:$K,"&gt;"&amp;((1)*24+VALUE(LEFT($B10,2)))))</f>
        <v/>
      </c>
      <c r="N10" s="12">
        <f>IF(E10="","",SUMIFS('Break Schedule'!$I:$I,'Break Schedule'!$J:$J,"&lt;"&amp;(((2)*24+VALUE(LEFT($B10,2)))+1),'Break Schedule'!$K:$K,"&gt;"&amp;((2)*24+VALUE(LEFT($B10,2)))))</f>
        <v/>
      </c>
      <c r="O10" s="12">
        <f>IF(F10="","",SUMIFS('Break Schedule'!$I:$I,'Break Schedule'!$J:$J,"&lt;"&amp;(((3)*24+VALUE(LEFT($B10,2)))+1),'Break Schedule'!$K:$K,"&gt;"&amp;((3)*24+VALUE(LEFT($B10,2)))))</f>
        <v/>
      </c>
      <c r="P10" s="12">
        <f>IF(G10="","",SUMIFS('Break Schedule'!$I:$I,'Break Schedule'!$J:$J,"&lt;"&amp;(((4)*24+VALUE(LEFT($B10,2)))+1),'Break Schedule'!$K:$K,"&gt;"&amp;((4)*24+VALUE(LEFT($B10,2)))))</f>
        <v/>
      </c>
      <c r="Q10" s="12">
        <f>IF(H10="","",SUMIFS('Break Schedule'!$I:$I,'Break Schedule'!$J:$J,"&lt;"&amp;(((5)*24+VALUE(LEFT($B10,2)))+1),'Break Schedule'!$K:$K,"&gt;"&amp;((5)*24+VALUE(LEFT($B10,2)))))</f>
        <v/>
      </c>
      <c r="R10" s="12">
        <f>IF(I10="","",SUMIFS('Break Schedule'!$I:$I,'Break Schedule'!$J:$J,"&lt;"&amp;(((6)*24+VALUE(LEFT($B10,2)))+1),'Break Schedule'!$K:$K,"&gt;"&amp;((6)*24+VALUE(LEFT($B10,2)))))</f>
        <v/>
      </c>
      <c r="T10" s="12" t="inlineStr">
        <is>
          <t>06:00</t>
        </is>
      </c>
      <c r="U10" s="12">
        <f>IF(C10="","",MAX(0,'FT Wise'!AD10-L10*(1-(IF(IFERROR(INDEX(Instructions!$B:$B,MATCH("Shrinkage Source",Instructions!$A:$A,0)),"Shrinkage Sheet")="Shrinkage Sheet",IFERROR(IF(Shrinkage!B10="-",IF(C10&lt;IFERROR(INDEX(Instructions!$B:$B,MATCH("Shrinkage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FTEs",Instructions!$A:$A,0)),12%)),Shrinkage!B10),IF(C10&lt;IFERROR(INDEX(Instructions!$B:$B,MATCH("Shrinkage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10" s="12">
        <f>IF(D10="","",MAX(0,'FT Wise'!AE10-M10*(1-(IF(IFERROR(INDEX(Instructions!$B:$B,MATCH("Shrinkage Source",Instructions!$A:$A,0)),"Shrinkage Sheet")="Shrinkage Sheet",IFERROR(IF(Shrinkage!C10="-",IF(D10&lt;IFERROR(INDEX(Instructions!$B:$B,MATCH("Shrinkage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FTEs",Instructions!$A:$A,0)),12%)),Shrinkage!C10),IF(D10&lt;IFERROR(INDEX(Instructions!$B:$B,MATCH("Shrinkage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10" s="12">
        <f>IF(E10="","",MAX(0,'FT Wise'!AF10-N10*(1-(IF(IFERROR(INDEX(Instructions!$B:$B,MATCH("Shrinkage Source",Instructions!$A:$A,0)),"Shrinkage Sheet")="Shrinkage Sheet",IFERROR(IF(Shrinkage!D10="-",IF(E10&lt;IFERROR(INDEX(Instructions!$B:$B,MATCH("Shrinkage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FTEs",Instructions!$A:$A,0)),12%)),Shrinkage!D10),IF(E10&lt;IFERROR(INDEX(Instructions!$B:$B,MATCH("Shrinkage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10" s="12">
        <f>IF(F10="","",MAX(0,'FT Wise'!AG10-O10*(1-(IF(IFERROR(INDEX(Instructions!$B:$B,MATCH("Shrinkage Source",Instructions!$A:$A,0)),"Shrinkage Sheet")="Shrinkage Sheet",IFERROR(IF(Shrinkage!E10="-",IF(F10&lt;IFERROR(INDEX(Instructions!$B:$B,MATCH("Shrinkage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FTEs",Instructions!$A:$A,0)),12%)),Shrinkage!E10),IF(F10&lt;IFERROR(INDEX(Instructions!$B:$B,MATCH("Shrinkage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10" s="12">
        <f>IF(G10="","",MAX(0,'FT Wise'!AH10-P10*(1-(IF(IFERROR(INDEX(Instructions!$B:$B,MATCH("Shrinkage Source",Instructions!$A:$A,0)),"Shrinkage Sheet")="Shrinkage Sheet",IFERROR(IF(Shrinkage!F10="-",IF(G10&lt;IFERROR(INDEX(Instructions!$B:$B,MATCH("Shrinkage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FTEs",Instructions!$A:$A,0)),12%)),Shrinkage!F10),IF(G10&lt;IFERROR(INDEX(Instructions!$B:$B,MATCH("Shrinkage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10" s="12">
        <f>IF(H10="","",MAX(0,'FT Wise'!AI10-Q10*(1-(IF(IFERROR(INDEX(Instructions!$B:$B,MATCH("Shrinkage Source",Instructions!$A:$A,0)),"Shrinkage Sheet")="Shrinkage Sheet",IFERROR(IF(Shrinkage!G10="-",IF(H10&lt;IFERROR(INDEX(Instructions!$B:$B,MATCH("Shrinkage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FTEs",Instructions!$A:$A,0)),12%)),Shrinkage!G10),IF(H10&lt;IFERROR(INDEX(Instructions!$B:$B,MATCH("Shrinkage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10" s="12">
        <f>IF(I10="","",MAX(0,'FT Wise'!AJ10-R10*(1-(IF(IFERROR(INDEX(Instructions!$B:$B,MATCH("Shrinkage Source",Instructions!$A:$A,0)),"Shrinkage Sheet")="Shrinkage Sheet",IFERROR(IF(Shrinkage!H10="-",IF(I10&lt;IFERROR(INDEX(Instructions!$B:$B,MATCH("Shrinkage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FTEs",Instructions!$A:$A,0)),12%)),Shrinkage!H10),IF(I10&lt;IFERROR(INDEX(Instructions!$B:$B,MATCH("Shrinkage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10" s="12" t="inlineStr">
        <is>
          <t>06:00</t>
        </is>
      </c>
      <c r="AD10" s="53">
        <f>IFERROR(U10/C10,"")</f>
        <v/>
      </c>
      <c r="AE10" s="53">
        <f>IFERROR(V10/D10,"")</f>
        <v/>
      </c>
      <c r="AF10" s="53">
        <f>IFERROR(W10/E10,"")</f>
        <v/>
      </c>
      <c r="AG10" s="53">
        <f>IFERROR(X10/F10,"")</f>
        <v/>
      </c>
      <c r="AH10" s="53">
        <f>IFERROR(Y10/G10,"")</f>
        <v/>
      </c>
      <c r="AI10" s="53">
        <f>IFERROR(Z10/H10,"")</f>
        <v/>
      </c>
      <c r="AJ10" s="53">
        <f>IFERROR(AA10/I10,"")</f>
        <v/>
      </c>
    </row>
    <row r="11">
      <c r="B11" s="12" t="inlineStr">
        <is>
          <t>07:00</t>
        </is>
      </c>
      <c r="C11" s="12" t="n"/>
      <c r="D11" s="12" t="n"/>
      <c r="E11" s="12" t="n"/>
      <c r="F11" s="12" t="n"/>
      <c r="G11" s="12" t="n"/>
      <c r="H11" s="12" t="n"/>
      <c r="I11" s="12" t="n"/>
      <c r="K11" s="12" t="inlineStr">
        <is>
          <t>07:00</t>
        </is>
      </c>
      <c r="L11" s="12">
        <f>IF(C11="","",SUMIFS('Break Schedule'!$I:$I,'Break Schedule'!$J:$J,"&lt;"&amp;(((0)*24+VALUE(LEFT($B11,2)))+1),'Break Schedule'!$K:$K,"&gt;"&amp;((0)*24+VALUE(LEFT($B11,2)))))</f>
        <v/>
      </c>
      <c r="M11" s="12">
        <f>IF(D11="","",SUMIFS('Break Schedule'!$I:$I,'Break Schedule'!$J:$J,"&lt;"&amp;(((1)*24+VALUE(LEFT($B11,2)))+1),'Break Schedule'!$K:$K,"&gt;"&amp;((1)*24+VALUE(LEFT($B11,2)))))</f>
        <v/>
      </c>
      <c r="N11" s="12">
        <f>IF(E11="","",SUMIFS('Break Schedule'!$I:$I,'Break Schedule'!$J:$J,"&lt;"&amp;(((2)*24+VALUE(LEFT($B11,2)))+1),'Break Schedule'!$K:$K,"&gt;"&amp;((2)*24+VALUE(LEFT($B11,2)))))</f>
        <v/>
      </c>
      <c r="O11" s="12">
        <f>IF(F11="","",SUMIFS('Break Schedule'!$I:$I,'Break Schedule'!$J:$J,"&lt;"&amp;(((3)*24+VALUE(LEFT($B11,2)))+1),'Break Schedule'!$K:$K,"&gt;"&amp;((3)*24+VALUE(LEFT($B11,2)))))</f>
        <v/>
      </c>
      <c r="P11" s="12">
        <f>IF(G11="","",SUMIFS('Break Schedule'!$I:$I,'Break Schedule'!$J:$J,"&lt;"&amp;(((4)*24+VALUE(LEFT($B11,2)))+1),'Break Schedule'!$K:$K,"&gt;"&amp;((4)*24+VALUE(LEFT($B11,2)))))</f>
        <v/>
      </c>
      <c r="Q11" s="12">
        <f>IF(H11="","",SUMIFS('Break Schedule'!$I:$I,'Break Schedule'!$J:$J,"&lt;"&amp;(((5)*24+VALUE(LEFT($B11,2)))+1),'Break Schedule'!$K:$K,"&gt;"&amp;((5)*24+VALUE(LEFT($B11,2)))))</f>
        <v/>
      </c>
      <c r="R11" s="12">
        <f>IF(I11="","",SUMIFS('Break Schedule'!$I:$I,'Break Schedule'!$J:$J,"&lt;"&amp;(((6)*24+VALUE(LEFT($B11,2)))+1),'Break Schedule'!$K:$K,"&gt;"&amp;((6)*24+VALUE(LEFT($B11,2)))))</f>
        <v/>
      </c>
      <c r="T11" s="12" t="inlineStr">
        <is>
          <t>07:00</t>
        </is>
      </c>
      <c r="U11" s="12">
        <f>IF(C11="","",MAX(0,'FT Wise'!AD11-L11*(1-(IF(IFERROR(INDEX(Instructions!$B:$B,MATCH("Shrinkage Source",Instructions!$A:$A,0)),"Shrinkage Sheet")="Shrinkage Sheet",IFERROR(IF(Shrinkage!B11="-",IF(C11&lt;IFERROR(INDEX(Instructions!$B:$B,MATCH("Shrinkage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FTEs",Instructions!$A:$A,0)),12%)),Shrinkage!B11),IF(C11&lt;IFERROR(INDEX(Instructions!$B:$B,MATCH("Shrinkage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11" s="12">
        <f>IF(D11="","",MAX(0,'FT Wise'!AE11-M11*(1-(IF(IFERROR(INDEX(Instructions!$B:$B,MATCH("Shrinkage Source",Instructions!$A:$A,0)),"Shrinkage Sheet")="Shrinkage Sheet",IFERROR(IF(Shrinkage!C11="-",IF(D11&lt;IFERROR(INDEX(Instructions!$B:$B,MATCH("Shrinkage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FTEs",Instructions!$A:$A,0)),12%)),Shrinkage!C11),IF(D11&lt;IFERROR(INDEX(Instructions!$B:$B,MATCH("Shrinkage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11" s="12">
        <f>IF(E11="","",MAX(0,'FT Wise'!AF11-N11*(1-(IF(IFERROR(INDEX(Instructions!$B:$B,MATCH("Shrinkage Source",Instructions!$A:$A,0)),"Shrinkage Sheet")="Shrinkage Sheet",IFERROR(IF(Shrinkage!D11="-",IF(E11&lt;IFERROR(INDEX(Instructions!$B:$B,MATCH("Shrinkage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FTEs",Instructions!$A:$A,0)),12%)),Shrinkage!D11),IF(E11&lt;IFERROR(INDEX(Instructions!$B:$B,MATCH("Shrinkage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11" s="12">
        <f>IF(F11="","",MAX(0,'FT Wise'!AG11-O11*(1-(IF(IFERROR(INDEX(Instructions!$B:$B,MATCH("Shrinkage Source",Instructions!$A:$A,0)),"Shrinkage Sheet")="Shrinkage Sheet",IFERROR(IF(Shrinkage!E11="-",IF(F11&lt;IFERROR(INDEX(Instructions!$B:$B,MATCH("Shrinkage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FTEs",Instructions!$A:$A,0)),12%)),Shrinkage!E11),IF(F11&lt;IFERROR(INDEX(Instructions!$B:$B,MATCH("Shrinkage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11" s="12">
        <f>IF(G11="","",MAX(0,'FT Wise'!AH11-P11*(1-(IF(IFERROR(INDEX(Instructions!$B:$B,MATCH("Shrinkage Source",Instructions!$A:$A,0)),"Shrinkage Sheet")="Shrinkage Sheet",IFERROR(IF(Shrinkage!F11="-",IF(G11&lt;IFERROR(INDEX(Instructions!$B:$B,MATCH("Shrinkage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FTEs",Instructions!$A:$A,0)),12%)),Shrinkage!F11),IF(G11&lt;IFERROR(INDEX(Instructions!$B:$B,MATCH("Shrinkage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11" s="12">
        <f>IF(H11="","",MAX(0,'FT Wise'!AI11-Q11*(1-(IF(IFERROR(INDEX(Instructions!$B:$B,MATCH("Shrinkage Source",Instructions!$A:$A,0)),"Shrinkage Sheet")="Shrinkage Sheet",IFERROR(IF(Shrinkage!G11="-",IF(H11&lt;IFERROR(INDEX(Instructions!$B:$B,MATCH("Shrinkage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FTEs",Instructions!$A:$A,0)),12%)),Shrinkage!G11),IF(H11&lt;IFERROR(INDEX(Instructions!$B:$B,MATCH("Shrinkage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11" s="12">
        <f>IF(I11="","",MAX(0,'FT Wise'!AJ11-R11*(1-(IF(IFERROR(INDEX(Instructions!$B:$B,MATCH("Shrinkage Source",Instructions!$A:$A,0)),"Shrinkage Sheet")="Shrinkage Sheet",IFERROR(IF(Shrinkage!H11="-",IF(I11&lt;IFERROR(INDEX(Instructions!$B:$B,MATCH("Shrinkage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FTEs",Instructions!$A:$A,0)),12%)),Shrinkage!H11),IF(I11&lt;IFERROR(INDEX(Instructions!$B:$B,MATCH("Shrinkage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11" s="12" t="inlineStr">
        <is>
          <t>07:00</t>
        </is>
      </c>
      <c r="AD11" s="53">
        <f>IFERROR(U11/C11,"")</f>
        <v/>
      </c>
      <c r="AE11" s="53">
        <f>IFERROR(V11/D11,"")</f>
        <v/>
      </c>
      <c r="AF11" s="53">
        <f>IFERROR(W11/E11,"")</f>
        <v/>
      </c>
      <c r="AG11" s="53">
        <f>IFERROR(X11/F11,"")</f>
        <v/>
      </c>
      <c r="AH11" s="53">
        <f>IFERROR(Y11/G11,"")</f>
        <v/>
      </c>
      <c r="AI11" s="53">
        <f>IFERROR(Z11/H11,"")</f>
        <v/>
      </c>
      <c r="AJ11" s="53">
        <f>IFERROR(AA11/I11,"")</f>
        <v/>
      </c>
    </row>
    <row r="12">
      <c r="B12" s="12" t="inlineStr">
        <is>
          <t>08:00</t>
        </is>
      </c>
      <c r="C12" s="12" t="n"/>
      <c r="D12" s="12" t="n"/>
      <c r="E12" s="12" t="n"/>
      <c r="F12" s="12" t="n"/>
      <c r="G12" s="12" t="n"/>
      <c r="H12" s="12" t="n"/>
      <c r="I12" s="12" t="n"/>
      <c r="K12" s="12" t="inlineStr">
        <is>
          <t>08:00</t>
        </is>
      </c>
      <c r="L12" s="12">
        <f>IF(C12="","",SUMIFS('Break Schedule'!$I:$I,'Break Schedule'!$J:$J,"&lt;"&amp;(((0)*24+VALUE(LEFT($B12,2)))+1),'Break Schedule'!$K:$K,"&gt;"&amp;((0)*24+VALUE(LEFT($B12,2)))))</f>
        <v/>
      </c>
      <c r="M12" s="12">
        <f>IF(D12="","",SUMIFS('Break Schedule'!$I:$I,'Break Schedule'!$J:$J,"&lt;"&amp;(((1)*24+VALUE(LEFT($B12,2)))+1),'Break Schedule'!$K:$K,"&gt;"&amp;((1)*24+VALUE(LEFT($B12,2)))))</f>
        <v/>
      </c>
      <c r="N12" s="12">
        <f>IF(E12="","",SUMIFS('Break Schedule'!$I:$I,'Break Schedule'!$J:$J,"&lt;"&amp;(((2)*24+VALUE(LEFT($B12,2)))+1),'Break Schedule'!$K:$K,"&gt;"&amp;((2)*24+VALUE(LEFT($B12,2)))))</f>
        <v/>
      </c>
      <c r="O12" s="12">
        <f>IF(F12="","",SUMIFS('Break Schedule'!$I:$I,'Break Schedule'!$J:$J,"&lt;"&amp;(((3)*24+VALUE(LEFT($B12,2)))+1),'Break Schedule'!$K:$K,"&gt;"&amp;((3)*24+VALUE(LEFT($B12,2)))))</f>
        <v/>
      </c>
      <c r="P12" s="12">
        <f>IF(G12="","",SUMIFS('Break Schedule'!$I:$I,'Break Schedule'!$J:$J,"&lt;"&amp;(((4)*24+VALUE(LEFT($B12,2)))+1),'Break Schedule'!$K:$K,"&gt;"&amp;((4)*24+VALUE(LEFT($B12,2)))))</f>
        <v/>
      </c>
      <c r="Q12" s="12">
        <f>IF(H12="","",SUMIFS('Break Schedule'!$I:$I,'Break Schedule'!$J:$J,"&lt;"&amp;(((5)*24+VALUE(LEFT($B12,2)))+1),'Break Schedule'!$K:$K,"&gt;"&amp;((5)*24+VALUE(LEFT($B12,2)))))</f>
        <v/>
      </c>
      <c r="R12" s="12">
        <f>IF(I12="","",SUMIFS('Break Schedule'!$I:$I,'Break Schedule'!$J:$J,"&lt;"&amp;(((6)*24+VALUE(LEFT($B12,2)))+1),'Break Schedule'!$K:$K,"&gt;"&amp;((6)*24+VALUE(LEFT($B12,2)))))</f>
        <v/>
      </c>
      <c r="T12" s="12" t="inlineStr">
        <is>
          <t>08:00</t>
        </is>
      </c>
      <c r="U12" s="12">
        <f>IF(C12="","",MAX(0,'FT Wise'!AD12-L12*(1-(IF(IFERROR(INDEX(Instructions!$B:$B,MATCH("Shrinkage Source",Instructions!$A:$A,0)),"Shrinkage Sheet")="Shrinkage Sheet",IFERROR(IF(Shrinkage!B12="-",IF(C12&lt;IFERROR(INDEX(Instructions!$B:$B,MATCH("Shrinkage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FTEs",Instructions!$A:$A,0)),12%)),Shrinkage!B12),IF(C12&lt;IFERROR(INDEX(Instructions!$B:$B,MATCH("Shrinkage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12" s="12">
        <f>IF(D12="","",MAX(0,'FT Wise'!AE12-M12*(1-(IF(IFERROR(INDEX(Instructions!$B:$B,MATCH("Shrinkage Source",Instructions!$A:$A,0)),"Shrinkage Sheet")="Shrinkage Sheet",IFERROR(IF(Shrinkage!C12="-",IF(D12&lt;IFERROR(INDEX(Instructions!$B:$B,MATCH("Shrinkage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FTEs",Instructions!$A:$A,0)),12%)),Shrinkage!C12),IF(D12&lt;IFERROR(INDEX(Instructions!$B:$B,MATCH("Shrinkage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12" s="12">
        <f>IF(E12="","",MAX(0,'FT Wise'!AF12-N12*(1-(IF(IFERROR(INDEX(Instructions!$B:$B,MATCH("Shrinkage Source",Instructions!$A:$A,0)),"Shrinkage Sheet")="Shrinkage Sheet",IFERROR(IF(Shrinkage!D12="-",IF(E12&lt;IFERROR(INDEX(Instructions!$B:$B,MATCH("Shrinkage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FTEs",Instructions!$A:$A,0)),12%)),Shrinkage!D12),IF(E12&lt;IFERROR(INDEX(Instructions!$B:$B,MATCH("Shrinkage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12" s="12">
        <f>IF(F12="","",MAX(0,'FT Wise'!AG12-O12*(1-(IF(IFERROR(INDEX(Instructions!$B:$B,MATCH("Shrinkage Source",Instructions!$A:$A,0)),"Shrinkage Sheet")="Shrinkage Sheet",IFERROR(IF(Shrinkage!E12="-",IF(F12&lt;IFERROR(INDEX(Instructions!$B:$B,MATCH("Shrinkage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FTEs",Instructions!$A:$A,0)),12%)),Shrinkage!E12),IF(F12&lt;IFERROR(INDEX(Instructions!$B:$B,MATCH("Shrinkage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12" s="12">
        <f>IF(G12="","",MAX(0,'FT Wise'!AH12-P12*(1-(IF(IFERROR(INDEX(Instructions!$B:$B,MATCH("Shrinkage Source",Instructions!$A:$A,0)),"Shrinkage Sheet")="Shrinkage Sheet",IFERROR(IF(Shrinkage!F12="-",IF(G12&lt;IFERROR(INDEX(Instructions!$B:$B,MATCH("Shrinkage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FTEs",Instructions!$A:$A,0)),12%)),Shrinkage!F12),IF(G12&lt;IFERROR(INDEX(Instructions!$B:$B,MATCH("Shrinkage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12" s="12">
        <f>IF(H12="","",MAX(0,'FT Wise'!AI12-Q12*(1-(IF(IFERROR(INDEX(Instructions!$B:$B,MATCH("Shrinkage Source",Instructions!$A:$A,0)),"Shrinkage Sheet")="Shrinkage Sheet",IFERROR(IF(Shrinkage!G12="-",IF(H12&lt;IFERROR(INDEX(Instructions!$B:$B,MATCH("Shrinkage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FTEs",Instructions!$A:$A,0)),12%)),Shrinkage!G12),IF(H12&lt;IFERROR(INDEX(Instructions!$B:$B,MATCH("Shrinkage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12" s="12">
        <f>IF(I12="","",MAX(0,'FT Wise'!AJ12-R12*(1-(IF(IFERROR(INDEX(Instructions!$B:$B,MATCH("Shrinkage Source",Instructions!$A:$A,0)),"Shrinkage Sheet")="Shrinkage Sheet",IFERROR(IF(Shrinkage!H12="-",IF(I12&lt;IFERROR(INDEX(Instructions!$B:$B,MATCH("Shrinkage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FTEs",Instructions!$A:$A,0)),12%)),Shrinkage!H12),IF(I12&lt;IFERROR(INDEX(Instructions!$B:$B,MATCH("Shrinkage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12" s="12" t="inlineStr">
        <is>
          <t>08:00</t>
        </is>
      </c>
      <c r="AD12" s="53">
        <f>IFERROR(U12/C12,"")</f>
        <v/>
      </c>
      <c r="AE12" s="53">
        <f>IFERROR(V12/D12,"")</f>
        <v/>
      </c>
      <c r="AF12" s="53">
        <f>IFERROR(W12/E12,"")</f>
        <v/>
      </c>
      <c r="AG12" s="53">
        <f>IFERROR(X12/F12,"")</f>
        <v/>
      </c>
      <c r="AH12" s="53">
        <f>IFERROR(Y12/G12,"")</f>
        <v/>
      </c>
      <c r="AI12" s="53">
        <f>IFERROR(Z12/H12,"")</f>
        <v/>
      </c>
      <c r="AJ12" s="53">
        <f>IFERROR(AA12/I12,"")</f>
        <v/>
      </c>
    </row>
    <row r="13">
      <c r="B13" s="12" t="inlineStr">
        <is>
          <t>09:00</t>
        </is>
      </c>
      <c r="C13" s="12" t="n"/>
      <c r="D13" s="12" t="n"/>
      <c r="E13" s="12" t="n"/>
      <c r="F13" s="12" t="n"/>
      <c r="G13" s="12" t="n"/>
      <c r="H13" s="12" t="n"/>
      <c r="I13" s="12" t="n"/>
      <c r="K13" s="12" t="inlineStr">
        <is>
          <t>09:00</t>
        </is>
      </c>
      <c r="L13" s="12">
        <f>IF(C13="","",SUMIFS('Break Schedule'!$I:$I,'Break Schedule'!$J:$J,"&lt;"&amp;(((0)*24+VALUE(LEFT($B13,2)))+1),'Break Schedule'!$K:$K,"&gt;"&amp;((0)*24+VALUE(LEFT($B13,2)))))</f>
        <v/>
      </c>
      <c r="M13" s="12">
        <f>IF(D13="","",SUMIFS('Break Schedule'!$I:$I,'Break Schedule'!$J:$J,"&lt;"&amp;(((1)*24+VALUE(LEFT($B13,2)))+1),'Break Schedule'!$K:$K,"&gt;"&amp;((1)*24+VALUE(LEFT($B13,2)))))</f>
        <v/>
      </c>
      <c r="N13" s="12">
        <f>IF(E13="","",SUMIFS('Break Schedule'!$I:$I,'Break Schedule'!$J:$J,"&lt;"&amp;(((2)*24+VALUE(LEFT($B13,2)))+1),'Break Schedule'!$K:$K,"&gt;"&amp;((2)*24+VALUE(LEFT($B13,2)))))</f>
        <v/>
      </c>
      <c r="O13" s="12">
        <f>IF(F13="","",SUMIFS('Break Schedule'!$I:$I,'Break Schedule'!$J:$J,"&lt;"&amp;(((3)*24+VALUE(LEFT($B13,2)))+1),'Break Schedule'!$K:$K,"&gt;"&amp;((3)*24+VALUE(LEFT($B13,2)))))</f>
        <v/>
      </c>
      <c r="P13" s="12">
        <f>IF(G13="","",SUMIFS('Break Schedule'!$I:$I,'Break Schedule'!$J:$J,"&lt;"&amp;(((4)*24+VALUE(LEFT($B13,2)))+1),'Break Schedule'!$K:$K,"&gt;"&amp;((4)*24+VALUE(LEFT($B13,2)))))</f>
        <v/>
      </c>
      <c r="Q13" s="12">
        <f>IF(H13="","",SUMIFS('Break Schedule'!$I:$I,'Break Schedule'!$J:$J,"&lt;"&amp;(((5)*24+VALUE(LEFT($B13,2)))+1),'Break Schedule'!$K:$K,"&gt;"&amp;((5)*24+VALUE(LEFT($B13,2)))))</f>
        <v/>
      </c>
      <c r="R13" s="12">
        <f>IF(I13="","",SUMIFS('Break Schedule'!$I:$I,'Break Schedule'!$J:$J,"&lt;"&amp;(((6)*24+VALUE(LEFT($B13,2)))+1),'Break Schedule'!$K:$K,"&gt;"&amp;((6)*24+VALUE(LEFT($B13,2)))))</f>
        <v/>
      </c>
      <c r="T13" s="12" t="inlineStr">
        <is>
          <t>09:00</t>
        </is>
      </c>
      <c r="U13" s="12">
        <f>IF(C13="","",MAX(0,'FT Wise'!AD13-L13*(1-(IF(IFERROR(INDEX(Instructions!$B:$B,MATCH("Shrinkage Source",Instructions!$A:$A,0)),"Shrinkage Sheet")="Shrinkage Sheet",IFERROR(IF(Shrinkage!B13="-",IF(C13&lt;IFERROR(INDEX(Instructions!$B:$B,MATCH("Shrinkage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FTEs",Instructions!$A:$A,0)),12%)),Shrinkage!B13),IF(C13&lt;IFERROR(INDEX(Instructions!$B:$B,MATCH("Shrinkage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13" s="12">
        <f>IF(D13="","",MAX(0,'FT Wise'!AE13-M13*(1-(IF(IFERROR(INDEX(Instructions!$B:$B,MATCH("Shrinkage Source",Instructions!$A:$A,0)),"Shrinkage Sheet")="Shrinkage Sheet",IFERROR(IF(Shrinkage!C13="-",IF(D13&lt;IFERROR(INDEX(Instructions!$B:$B,MATCH("Shrinkage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FTEs",Instructions!$A:$A,0)),12%)),Shrinkage!C13),IF(D13&lt;IFERROR(INDEX(Instructions!$B:$B,MATCH("Shrinkage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13" s="12">
        <f>IF(E13="","",MAX(0,'FT Wise'!AF13-N13*(1-(IF(IFERROR(INDEX(Instructions!$B:$B,MATCH("Shrinkage Source",Instructions!$A:$A,0)),"Shrinkage Sheet")="Shrinkage Sheet",IFERROR(IF(Shrinkage!D13="-",IF(E13&lt;IFERROR(INDEX(Instructions!$B:$B,MATCH("Shrinkage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FTEs",Instructions!$A:$A,0)),12%)),Shrinkage!D13),IF(E13&lt;IFERROR(INDEX(Instructions!$B:$B,MATCH("Shrinkage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13" s="12">
        <f>IF(F13="","",MAX(0,'FT Wise'!AG13-O13*(1-(IF(IFERROR(INDEX(Instructions!$B:$B,MATCH("Shrinkage Source",Instructions!$A:$A,0)),"Shrinkage Sheet")="Shrinkage Sheet",IFERROR(IF(Shrinkage!E13="-",IF(F13&lt;IFERROR(INDEX(Instructions!$B:$B,MATCH("Shrinkage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FTEs",Instructions!$A:$A,0)),12%)),Shrinkage!E13),IF(F13&lt;IFERROR(INDEX(Instructions!$B:$B,MATCH("Shrinkage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13" s="12">
        <f>IF(G13="","",MAX(0,'FT Wise'!AH13-P13*(1-(IF(IFERROR(INDEX(Instructions!$B:$B,MATCH("Shrinkage Source",Instructions!$A:$A,0)),"Shrinkage Sheet")="Shrinkage Sheet",IFERROR(IF(Shrinkage!F13="-",IF(G13&lt;IFERROR(INDEX(Instructions!$B:$B,MATCH("Shrinkage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FTEs",Instructions!$A:$A,0)),12%)),Shrinkage!F13),IF(G13&lt;IFERROR(INDEX(Instructions!$B:$B,MATCH("Shrinkage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13" s="12">
        <f>IF(H13="","",MAX(0,'FT Wise'!AI13-Q13*(1-(IF(IFERROR(INDEX(Instructions!$B:$B,MATCH("Shrinkage Source",Instructions!$A:$A,0)),"Shrinkage Sheet")="Shrinkage Sheet",IFERROR(IF(Shrinkage!G13="-",IF(H13&lt;IFERROR(INDEX(Instructions!$B:$B,MATCH("Shrinkage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FTEs",Instructions!$A:$A,0)),12%)),Shrinkage!G13),IF(H13&lt;IFERROR(INDEX(Instructions!$B:$B,MATCH("Shrinkage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13" s="12">
        <f>IF(I13="","",MAX(0,'FT Wise'!AJ13-R13*(1-(IF(IFERROR(INDEX(Instructions!$B:$B,MATCH("Shrinkage Source",Instructions!$A:$A,0)),"Shrinkage Sheet")="Shrinkage Sheet",IFERROR(IF(Shrinkage!H13="-",IF(I13&lt;IFERROR(INDEX(Instructions!$B:$B,MATCH("Shrinkage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FTEs",Instructions!$A:$A,0)),12%)),Shrinkage!H13),IF(I13&lt;IFERROR(INDEX(Instructions!$B:$B,MATCH("Shrinkage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13" s="12" t="inlineStr">
        <is>
          <t>09:00</t>
        </is>
      </c>
      <c r="AD13" s="53">
        <f>IFERROR(U13/C13,"")</f>
        <v/>
      </c>
      <c r="AE13" s="53">
        <f>IFERROR(V13/D13,"")</f>
        <v/>
      </c>
      <c r="AF13" s="53">
        <f>IFERROR(W13/E13,"")</f>
        <v/>
      </c>
      <c r="AG13" s="53">
        <f>IFERROR(X13/F13,"")</f>
        <v/>
      </c>
      <c r="AH13" s="53">
        <f>IFERROR(Y13/G13,"")</f>
        <v/>
      </c>
      <c r="AI13" s="53">
        <f>IFERROR(Z13/H13,"")</f>
        <v/>
      </c>
      <c r="AJ13" s="53">
        <f>IFERROR(AA13/I13,"")</f>
        <v/>
      </c>
    </row>
    <row r="14">
      <c r="B14" s="12" t="inlineStr">
        <is>
          <t>10:00</t>
        </is>
      </c>
      <c r="C14" s="12" t="n"/>
      <c r="D14" s="12" t="n"/>
      <c r="E14" s="12" t="n"/>
      <c r="F14" s="12" t="n"/>
      <c r="G14" s="12" t="n"/>
      <c r="H14" s="12" t="n"/>
      <c r="I14" s="12" t="n"/>
      <c r="K14" s="12" t="inlineStr">
        <is>
          <t>10:00</t>
        </is>
      </c>
      <c r="L14" s="12">
        <f>IF(C14="","",SUMIFS('Break Schedule'!$I:$I,'Break Schedule'!$J:$J,"&lt;"&amp;(((0)*24+VALUE(LEFT($B14,2)))+1),'Break Schedule'!$K:$K,"&gt;"&amp;((0)*24+VALUE(LEFT($B14,2)))))</f>
        <v/>
      </c>
      <c r="M14" s="12">
        <f>IF(D14="","",SUMIFS('Break Schedule'!$I:$I,'Break Schedule'!$J:$J,"&lt;"&amp;(((1)*24+VALUE(LEFT($B14,2)))+1),'Break Schedule'!$K:$K,"&gt;"&amp;((1)*24+VALUE(LEFT($B14,2)))))</f>
        <v/>
      </c>
      <c r="N14" s="12">
        <f>IF(E14="","",SUMIFS('Break Schedule'!$I:$I,'Break Schedule'!$J:$J,"&lt;"&amp;(((2)*24+VALUE(LEFT($B14,2)))+1),'Break Schedule'!$K:$K,"&gt;"&amp;((2)*24+VALUE(LEFT($B14,2)))))</f>
        <v/>
      </c>
      <c r="O14" s="12">
        <f>IF(F14="","",SUMIFS('Break Schedule'!$I:$I,'Break Schedule'!$J:$J,"&lt;"&amp;(((3)*24+VALUE(LEFT($B14,2)))+1),'Break Schedule'!$K:$K,"&gt;"&amp;((3)*24+VALUE(LEFT($B14,2)))))</f>
        <v/>
      </c>
      <c r="P14" s="12">
        <f>IF(G14="","",SUMIFS('Break Schedule'!$I:$I,'Break Schedule'!$J:$J,"&lt;"&amp;(((4)*24+VALUE(LEFT($B14,2)))+1),'Break Schedule'!$K:$K,"&gt;"&amp;((4)*24+VALUE(LEFT($B14,2)))))</f>
        <v/>
      </c>
      <c r="Q14" s="12">
        <f>IF(H14="","",SUMIFS('Break Schedule'!$I:$I,'Break Schedule'!$J:$J,"&lt;"&amp;(((5)*24+VALUE(LEFT($B14,2)))+1),'Break Schedule'!$K:$K,"&gt;"&amp;((5)*24+VALUE(LEFT($B14,2)))))</f>
        <v/>
      </c>
      <c r="R14" s="12">
        <f>IF(I14="","",SUMIFS('Break Schedule'!$I:$I,'Break Schedule'!$J:$J,"&lt;"&amp;(((6)*24+VALUE(LEFT($B14,2)))+1),'Break Schedule'!$K:$K,"&gt;"&amp;((6)*24+VALUE(LEFT($B14,2)))))</f>
        <v/>
      </c>
      <c r="T14" s="12" t="inlineStr">
        <is>
          <t>10:00</t>
        </is>
      </c>
      <c r="U14" s="12">
        <f>IF(C14="","",MAX(0,'FT Wise'!AD14-L14*(1-(IF(IFERROR(INDEX(Instructions!$B:$B,MATCH("Shrinkage Source",Instructions!$A:$A,0)),"Shrinkage Sheet")="Shrinkage Sheet",IFERROR(IF(Shrinkage!B14="-",IF(C14&lt;IFERROR(INDEX(Instructions!$B:$B,MATCH("Shrinkage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FTEs",Instructions!$A:$A,0)),12%)),Shrinkage!B14),IF(C14&lt;IFERROR(INDEX(Instructions!$B:$B,MATCH("Shrinkage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14" s="12">
        <f>IF(D14="","",MAX(0,'FT Wise'!AE14-M14*(1-(IF(IFERROR(INDEX(Instructions!$B:$B,MATCH("Shrinkage Source",Instructions!$A:$A,0)),"Shrinkage Sheet")="Shrinkage Sheet",IFERROR(IF(Shrinkage!C14="-",IF(D14&lt;IFERROR(INDEX(Instructions!$B:$B,MATCH("Shrinkage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FTEs",Instructions!$A:$A,0)),12%)),Shrinkage!C14),IF(D14&lt;IFERROR(INDEX(Instructions!$B:$B,MATCH("Shrinkage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14" s="12">
        <f>IF(E14="","",MAX(0,'FT Wise'!AF14-N14*(1-(IF(IFERROR(INDEX(Instructions!$B:$B,MATCH("Shrinkage Source",Instructions!$A:$A,0)),"Shrinkage Sheet")="Shrinkage Sheet",IFERROR(IF(Shrinkage!D14="-",IF(E14&lt;IFERROR(INDEX(Instructions!$B:$B,MATCH("Shrinkage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FTEs",Instructions!$A:$A,0)),12%)),Shrinkage!D14),IF(E14&lt;IFERROR(INDEX(Instructions!$B:$B,MATCH("Shrinkage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14" s="12">
        <f>IF(F14="","",MAX(0,'FT Wise'!AG14-O14*(1-(IF(IFERROR(INDEX(Instructions!$B:$B,MATCH("Shrinkage Source",Instructions!$A:$A,0)),"Shrinkage Sheet")="Shrinkage Sheet",IFERROR(IF(Shrinkage!E14="-",IF(F14&lt;IFERROR(INDEX(Instructions!$B:$B,MATCH("Shrinkage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FTEs",Instructions!$A:$A,0)),12%)),Shrinkage!E14),IF(F14&lt;IFERROR(INDEX(Instructions!$B:$B,MATCH("Shrinkage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14" s="12">
        <f>IF(G14="","",MAX(0,'FT Wise'!AH14-P14*(1-(IF(IFERROR(INDEX(Instructions!$B:$B,MATCH("Shrinkage Source",Instructions!$A:$A,0)),"Shrinkage Sheet")="Shrinkage Sheet",IFERROR(IF(Shrinkage!F14="-",IF(G14&lt;IFERROR(INDEX(Instructions!$B:$B,MATCH("Shrinkage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FTEs",Instructions!$A:$A,0)),12%)),Shrinkage!F14),IF(G14&lt;IFERROR(INDEX(Instructions!$B:$B,MATCH("Shrinkage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14" s="12">
        <f>IF(H14="","",MAX(0,'FT Wise'!AI14-Q14*(1-(IF(IFERROR(INDEX(Instructions!$B:$B,MATCH("Shrinkage Source",Instructions!$A:$A,0)),"Shrinkage Sheet")="Shrinkage Sheet",IFERROR(IF(Shrinkage!G14="-",IF(H14&lt;IFERROR(INDEX(Instructions!$B:$B,MATCH("Shrinkage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FTEs",Instructions!$A:$A,0)),12%)),Shrinkage!G14),IF(H14&lt;IFERROR(INDEX(Instructions!$B:$B,MATCH("Shrinkage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14" s="12">
        <f>IF(I14="","",MAX(0,'FT Wise'!AJ14-R14*(1-(IF(IFERROR(INDEX(Instructions!$B:$B,MATCH("Shrinkage Source",Instructions!$A:$A,0)),"Shrinkage Sheet")="Shrinkage Sheet",IFERROR(IF(Shrinkage!H14="-",IF(I14&lt;IFERROR(INDEX(Instructions!$B:$B,MATCH("Shrinkage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FTEs",Instructions!$A:$A,0)),12%)),Shrinkage!H14),IF(I14&lt;IFERROR(INDEX(Instructions!$B:$B,MATCH("Shrinkage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14" s="12" t="inlineStr">
        <is>
          <t>10:00</t>
        </is>
      </c>
      <c r="AD14" s="53">
        <f>IFERROR(U14/C14,"")</f>
        <v/>
      </c>
      <c r="AE14" s="53">
        <f>IFERROR(V14/D14,"")</f>
        <v/>
      </c>
      <c r="AF14" s="53">
        <f>IFERROR(W14/E14,"")</f>
        <v/>
      </c>
      <c r="AG14" s="53">
        <f>IFERROR(X14/F14,"")</f>
        <v/>
      </c>
      <c r="AH14" s="53">
        <f>IFERROR(Y14/G14,"")</f>
        <v/>
      </c>
      <c r="AI14" s="53">
        <f>IFERROR(Z14/H14,"")</f>
        <v/>
      </c>
      <c r="AJ14" s="53">
        <f>IFERROR(AA14/I14,"")</f>
        <v/>
      </c>
    </row>
    <row r="15">
      <c r="B15" s="12" t="inlineStr">
        <is>
          <t>11:00</t>
        </is>
      </c>
      <c r="C15" s="12" t="n"/>
      <c r="D15" s="12" t="n"/>
      <c r="E15" s="12" t="n"/>
      <c r="F15" s="12" t="n"/>
      <c r="G15" s="12" t="n"/>
      <c r="H15" s="12" t="n"/>
      <c r="I15" s="12" t="n"/>
      <c r="K15" s="12" t="inlineStr">
        <is>
          <t>11:00</t>
        </is>
      </c>
      <c r="L15" s="12">
        <f>IF(C15="","",SUMIFS('Break Schedule'!$I:$I,'Break Schedule'!$J:$J,"&lt;"&amp;(((0)*24+VALUE(LEFT($B15,2)))+1),'Break Schedule'!$K:$K,"&gt;"&amp;((0)*24+VALUE(LEFT($B15,2)))))</f>
        <v/>
      </c>
      <c r="M15" s="12">
        <f>IF(D15="","",SUMIFS('Break Schedule'!$I:$I,'Break Schedule'!$J:$J,"&lt;"&amp;(((1)*24+VALUE(LEFT($B15,2)))+1),'Break Schedule'!$K:$K,"&gt;"&amp;((1)*24+VALUE(LEFT($B15,2)))))</f>
        <v/>
      </c>
      <c r="N15" s="12">
        <f>IF(E15="","",SUMIFS('Break Schedule'!$I:$I,'Break Schedule'!$J:$J,"&lt;"&amp;(((2)*24+VALUE(LEFT($B15,2)))+1),'Break Schedule'!$K:$K,"&gt;"&amp;((2)*24+VALUE(LEFT($B15,2)))))</f>
        <v/>
      </c>
      <c r="O15" s="12">
        <f>IF(F15="","",SUMIFS('Break Schedule'!$I:$I,'Break Schedule'!$J:$J,"&lt;"&amp;(((3)*24+VALUE(LEFT($B15,2)))+1),'Break Schedule'!$K:$K,"&gt;"&amp;((3)*24+VALUE(LEFT($B15,2)))))</f>
        <v/>
      </c>
      <c r="P15" s="12">
        <f>IF(G15="","",SUMIFS('Break Schedule'!$I:$I,'Break Schedule'!$J:$J,"&lt;"&amp;(((4)*24+VALUE(LEFT($B15,2)))+1),'Break Schedule'!$K:$K,"&gt;"&amp;((4)*24+VALUE(LEFT($B15,2)))))</f>
        <v/>
      </c>
      <c r="Q15" s="12">
        <f>IF(H15="","",SUMIFS('Break Schedule'!$I:$I,'Break Schedule'!$J:$J,"&lt;"&amp;(((5)*24+VALUE(LEFT($B15,2)))+1),'Break Schedule'!$K:$K,"&gt;"&amp;((5)*24+VALUE(LEFT($B15,2)))))</f>
        <v/>
      </c>
      <c r="R15" s="12">
        <f>IF(I15="","",SUMIFS('Break Schedule'!$I:$I,'Break Schedule'!$J:$J,"&lt;"&amp;(((6)*24+VALUE(LEFT($B15,2)))+1),'Break Schedule'!$K:$K,"&gt;"&amp;((6)*24+VALUE(LEFT($B15,2)))))</f>
        <v/>
      </c>
      <c r="T15" s="12" t="inlineStr">
        <is>
          <t>11:00</t>
        </is>
      </c>
      <c r="U15" s="12">
        <f>IF(C15="","",MAX(0,'FT Wise'!AD15-L15*(1-(IF(IFERROR(INDEX(Instructions!$B:$B,MATCH("Shrinkage Source",Instructions!$A:$A,0)),"Shrinkage Sheet")="Shrinkage Sheet",IFERROR(IF(Shrinkage!B15="-",IF(C15&lt;IFERROR(INDEX(Instructions!$B:$B,MATCH("Shrinkage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FTEs",Instructions!$A:$A,0)),12%)),Shrinkage!B15),IF(C15&lt;IFERROR(INDEX(Instructions!$B:$B,MATCH("Shrinkage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15" s="12">
        <f>IF(D15="","",MAX(0,'FT Wise'!AE15-M15*(1-(IF(IFERROR(INDEX(Instructions!$B:$B,MATCH("Shrinkage Source",Instructions!$A:$A,0)),"Shrinkage Sheet")="Shrinkage Sheet",IFERROR(IF(Shrinkage!C15="-",IF(D15&lt;IFERROR(INDEX(Instructions!$B:$B,MATCH("Shrinkage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FTEs",Instructions!$A:$A,0)),12%)),Shrinkage!C15),IF(D15&lt;IFERROR(INDEX(Instructions!$B:$B,MATCH("Shrinkage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15" s="12">
        <f>IF(E15="","",MAX(0,'FT Wise'!AF15-N15*(1-(IF(IFERROR(INDEX(Instructions!$B:$B,MATCH("Shrinkage Source",Instructions!$A:$A,0)),"Shrinkage Sheet")="Shrinkage Sheet",IFERROR(IF(Shrinkage!D15="-",IF(E15&lt;IFERROR(INDEX(Instructions!$B:$B,MATCH("Shrinkage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FTEs",Instructions!$A:$A,0)),12%)),Shrinkage!D15),IF(E15&lt;IFERROR(INDEX(Instructions!$B:$B,MATCH("Shrinkage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15" s="12">
        <f>IF(F15="","",MAX(0,'FT Wise'!AG15-O15*(1-(IF(IFERROR(INDEX(Instructions!$B:$B,MATCH("Shrinkage Source",Instructions!$A:$A,0)),"Shrinkage Sheet")="Shrinkage Sheet",IFERROR(IF(Shrinkage!E15="-",IF(F15&lt;IFERROR(INDEX(Instructions!$B:$B,MATCH("Shrinkage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FTEs",Instructions!$A:$A,0)),12%)),Shrinkage!E15),IF(F15&lt;IFERROR(INDEX(Instructions!$B:$B,MATCH("Shrinkage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15" s="12">
        <f>IF(G15="","",MAX(0,'FT Wise'!AH15-P15*(1-(IF(IFERROR(INDEX(Instructions!$B:$B,MATCH("Shrinkage Source",Instructions!$A:$A,0)),"Shrinkage Sheet")="Shrinkage Sheet",IFERROR(IF(Shrinkage!F15="-",IF(G15&lt;IFERROR(INDEX(Instructions!$B:$B,MATCH("Shrinkage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FTEs",Instructions!$A:$A,0)),12%)),Shrinkage!F15),IF(G15&lt;IFERROR(INDEX(Instructions!$B:$B,MATCH("Shrinkage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15" s="12">
        <f>IF(H15="","",MAX(0,'FT Wise'!AI15-Q15*(1-(IF(IFERROR(INDEX(Instructions!$B:$B,MATCH("Shrinkage Source",Instructions!$A:$A,0)),"Shrinkage Sheet")="Shrinkage Sheet",IFERROR(IF(Shrinkage!G15="-",IF(H15&lt;IFERROR(INDEX(Instructions!$B:$B,MATCH("Shrinkage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FTEs",Instructions!$A:$A,0)),12%)),Shrinkage!G15),IF(H15&lt;IFERROR(INDEX(Instructions!$B:$B,MATCH("Shrinkage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15" s="12">
        <f>IF(I15="","",MAX(0,'FT Wise'!AJ15-R15*(1-(IF(IFERROR(INDEX(Instructions!$B:$B,MATCH("Shrinkage Source",Instructions!$A:$A,0)),"Shrinkage Sheet")="Shrinkage Sheet",IFERROR(IF(Shrinkage!H15="-",IF(I15&lt;IFERROR(INDEX(Instructions!$B:$B,MATCH("Shrinkage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FTEs",Instructions!$A:$A,0)),12%)),Shrinkage!H15),IF(I15&lt;IFERROR(INDEX(Instructions!$B:$B,MATCH("Shrinkage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15" s="12" t="inlineStr">
        <is>
          <t>11:00</t>
        </is>
      </c>
      <c r="AD15" s="53">
        <f>IFERROR(U15/C15,"")</f>
        <v/>
      </c>
      <c r="AE15" s="53">
        <f>IFERROR(V15/D15,"")</f>
        <v/>
      </c>
      <c r="AF15" s="53">
        <f>IFERROR(W15/E15,"")</f>
        <v/>
      </c>
      <c r="AG15" s="53">
        <f>IFERROR(X15/F15,"")</f>
        <v/>
      </c>
      <c r="AH15" s="53">
        <f>IFERROR(Y15/G15,"")</f>
        <v/>
      </c>
      <c r="AI15" s="53">
        <f>IFERROR(Z15/H15,"")</f>
        <v/>
      </c>
      <c r="AJ15" s="53">
        <f>IFERROR(AA15/I15,"")</f>
        <v/>
      </c>
    </row>
    <row r="16">
      <c r="B16" s="12" t="inlineStr">
        <is>
          <t>12:00</t>
        </is>
      </c>
      <c r="C16" s="12" t="n"/>
      <c r="D16" s="12" t="n"/>
      <c r="E16" s="12" t="n"/>
      <c r="F16" s="12" t="n"/>
      <c r="G16" s="12" t="n"/>
      <c r="H16" s="12" t="n"/>
      <c r="I16" s="12" t="n"/>
      <c r="K16" s="12" t="inlineStr">
        <is>
          <t>12:00</t>
        </is>
      </c>
      <c r="L16" s="12">
        <f>IF(C16="","",SUMIFS('Break Schedule'!$I:$I,'Break Schedule'!$J:$J,"&lt;"&amp;(((0)*24+VALUE(LEFT($B16,2)))+1),'Break Schedule'!$K:$K,"&gt;"&amp;((0)*24+VALUE(LEFT($B16,2)))))</f>
        <v/>
      </c>
      <c r="M16" s="12">
        <f>IF(D16="","",SUMIFS('Break Schedule'!$I:$I,'Break Schedule'!$J:$J,"&lt;"&amp;(((1)*24+VALUE(LEFT($B16,2)))+1),'Break Schedule'!$K:$K,"&gt;"&amp;((1)*24+VALUE(LEFT($B16,2)))))</f>
        <v/>
      </c>
      <c r="N16" s="12">
        <f>IF(E16="","",SUMIFS('Break Schedule'!$I:$I,'Break Schedule'!$J:$J,"&lt;"&amp;(((2)*24+VALUE(LEFT($B16,2)))+1),'Break Schedule'!$K:$K,"&gt;"&amp;((2)*24+VALUE(LEFT($B16,2)))))</f>
        <v/>
      </c>
      <c r="O16" s="12">
        <f>IF(F16="","",SUMIFS('Break Schedule'!$I:$I,'Break Schedule'!$J:$J,"&lt;"&amp;(((3)*24+VALUE(LEFT($B16,2)))+1),'Break Schedule'!$K:$K,"&gt;"&amp;((3)*24+VALUE(LEFT($B16,2)))))</f>
        <v/>
      </c>
      <c r="P16" s="12">
        <f>IF(G16="","",SUMIFS('Break Schedule'!$I:$I,'Break Schedule'!$J:$J,"&lt;"&amp;(((4)*24+VALUE(LEFT($B16,2)))+1),'Break Schedule'!$K:$K,"&gt;"&amp;((4)*24+VALUE(LEFT($B16,2)))))</f>
        <v/>
      </c>
      <c r="Q16" s="12">
        <f>IF(H16="","",SUMIFS('Break Schedule'!$I:$I,'Break Schedule'!$J:$J,"&lt;"&amp;(((5)*24+VALUE(LEFT($B16,2)))+1),'Break Schedule'!$K:$K,"&gt;"&amp;((5)*24+VALUE(LEFT($B16,2)))))</f>
        <v/>
      </c>
      <c r="R16" s="12">
        <f>IF(I16="","",SUMIFS('Break Schedule'!$I:$I,'Break Schedule'!$J:$J,"&lt;"&amp;(((6)*24+VALUE(LEFT($B16,2)))+1),'Break Schedule'!$K:$K,"&gt;"&amp;((6)*24+VALUE(LEFT($B16,2)))))</f>
        <v/>
      </c>
      <c r="T16" s="12" t="inlineStr">
        <is>
          <t>12:00</t>
        </is>
      </c>
      <c r="U16" s="12">
        <f>IF(C16="","",MAX(0,'FT Wise'!AD16-L16*(1-(IF(IFERROR(INDEX(Instructions!$B:$B,MATCH("Shrinkage Source",Instructions!$A:$A,0)),"Shrinkage Sheet")="Shrinkage Sheet",IFERROR(IF(Shrinkage!B16="-",IF(C16&lt;IFERROR(INDEX(Instructions!$B:$B,MATCH("Shrinkage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FTEs",Instructions!$A:$A,0)),12%)),Shrinkage!B16),IF(C16&lt;IFERROR(INDEX(Instructions!$B:$B,MATCH("Shrinkage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16" s="12">
        <f>IF(D16="","",MAX(0,'FT Wise'!AE16-M16*(1-(IF(IFERROR(INDEX(Instructions!$B:$B,MATCH("Shrinkage Source",Instructions!$A:$A,0)),"Shrinkage Sheet")="Shrinkage Sheet",IFERROR(IF(Shrinkage!C16="-",IF(D16&lt;IFERROR(INDEX(Instructions!$B:$B,MATCH("Shrinkage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FTEs",Instructions!$A:$A,0)),12%)),Shrinkage!C16),IF(D16&lt;IFERROR(INDEX(Instructions!$B:$B,MATCH("Shrinkage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16" s="12">
        <f>IF(E16="","",MAX(0,'FT Wise'!AF16-N16*(1-(IF(IFERROR(INDEX(Instructions!$B:$B,MATCH("Shrinkage Source",Instructions!$A:$A,0)),"Shrinkage Sheet")="Shrinkage Sheet",IFERROR(IF(Shrinkage!D16="-",IF(E16&lt;IFERROR(INDEX(Instructions!$B:$B,MATCH("Shrinkage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FTEs",Instructions!$A:$A,0)),12%)),Shrinkage!D16),IF(E16&lt;IFERROR(INDEX(Instructions!$B:$B,MATCH("Shrinkage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16" s="12">
        <f>IF(F16="","",MAX(0,'FT Wise'!AG16-O16*(1-(IF(IFERROR(INDEX(Instructions!$B:$B,MATCH("Shrinkage Source",Instructions!$A:$A,0)),"Shrinkage Sheet")="Shrinkage Sheet",IFERROR(IF(Shrinkage!E16="-",IF(F16&lt;IFERROR(INDEX(Instructions!$B:$B,MATCH("Shrinkage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FTEs",Instructions!$A:$A,0)),12%)),Shrinkage!E16),IF(F16&lt;IFERROR(INDEX(Instructions!$B:$B,MATCH("Shrinkage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16" s="12">
        <f>IF(G16="","",MAX(0,'FT Wise'!AH16-P16*(1-(IF(IFERROR(INDEX(Instructions!$B:$B,MATCH("Shrinkage Source",Instructions!$A:$A,0)),"Shrinkage Sheet")="Shrinkage Sheet",IFERROR(IF(Shrinkage!F16="-",IF(G16&lt;IFERROR(INDEX(Instructions!$B:$B,MATCH("Shrinkage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FTEs",Instructions!$A:$A,0)),12%)),Shrinkage!F16),IF(G16&lt;IFERROR(INDEX(Instructions!$B:$B,MATCH("Shrinkage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16" s="12">
        <f>IF(H16="","",MAX(0,'FT Wise'!AI16-Q16*(1-(IF(IFERROR(INDEX(Instructions!$B:$B,MATCH("Shrinkage Source",Instructions!$A:$A,0)),"Shrinkage Sheet")="Shrinkage Sheet",IFERROR(IF(Shrinkage!G16="-",IF(H16&lt;IFERROR(INDEX(Instructions!$B:$B,MATCH("Shrinkage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FTEs",Instructions!$A:$A,0)),12%)),Shrinkage!G16),IF(H16&lt;IFERROR(INDEX(Instructions!$B:$B,MATCH("Shrinkage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16" s="12">
        <f>IF(I16="","",MAX(0,'FT Wise'!AJ16-R16*(1-(IF(IFERROR(INDEX(Instructions!$B:$B,MATCH("Shrinkage Source",Instructions!$A:$A,0)),"Shrinkage Sheet")="Shrinkage Sheet",IFERROR(IF(Shrinkage!H16="-",IF(I16&lt;IFERROR(INDEX(Instructions!$B:$B,MATCH("Shrinkage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FTEs",Instructions!$A:$A,0)),12%)),Shrinkage!H16),IF(I16&lt;IFERROR(INDEX(Instructions!$B:$B,MATCH("Shrinkage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16" s="12" t="inlineStr">
        <is>
          <t>12:00</t>
        </is>
      </c>
      <c r="AD16" s="53">
        <f>IFERROR(U16/C16,"")</f>
        <v/>
      </c>
      <c r="AE16" s="53">
        <f>IFERROR(V16/D16,"")</f>
        <v/>
      </c>
      <c r="AF16" s="53">
        <f>IFERROR(W16/E16,"")</f>
        <v/>
      </c>
      <c r="AG16" s="53">
        <f>IFERROR(X16/F16,"")</f>
        <v/>
      </c>
      <c r="AH16" s="53">
        <f>IFERROR(Y16/G16,"")</f>
        <v/>
      </c>
      <c r="AI16" s="53">
        <f>IFERROR(Z16/H16,"")</f>
        <v/>
      </c>
      <c r="AJ16" s="53">
        <f>IFERROR(AA16/I16,"")</f>
        <v/>
      </c>
    </row>
    <row r="17">
      <c r="B17" s="12" t="inlineStr">
        <is>
          <t>13:00</t>
        </is>
      </c>
      <c r="C17" s="12" t="n"/>
      <c r="D17" s="12" t="n"/>
      <c r="E17" s="12" t="n"/>
      <c r="F17" s="12" t="n"/>
      <c r="G17" s="12" t="n"/>
      <c r="H17" s="12" t="n"/>
      <c r="I17" s="12" t="n"/>
      <c r="K17" s="12" t="inlineStr">
        <is>
          <t>13:00</t>
        </is>
      </c>
      <c r="L17" s="12">
        <f>IF(C17="","",SUMIFS('Break Schedule'!$I:$I,'Break Schedule'!$J:$J,"&lt;"&amp;(((0)*24+VALUE(LEFT($B17,2)))+1),'Break Schedule'!$K:$K,"&gt;"&amp;((0)*24+VALUE(LEFT($B17,2)))))</f>
        <v/>
      </c>
      <c r="M17" s="12">
        <f>IF(D17="","",SUMIFS('Break Schedule'!$I:$I,'Break Schedule'!$J:$J,"&lt;"&amp;(((1)*24+VALUE(LEFT($B17,2)))+1),'Break Schedule'!$K:$K,"&gt;"&amp;((1)*24+VALUE(LEFT($B17,2)))))</f>
        <v/>
      </c>
      <c r="N17" s="12">
        <f>IF(E17="","",SUMIFS('Break Schedule'!$I:$I,'Break Schedule'!$J:$J,"&lt;"&amp;(((2)*24+VALUE(LEFT($B17,2)))+1),'Break Schedule'!$K:$K,"&gt;"&amp;((2)*24+VALUE(LEFT($B17,2)))))</f>
        <v/>
      </c>
      <c r="O17" s="12">
        <f>IF(F17="","",SUMIFS('Break Schedule'!$I:$I,'Break Schedule'!$J:$J,"&lt;"&amp;(((3)*24+VALUE(LEFT($B17,2)))+1),'Break Schedule'!$K:$K,"&gt;"&amp;((3)*24+VALUE(LEFT($B17,2)))))</f>
        <v/>
      </c>
      <c r="P17" s="12">
        <f>IF(G17="","",SUMIFS('Break Schedule'!$I:$I,'Break Schedule'!$J:$J,"&lt;"&amp;(((4)*24+VALUE(LEFT($B17,2)))+1),'Break Schedule'!$K:$K,"&gt;"&amp;((4)*24+VALUE(LEFT($B17,2)))))</f>
        <v/>
      </c>
      <c r="Q17" s="12">
        <f>IF(H17="","",SUMIFS('Break Schedule'!$I:$I,'Break Schedule'!$J:$J,"&lt;"&amp;(((5)*24+VALUE(LEFT($B17,2)))+1),'Break Schedule'!$K:$K,"&gt;"&amp;((5)*24+VALUE(LEFT($B17,2)))))</f>
        <v/>
      </c>
      <c r="R17" s="12">
        <f>IF(I17="","",SUMIFS('Break Schedule'!$I:$I,'Break Schedule'!$J:$J,"&lt;"&amp;(((6)*24+VALUE(LEFT($B17,2)))+1),'Break Schedule'!$K:$K,"&gt;"&amp;((6)*24+VALUE(LEFT($B17,2)))))</f>
        <v/>
      </c>
      <c r="T17" s="12" t="inlineStr">
        <is>
          <t>13:00</t>
        </is>
      </c>
      <c r="U17" s="12">
        <f>IF(C17="","",MAX(0,'FT Wise'!AD17-L17*(1-(IF(IFERROR(INDEX(Instructions!$B:$B,MATCH("Shrinkage Source",Instructions!$A:$A,0)),"Shrinkage Sheet")="Shrinkage Sheet",IFERROR(IF(Shrinkage!B17="-",IF(C17&lt;IFERROR(INDEX(Instructions!$B:$B,MATCH("Shrinkage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FTEs",Instructions!$A:$A,0)),12%)),Shrinkage!B17),IF(C17&lt;IFERROR(INDEX(Instructions!$B:$B,MATCH("Shrinkage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17" s="12">
        <f>IF(D17="","",MAX(0,'FT Wise'!AE17-M17*(1-(IF(IFERROR(INDEX(Instructions!$B:$B,MATCH("Shrinkage Source",Instructions!$A:$A,0)),"Shrinkage Sheet")="Shrinkage Sheet",IFERROR(IF(Shrinkage!C17="-",IF(D17&lt;IFERROR(INDEX(Instructions!$B:$B,MATCH("Shrinkage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FTEs",Instructions!$A:$A,0)),12%)),Shrinkage!C17),IF(D17&lt;IFERROR(INDEX(Instructions!$B:$B,MATCH("Shrinkage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17" s="12">
        <f>IF(E17="","",MAX(0,'FT Wise'!AF17-N17*(1-(IF(IFERROR(INDEX(Instructions!$B:$B,MATCH("Shrinkage Source",Instructions!$A:$A,0)),"Shrinkage Sheet")="Shrinkage Sheet",IFERROR(IF(Shrinkage!D17="-",IF(E17&lt;IFERROR(INDEX(Instructions!$B:$B,MATCH("Shrinkage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FTEs",Instructions!$A:$A,0)),12%)),Shrinkage!D17),IF(E17&lt;IFERROR(INDEX(Instructions!$B:$B,MATCH("Shrinkage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17" s="12">
        <f>IF(F17="","",MAX(0,'FT Wise'!AG17-O17*(1-(IF(IFERROR(INDEX(Instructions!$B:$B,MATCH("Shrinkage Source",Instructions!$A:$A,0)),"Shrinkage Sheet")="Shrinkage Sheet",IFERROR(IF(Shrinkage!E17="-",IF(F17&lt;IFERROR(INDEX(Instructions!$B:$B,MATCH("Shrinkage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FTEs",Instructions!$A:$A,0)),12%)),Shrinkage!E17),IF(F17&lt;IFERROR(INDEX(Instructions!$B:$B,MATCH("Shrinkage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17" s="12">
        <f>IF(G17="","",MAX(0,'FT Wise'!AH17-P17*(1-(IF(IFERROR(INDEX(Instructions!$B:$B,MATCH("Shrinkage Source",Instructions!$A:$A,0)),"Shrinkage Sheet")="Shrinkage Sheet",IFERROR(IF(Shrinkage!F17="-",IF(G17&lt;IFERROR(INDEX(Instructions!$B:$B,MATCH("Shrinkage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FTEs",Instructions!$A:$A,0)),12%)),Shrinkage!F17),IF(G17&lt;IFERROR(INDEX(Instructions!$B:$B,MATCH("Shrinkage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17" s="12">
        <f>IF(H17="","",MAX(0,'FT Wise'!AI17-Q17*(1-(IF(IFERROR(INDEX(Instructions!$B:$B,MATCH("Shrinkage Source",Instructions!$A:$A,0)),"Shrinkage Sheet")="Shrinkage Sheet",IFERROR(IF(Shrinkage!G17="-",IF(H17&lt;IFERROR(INDEX(Instructions!$B:$B,MATCH("Shrinkage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FTEs",Instructions!$A:$A,0)),12%)),Shrinkage!G17),IF(H17&lt;IFERROR(INDEX(Instructions!$B:$B,MATCH("Shrinkage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17" s="12">
        <f>IF(I17="","",MAX(0,'FT Wise'!AJ17-R17*(1-(IF(IFERROR(INDEX(Instructions!$B:$B,MATCH("Shrinkage Source",Instructions!$A:$A,0)),"Shrinkage Sheet")="Shrinkage Sheet",IFERROR(IF(Shrinkage!H17="-",IF(I17&lt;IFERROR(INDEX(Instructions!$B:$B,MATCH("Shrinkage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FTEs",Instructions!$A:$A,0)),12%)),Shrinkage!H17),IF(I17&lt;IFERROR(INDEX(Instructions!$B:$B,MATCH("Shrinkage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17" s="12" t="inlineStr">
        <is>
          <t>13:00</t>
        </is>
      </c>
      <c r="AD17" s="53">
        <f>IFERROR(U17/C17,"")</f>
        <v/>
      </c>
      <c r="AE17" s="53">
        <f>IFERROR(V17/D17,"")</f>
        <v/>
      </c>
      <c r="AF17" s="53">
        <f>IFERROR(W17/E17,"")</f>
        <v/>
      </c>
      <c r="AG17" s="53">
        <f>IFERROR(X17/F17,"")</f>
        <v/>
      </c>
      <c r="AH17" s="53">
        <f>IFERROR(Y17/G17,"")</f>
        <v/>
      </c>
      <c r="AI17" s="53">
        <f>IFERROR(Z17/H17,"")</f>
        <v/>
      </c>
      <c r="AJ17" s="53">
        <f>IFERROR(AA17/I17,"")</f>
        <v/>
      </c>
    </row>
    <row r="18">
      <c r="B18" s="12" t="inlineStr">
        <is>
          <t>14:00</t>
        </is>
      </c>
      <c r="C18" s="12" t="n"/>
      <c r="D18" s="12" t="n"/>
      <c r="E18" s="12" t="n"/>
      <c r="F18" s="12" t="n"/>
      <c r="G18" s="12" t="n"/>
      <c r="H18" s="12" t="n"/>
      <c r="I18" s="12" t="n"/>
      <c r="K18" s="12" t="inlineStr">
        <is>
          <t>14:00</t>
        </is>
      </c>
      <c r="L18" s="12">
        <f>IF(C18="","",SUMIFS('Break Schedule'!$I:$I,'Break Schedule'!$J:$J,"&lt;"&amp;(((0)*24+VALUE(LEFT($B18,2)))+1),'Break Schedule'!$K:$K,"&gt;"&amp;((0)*24+VALUE(LEFT($B18,2)))))</f>
        <v/>
      </c>
      <c r="M18" s="12">
        <f>IF(D18="","",SUMIFS('Break Schedule'!$I:$I,'Break Schedule'!$J:$J,"&lt;"&amp;(((1)*24+VALUE(LEFT($B18,2)))+1),'Break Schedule'!$K:$K,"&gt;"&amp;((1)*24+VALUE(LEFT($B18,2)))))</f>
        <v/>
      </c>
      <c r="N18" s="12">
        <f>IF(E18="","",SUMIFS('Break Schedule'!$I:$I,'Break Schedule'!$J:$J,"&lt;"&amp;(((2)*24+VALUE(LEFT($B18,2)))+1),'Break Schedule'!$K:$K,"&gt;"&amp;((2)*24+VALUE(LEFT($B18,2)))))</f>
        <v/>
      </c>
      <c r="O18" s="12">
        <f>IF(F18="","",SUMIFS('Break Schedule'!$I:$I,'Break Schedule'!$J:$J,"&lt;"&amp;(((3)*24+VALUE(LEFT($B18,2)))+1),'Break Schedule'!$K:$K,"&gt;"&amp;((3)*24+VALUE(LEFT($B18,2)))))</f>
        <v/>
      </c>
      <c r="P18" s="12">
        <f>IF(G18="","",SUMIFS('Break Schedule'!$I:$I,'Break Schedule'!$J:$J,"&lt;"&amp;(((4)*24+VALUE(LEFT($B18,2)))+1),'Break Schedule'!$K:$K,"&gt;"&amp;((4)*24+VALUE(LEFT($B18,2)))))</f>
        <v/>
      </c>
      <c r="Q18" s="12">
        <f>IF(H18="","",SUMIFS('Break Schedule'!$I:$I,'Break Schedule'!$J:$J,"&lt;"&amp;(((5)*24+VALUE(LEFT($B18,2)))+1),'Break Schedule'!$K:$K,"&gt;"&amp;((5)*24+VALUE(LEFT($B18,2)))))</f>
        <v/>
      </c>
      <c r="R18" s="12">
        <f>IF(I18="","",SUMIFS('Break Schedule'!$I:$I,'Break Schedule'!$J:$J,"&lt;"&amp;(((6)*24+VALUE(LEFT($B18,2)))+1),'Break Schedule'!$K:$K,"&gt;"&amp;((6)*24+VALUE(LEFT($B18,2)))))</f>
        <v/>
      </c>
      <c r="T18" s="12" t="inlineStr">
        <is>
          <t>14:00</t>
        </is>
      </c>
      <c r="U18" s="12">
        <f>IF(C18="","",MAX(0,'FT Wise'!AD18-L18*(1-(IF(IFERROR(INDEX(Instructions!$B:$B,MATCH("Shrinkage Source",Instructions!$A:$A,0)),"Shrinkage Sheet")="Shrinkage Sheet",IFERROR(IF(Shrinkage!B18="-",IF(C18&lt;IFERROR(INDEX(Instructions!$B:$B,MATCH("Shrinkage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FTEs",Instructions!$A:$A,0)),12%)),Shrinkage!B18),IF(C18&lt;IFERROR(INDEX(Instructions!$B:$B,MATCH("Shrinkage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18" s="12">
        <f>IF(D18="","",MAX(0,'FT Wise'!AE18-M18*(1-(IF(IFERROR(INDEX(Instructions!$B:$B,MATCH("Shrinkage Source",Instructions!$A:$A,0)),"Shrinkage Sheet")="Shrinkage Sheet",IFERROR(IF(Shrinkage!C18="-",IF(D18&lt;IFERROR(INDEX(Instructions!$B:$B,MATCH("Shrinkage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FTEs",Instructions!$A:$A,0)),12%)),Shrinkage!C18),IF(D18&lt;IFERROR(INDEX(Instructions!$B:$B,MATCH("Shrinkage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18" s="12">
        <f>IF(E18="","",MAX(0,'FT Wise'!AF18-N18*(1-(IF(IFERROR(INDEX(Instructions!$B:$B,MATCH("Shrinkage Source",Instructions!$A:$A,0)),"Shrinkage Sheet")="Shrinkage Sheet",IFERROR(IF(Shrinkage!D18="-",IF(E18&lt;IFERROR(INDEX(Instructions!$B:$B,MATCH("Shrinkage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FTEs",Instructions!$A:$A,0)),12%)),Shrinkage!D18),IF(E18&lt;IFERROR(INDEX(Instructions!$B:$B,MATCH("Shrinkage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18" s="12">
        <f>IF(F18="","",MAX(0,'FT Wise'!AG18-O18*(1-(IF(IFERROR(INDEX(Instructions!$B:$B,MATCH("Shrinkage Source",Instructions!$A:$A,0)),"Shrinkage Sheet")="Shrinkage Sheet",IFERROR(IF(Shrinkage!E18="-",IF(F18&lt;IFERROR(INDEX(Instructions!$B:$B,MATCH("Shrinkage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FTEs",Instructions!$A:$A,0)),12%)),Shrinkage!E18),IF(F18&lt;IFERROR(INDEX(Instructions!$B:$B,MATCH("Shrinkage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18" s="12">
        <f>IF(G18="","",MAX(0,'FT Wise'!AH18-P18*(1-(IF(IFERROR(INDEX(Instructions!$B:$B,MATCH("Shrinkage Source",Instructions!$A:$A,0)),"Shrinkage Sheet")="Shrinkage Sheet",IFERROR(IF(Shrinkage!F18="-",IF(G18&lt;IFERROR(INDEX(Instructions!$B:$B,MATCH("Shrinkage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FTEs",Instructions!$A:$A,0)),12%)),Shrinkage!F18),IF(G18&lt;IFERROR(INDEX(Instructions!$B:$B,MATCH("Shrinkage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18" s="12">
        <f>IF(H18="","",MAX(0,'FT Wise'!AI18-Q18*(1-(IF(IFERROR(INDEX(Instructions!$B:$B,MATCH("Shrinkage Source",Instructions!$A:$A,0)),"Shrinkage Sheet")="Shrinkage Sheet",IFERROR(IF(Shrinkage!G18="-",IF(H18&lt;IFERROR(INDEX(Instructions!$B:$B,MATCH("Shrinkage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FTEs",Instructions!$A:$A,0)),12%)),Shrinkage!G18),IF(H18&lt;IFERROR(INDEX(Instructions!$B:$B,MATCH("Shrinkage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18" s="12">
        <f>IF(I18="","",MAX(0,'FT Wise'!AJ18-R18*(1-(IF(IFERROR(INDEX(Instructions!$B:$B,MATCH("Shrinkage Source",Instructions!$A:$A,0)),"Shrinkage Sheet")="Shrinkage Sheet",IFERROR(IF(Shrinkage!H18="-",IF(I18&lt;IFERROR(INDEX(Instructions!$B:$B,MATCH("Shrinkage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FTEs",Instructions!$A:$A,0)),12%)),Shrinkage!H18),IF(I18&lt;IFERROR(INDEX(Instructions!$B:$B,MATCH("Shrinkage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18" s="12" t="inlineStr">
        <is>
          <t>14:00</t>
        </is>
      </c>
      <c r="AD18" s="53">
        <f>IFERROR(U18/C18,"")</f>
        <v/>
      </c>
      <c r="AE18" s="53">
        <f>IFERROR(V18/D18,"")</f>
        <v/>
      </c>
      <c r="AF18" s="53">
        <f>IFERROR(W18/E18,"")</f>
        <v/>
      </c>
      <c r="AG18" s="53">
        <f>IFERROR(X18/F18,"")</f>
        <v/>
      </c>
      <c r="AH18" s="53">
        <f>IFERROR(Y18/G18,"")</f>
        <v/>
      </c>
      <c r="AI18" s="53">
        <f>IFERROR(Z18/H18,"")</f>
        <v/>
      </c>
      <c r="AJ18" s="53">
        <f>IFERROR(AA18/I18,"")</f>
        <v/>
      </c>
    </row>
    <row r="19">
      <c r="B19" s="12" t="inlineStr">
        <is>
          <t>15:00</t>
        </is>
      </c>
      <c r="C19" s="12" t="n"/>
      <c r="D19" s="12" t="n"/>
      <c r="E19" s="12" t="n"/>
      <c r="F19" s="12" t="n"/>
      <c r="G19" s="12" t="n"/>
      <c r="H19" s="12" t="n"/>
      <c r="I19" s="12" t="n"/>
      <c r="K19" s="12" t="inlineStr">
        <is>
          <t>15:00</t>
        </is>
      </c>
      <c r="L19" s="12">
        <f>IF(C19="","",SUMIFS('Break Schedule'!$I:$I,'Break Schedule'!$J:$J,"&lt;"&amp;(((0)*24+VALUE(LEFT($B19,2)))+1),'Break Schedule'!$K:$K,"&gt;"&amp;((0)*24+VALUE(LEFT($B19,2)))))</f>
        <v/>
      </c>
      <c r="M19" s="12">
        <f>IF(D19="","",SUMIFS('Break Schedule'!$I:$I,'Break Schedule'!$J:$J,"&lt;"&amp;(((1)*24+VALUE(LEFT($B19,2)))+1),'Break Schedule'!$K:$K,"&gt;"&amp;((1)*24+VALUE(LEFT($B19,2)))))</f>
        <v/>
      </c>
      <c r="N19" s="12">
        <f>IF(E19="","",SUMIFS('Break Schedule'!$I:$I,'Break Schedule'!$J:$J,"&lt;"&amp;(((2)*24+VALUE(LEFT($B19,2)))+1),'Break Schedule'!$K:$K,"&gt;"&amp;((2)*24+VALUE(LEFT($B19,2)))))</f>
        <v/>
      </c>
      <c r="O19" s="12">
        <f>IF(F19="","",SUMIFS('Break Schedule'!$I:$I,'Break Schedule'!$J:$J,"&lt;"&amp;(((3)*24+VALUE(LEFT($B19,2)))+1),'Break Schedule'!$K:$K,"&gt;"&amp;((3)*24+VALUE(LEFT($B19,2)))))</f>
        <v/>
      </c>
      <c r="P19" s="12">
        <f>IF(G19="","",SUMIFS('Break Schedule'!$I:$I,'Break Schedule'!$J:$J,"&lt;"&amp;(((4)*24+VALUE(LEFT($B19,2)))+1),'Break Schedule'!$K:$K,"&gt;"&amp;((4)*24+VALUE(LEFT($B19,2)))))</f>
        <v/>
      </c>
      <c r="Q19" s="12">
        <f>IF(H19="","",SUMIFS('Break Schedule'!$I:$I,'Break Schedule'!$J:$J,"&lt;"&amp;(((5)*24+VALUE(LEFT($B19,2)))+1),'Break Schedule'!$K:$K,"&gt;"&amp;((5)*24+VALUE(LEFT($B19,2)))))</f>
        <v/>
      </c>
      <c r="R19" s="12">
        <f>IF(I19="","",SUMIFS('Break Schedule'!$I:$I,'Break Schedule'!$J:$J,"&lt;"&amp;(((6)*24+VALUE(LEFT($B19,2)))+1),'Break Schedule'!$K:$K,"&gt;"&amp;((6)*24+VALUE(LEFT($B19,2)))))</f>
        <v/>
      </c>
      <c r="T19" s="12" t="inlineStr">
        <is>
          <t>15:00</t>
        </is>
      </c>
      <c r="U19" s="12">
        <f>IF(C19="","",MAX(0,'FT Wise'!AD19-L19*(1-(IF(IFERROR(INDEX(Instructions!$B:$B,MATCH("Shrinkage Source",Instructions!$A:$A,0)),"Shrinkage Sheet")="Shrinkage Sheet",IFERROR(IF(Shrinkage!B19="-",IF(C19&lt;IFERROR(INDEX(Instructions!$B:$B,MATCH("Shrinkage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FTEs",Instructions!$A:$A,0)),12%)),Shrinkage!B19),IF(C19&lt;IFERROR(INDEX(Instructions!$B:$B,MATCH("Shrinkage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19" s="12">
        <f>IF(D19="","",MAX(0,'FT Wise'!AE19-M19*(1-(IF(IFERROR(INDEX(Instructions!$B:$B,MATCH("Shrinkage Source",Instructions!$A:$A,0)),"Shrinkage Sheet")="Shrinkage Sheet",IFERROR(IF(Shrinkage!C19="-",IF(D19&lt;IFERROR(INDEX(Instructions!$B:$B,MATCH("Shrinkage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FTEs",Instructions!$A:$A,0)),12%)),Shrinkage!C19),IF(D19&lt;IFERROR(INDEX(Instructions!$B:$B,MATCH("Shrinkage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19" s="12">
        <f>IF(E19="","",MAX(0,'FT Wise'!AF19-N19*(1-(IF(IFERROR(INDEX(Instructions!$B:$B,MATCH("Shrinkage Source",Instructions!$A:$A,0)),"Shrinkage Sheet")="Shrinkage Sheet",IFERROR(IF(Shrinkage!D19="-",IF(E19&lt;IFERROR(INDEX(Instructions!$B:$B,MATCH("Shrinkage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FTEs",Instructions!$A:$A,0)),12%)),Shrinkage!D19),IF(E19&lt;IFERROR(INDEX(Instructions!$B:$B,MATCH("Shrinkage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19" s="12">
        <f>IF(F19="","",MAX(0,'FT Wise'!AG19-O19*(1-(IF(IFERROR(INDEX(Instructions!$B:$B,MATCH("Shrinkage Source",Instructions!$A:$A,0)),"Shrinkage Sheet")="Shrinkage Sheet",IFERROR(IF(Shrinkage!E19="-",IF(F19&lt;IFERROR(INDEX(Instructions!$B:$B,MATCH("Shrinkage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FTEs",Instructions!$A:$A,0)),12%)),Shrinkage!E19),IF(F19&lt;IFERROR(INDEX(Instructions!$B:$B,MATCH("Shrinkage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19" s="12">
        <f>IF(G19="","",MAX(0,'FT Wise'!AH19-P19*(1-(IF(IFERROR(INDEX(Instructions!$B:$B,MATCH("Shrinkage Source",Instructions!$A:$A,0)),"Shrinkage Sheet")="Shrinkage Sheet",IFERROR(IF(Shrinkage!F19="-",IF(G19&lt;IFERROR(INDEX(Instructions!$B:$B,MATCH("Shrinkage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FTEs",Instructions!$A:$A,0)),12%)),Shrinkage!F19),IF(G19&lt;IFERROR(INDEX(Instructions!$B:$B,MATCH("Shrinkage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19" s="12">
        <f>IF(H19="","",MAX(0,'FT Wise'!AI19-Q19*(1-(IF(IFERROR(INDEX(Instructions!$B:$B,MATCH("Shrinkage Source",Instructions!$A:$A,0)),"Shrinkage Sheet")="Shrinkage Sheet",IFERROR(IF(Shrinkage!G19="-",IF(H19&lt;IFERROR(INDEX(Instructions!$B:$B,MATCH("Shrinkage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FTEs",Instructions!$A:$A,0)),12%)),Shrinkage!G19),IF(H19&lt;IFERROR(INDEX(Instructions!$B:$B,MATCH("Shrinkage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19" s="12">
        <f>IF(I19="","",MAX(0,'FT Wise'!AJ19-R19*(1-(IF(IFERROR(INDEX(Instructions!$B:$B,MATCH("Shrinkage Source",Instructions!$A:$A,0)),"Shrinkage Sheet")="Shrinkage Sheet",IFERROR(IF(Shrinkage!H19="-",IF(I19&lt;IFERROR(INDEX(Instructions!$B:$B,MATCH("Shrinkage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FTEs",Instructions!$A:$A,0)),12%)),Shrinkage!H19),IF(I19&lt;IFERROR(INDEX(Instructions!$B:$B,MATCH("Shrinkage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19" s="12" t="inlineStr">
        <is>
          <t>15:00</t>
        </is>
      </c>
      <c r="AD19" s="53">
        <f>IFERROR(U19/C19,"")</f>
        <v/>
      </c>
      <c r="AE19" s="53">
        <f>IFERROR(V19/D19,"")</f>
        <v/>
      </c>
      <c r="AF19" s="53">
        <f>IFERROR(W19/E19,"")</f>
        <v/>
      </c>
      <c r="AG19" s="53">
        <f>IFERROR(X19/F19,"")</f>
        <v/>
      </c>
      <c r="AH19" s="53">
        <f>IFERROR(Y19/G19,"")</f>
        <v/>
      </c>
      <c r="AI19" s="53">
        <f>IFERROR(Z19/H19,"")</f>
        <v/>
      </c>
      <c r="AJ19" s="53">
        <f>IFERROR(AA19/I19,"")</f>
        <v/>
      </c>
    </row>
    <row r="20">
      <c r="B20" s="12" t="inlineStr">
        <is>
          <t>16:00</t>
        </is>
      </c>
      <c r="C20" s="12" t="n"/>
      <c r="D20" s="12" t="n"/>
      <c r="E20" s="12" t="n"/>
      <c r="F20" s="12" t="n"/>
      <c r="G20" s="12" t="n"/>
      <c r="H20" s="12" t="n"/>
      <c r="I20" s="12" t="n"/>
      <c r="K20" s="12" t="inlineStr">
        <is>
          <t>16:00</t>
        </is>
      </c>
      <c r="L20" s="12">
        <f>IF(C20="","",SUMIFS('Break Schedule'!$I:$I,'Break Schedule'!$J:$J,"&lt;"&amp;(((0)*24+VALUE(LEFT($B20,2)))+1),'Break Schedule'!$K:$K,"&gt;"&amp;((0)*24+VALUE(LEFT($B20,2)))))</f>
        <v/>
      </c>
      <c r="M20" s="12">
        <f>IF(D20="","",SUMIFS('Break Schedule'!$I:$I,'Break Schedule'!$J:$J,"&lt;"&amp;(((1)*24+VALUE(LEFT($B20,2)))+1),'Break Schedule'!$K:$K,"&gt;"&amp;((1)*24+VALUE(LEFT($B20,2)))))</f>
        <v/>
      </c>
      <c r="N20" s="12">
        <f>IF(E20="","",SUMIFS('Break Schedule'!$I:$I,'Break Schedule'!$J:$J,"&lt;"&amp;(((2)*24+VALUE(LEFT($B20,2)))+1),'Break Schedule'!$K:$K,"&gt;"&amp;((2)*24+VALUE(LEFT($B20,2)))))</f>
        <v/>
      </c>
      <c r="O20" s="12">
        <f>IF(F20="","",SUMIFS('Break Schedule'!$I:$I,'Break Schedule'!$J:$J,"&lt;"&amp;(((3)*24+VALUE(LEFT($B20,2)))+1),'Break Schedule'!$K:$K,"&gt;"&amp;((3)*24+VALUE(LEFT($B20,2)))))</f>
        <v/>
      </c>
      <c r="P20" s="12">
        <f>IF(G20="","",SUMIFS('Break Schedule'!$I:$I,'Break Schedule'!$J:$J,"&lt;"&amp;(((4)*24+VALUE(LEFT($B20,2)))+1),'Break Schedule'!$K:$K,"&gt;"&amp;((4)*24+VALUE(LEFT($B20,2)))))</f>
        <v/>
      </c>
      <c r="Q20" s="12">
        <f>IF(H20="","",SUMIFS('Break Schedule'!$I:$I,'Break Schedule'!$J:$J,"&lt;"&amp;(((5)*24+VALUE(LEFT($B20,2)))+1),'Break Schedule'!$K:$K,"&gt;"&amp;((5)*24+VALUE(LEFT($B20,2)))))</f>
        <v/>
      </c>
      <c r="R20" s="12">
        <f>IF(I20="","",SUMIFS('Break Schedule'!$I:$I,'Break Schedule'!$J:$J,"&lt;"&amp;(((6)*24+VALUE(LEFT($B20,2)))+1),'Break Schedule'!$K:$K,"&gt;"&amp;((6)*24+VALUE(LEFT($B20,2)))))</f>
        <v/>
      </c>
      <c r="T20" s="12" t="inlineStr">
        <is>
          <t>16:00</t>
        </is>
      </c>
      <c r="U20" s="12">
        <f>IF(C20="","",MAX(0,'FT Wise'!AD20-L20*(1-(IF(IFERROR(INDEX(Instructions!$B:$B,MATCH("Shrinkage Source",Instructions!$A:$A,0)),"Shrinkage Sheet")="Shrinkage Sheet",IFERROR(IF(Shrinkage!B20="-",IF(C20&lt;IFERROR(INDEX(Instructions!$B:$B,MATCH("Shrinkage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FTEs",Instructions!$A:$A,0)),12%)),Shrinkage!B20),IF(C20&lt;IFERROR(INDEX(Instructions!$B:$B,MATCH("Shrinkage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20" s="12">
        <f>IF(D20="","",MAX(0,'FT Wise'!AE20-M20*(1-(IF(IFERROR(INDEX(Instructions!$B:$B,MATCH("Shrinkage Source",Instructions!$A:$A,0)),"Shrinkage Sheet")="Shrinkage Sheet",IFERROR(IF(Shrinkage!C20="-",IF(D20&lt;IFERROR(INDEX(Instructions!$B:$B,MATCH("Shrinkage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FTEs",Instructions!$A:$A,0)),12%)),Shrinkage!C20),IF(D20&lt;IFERROR(INDEX(Instructions!$B:$B,MATCH("Shrinkage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20" s="12">
        <f>IF(E20="","",MAX(0,'FT Wise'!AF20-N20*(1-(IF(IFERROR(INDEX(Instructions!$B:$B,MATCH("Shrinkage Source",Instructions!$A:$A,0)),"Shrinkage Sheet")="Shrinkage Sheet",IFERROR(IF(Shrinkage!D20="-",IF(E20&lt;IFERROR(INDEX(Instructions!$B:$B,MATCH("Shrinkage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FTEs",Instructions!$A:$A,0)),12%)),Shrinkage!D20),IF(E20&lt;IFERROR(INDEX(Instructions!$B:$B,MATCH("Shrinkage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20" s="12">
        <f>IF(F20="","",MAX(0,'FT Wise'!AG20-O20*(1-(IF(IFERROR(INDEX(Instructions!$B:$B,MATCH("Shrinkage Source",Instructions!$A:$A,0)),"Shrinkage Sheet")="Shrinkage Sheet",IFERROR(IF(Shrinkage!E20="-",IF(F20&lt;IFERROR(INDEX(Instructions!$B:$B,MATCH("Shrinkage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FTEs",Instructions!$A:$A,0)),12%)),Shrinkage!E20),IF(F20&lt;IFERROR(INDEX(Instructions!$B:$B,MATCH("Shrinkage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20" s="12">
        <f>IF(G20="","",MAX(0,'FT Wise'!AH20-P20*(1-(IF(IFERROR(INDEX(Instructions!$B:$B,MATCH("Shrinkage Source",Instructions!$A:$A,0)),"Shrinkage Sheet")="Shrinkage Sheet",IFERROR(IF(Shrinkage!F20="-",IF(G20&lt;IFERROR(INDEX(Instructions!$B:$B,MATCH("Shrinkage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FTEs",Instructions!$A:$A,0)),12%)),Shrinkage!F20),IF(G20&lt;IFERROR(INDEX(Instructions!$B:$B,MATCH("Shrinkage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20" s="12">
        <f>IF(H20="","",MAX(0,'FT Wise'!AI20-Q20*(1-(IF(IFERROR(INDEX(Instructions!$B:$B,MATCH("Shrinkage Source",Instructions!$A:$A,0)),"Shrinkage Sheet")="Shrinkage Sheet",IFERROR(IF(Shrinkage!G20="-",IF(H20&lt;IFERROR(INDEX(Instructions!$B:$B,MATCH("Shrinkage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FTEs",Instructions!$A:$A,0)),12%)),Shrinkage!G20),IF(H20&lt;IFERROR(INDEX(Instructions!$B:$B,MATCH("Shrinkage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20" s="12">
        <f>IF(I20="","",MAX(0,'FT Wise'!AJ20-R20*(1-(IF(IFERROR(INDEX(Instructions!$B:$B,MATCH("Shrinkage Source",Instructions!$A:$A,0)),"Shrinkage Sheet")="Shrinkage Sheet",IFERROR(IF(Shrinkage!H20="-",IF(I20&lt;IFERROR(INDEX(Instructions!$B:$B,MATCH("Shrinkage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FTEs",Instructions!$A:$A,0)),12%)),Shrinkage!H20),IF(I20&lt;IFERROR(INDEX(Instructions!$B:$B,MATCH("Shrinkage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20" s="12" t="inlineStr">
        <is>
          <t>16:00</t>
        </is>
      </c>
      <c r="AD20" s="53">
        <f>IFERROR(U20/C20,"")</f>
        <v/>
      </c>
      <c r="AE20" s="53">
        <f>IFERROR(V20/D20,"")</f>
        <v/>
      </c>
      <c r="AF20" s="53">
        <f>IFERROR(W20/E20,"")</f>
        <v/>
      </c>
      <c r="AG20" s="53">
        <f>IFERROR(X20/F20,"")</f>
        <v/>
      </c>
      <c r="AH20" s="53">
        <f>IFERROR(Y20/G20,"")</f>
        <v/>
      </c>
      <c r="AI20" s="53">
        <f>IFERROR(Z20/H20,"")</f>
        <v/>
      </c>
      <c r="AJ20" s="53">
        <f>IFERROR(AA20/I20,"")</f>
        <v/>
      </c>
    </row>
    <row r="21">
      <c r="B21" s="12" t="inlineStr">
        <is>
          <t>17:00</t>
        </is>
      </c>
      <c r="C21" s="12" t="n"/>
      <c r="D21" s="12" t="n"/>
      <c r="E21" s="12" t="n"/>
      <c r="F21" s="12" t="n"/>
      <c r="G21" s="12" t="n"/>
      <c r="H21" s="12" t="n"/>
      <c r="I21" s="12" t="n"/>
      <c r="K21" s="12" t="inlineStr">
        <is>
          <t>17:00</t>
        </is>
      </c>
      <c r="L21" s="12">
        <f>IF(C21="","",SUMIFS('Break Schedule'!$I:$I,'Break Schedule'!$J:$J,"&lt;"&amp;(((0)*24+VALUE(LEFT($B21,2)))+1),'Break Schedule'!$K:$K,"&gt;"&amp;((0)*24+VALUE(LEFT($B21,2)))))</f>
        <v/>
      </c>
      <c r="M21" s="12">
        <f>IF(D21="","",SUMIFS('Break Schedule'!$I:$I,'Break Schedule'!$J:$J,"&lt;"&amp;(((1)*24+VALUE(LEFT($B21,2)))+1),'Break Schedule'!$K:$K,"&gt;"&amp;((1)*24+VALUE(LEFT($B21,2)))))</f>
        <v/>
      </c>
      <c r="N21" s="12">
        <f>IF(E21="","",SUMIFS('Break Schedule'!$I:$I,'Break Schedule'!$J:$J,"&lt;"&amp;(((2)*24+VALUE(LEFT($B21,2)))+1),'Break Schedule'!$K:$K,"&gt;"&amp;((2)*24+VALUE(LEFT($B21,2)))))</f>
        <v/>
      </c>
      <c r="O21" s="12">
        <f>IF(F21="","",SUMIFS('Break Schedule'!$I:$I,'Break Schedule'!$J:$J,"&lt;"&amp;(((3)*24+VALUE(LEFT($B21,2)))+1),'Break Schedule'!$K:$K,"&gt;"&amp;((3)*24+VALUE(LEFT($B21,2)))))</f>
        <v/>
      </c>
      <c r="P21" s="12">
        <f>IF(G21="","",SUMIFS('Break Schedule'!$I:$I,'Break Schedule'!$J:$J,"&lt;"&amp;(((4)*24+VALUE(LEFT($B21,2)))+1),'Break Schedule'!$K:$K,"&gt;"&amp;((4)*24+VALUE(LEFT($B21,2)))))</f>
        <v/>
      </c>
      <c r="Q21" s="12">
        <f>IF(H21="","",SUMIFS('Break Schedule'!$I:$I,'Break Schedule'!$J:$J,"&lt;"&amp;(((5)*24+VALUE(LEFT($B21,2)))+1),'Break Schedule'!$K:$K,"&gt;"&amp;((5)*24+VALUE(LEFT($B21,2)))))</f>
        <v/>
      </c>
      <c r="R21" s="12">
        <f>IF(I21="","",SUMIFS('Break Schedule'!$I:$I,'Break Schedule'!$J:$J,"&lt;"&amp;(((6)*24+VALUE(LEFT($B21,2)))+1),'Break Schedule'!$K:$K,"&gt;"&amp;((6)*24+VALUE(LEFT($B21,2)))))</f>
        <v/>
      </c>
      <c r="T21" s="12" t="inlineStr">
        <is>
          <t>17:00</t>
        </is>
      </c>
      <c r="U21" s="12">
        <f>IF(C21="","",MAX(0,'FT Wise'!AD21-L21*(1-(IF(IFERROR(INDEX(Instructions!$B:$B,MATCH("Shrinkage Source",Instructions!$A:$A,0)),"Shrinkage Sheet")="Shrinkage Sheet",IFERROR(IF(Shrinkage!B21="-",IF(C21&lt;IFERROR(INDEX(Instructions!$B:$B,MATCH("Shrinkage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FTEs",Instructions!$A:$A,0)),12%)),Shrinkage!B21),IF(C21&lt;IFERROR(INDEX(Instructions!$B:$B,MATCH("Shrinkage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21" s="12">
        <f>IF(D21="","",MAX(0,'FT Wise'!AE21-M21*(1-(IF(IFERROR(INDEX(Instructions!$B:$B,MATCH("Shrinkage Source",Instructions!$A:$A,0)),"Shrinkage Sheet")="Shrinkage Sheet",IFERROR(IF(Shrinkage!C21="-",IF(D21&lt;IFERROR(INDEX(Instructions!$B:$B,MATCH("Shrinkage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FTEs",Instructions!$A:$A,0)),12%)),Shrinkage!C21),IF(D21&lt;IFERROR(INDEX(Instructions!$B:$B,MATCH("Shrinkage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21" s="12">
        <f>IF(E21="","",MAX(0,'FT Wise'!AF21-N21*(1-(IF(IFERROR(INDEX(Instructions!$B:$B,MATCH("Shrinkage Source",Instructions!$A:$A,0)),"Shrinkage Sheet")="Shrinkage Sheet",IFERROR(IF(Shrinkage!D21="-",IF(E21&lt;IFERROR(INDEX(Instructions!$B:$B,MATCH("Shrinkage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FTEs",Instructions!$A:$A,0)),12%)),Shrinkage!D21),IF(E21&lt;IFERROR(INDEX(Instructions!$B:$B,MATCH("Shrinkage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21" s="12">
        <f>IF(F21="","",MAX(0,'FT Wise'!AG21-O21*(1-(IF(IFERROR(INDEX(Instructions!$B:$B,MATCH("Shrinkage Source",Instructions!$A:$A,0)),"Shrinkage Sheet")="Shrinkage Sheet",IFERROR(IF(Shrinkage!E21="-",IF(F21&lt;IFERROR(INDEX(Instructions!$B:$B,MATCH("Shrinkage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FTEs",Instructions!$A:$A,0)),12%)),Shrinkage!E21),IF(F21&lt;IFERROR(INDEX(Instructions!$B:$B,MATCH("Shrinkage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21" s="12">
        <f>IF(G21="","",MAX(0,'FT Wise'!AH21-P21*(1-(IF(IFERROR(INDEX(Instructions!$B:$B,MATCH("Shrinkage Source",Instructions!$A:$A,0)),"Shrinkage Sheet")="Shrinkage Sheet",IFERROR(IF(Shrinkage!F21="-",IF(G21&lt;IFERROR(INDEX(Instructions!$B:$B,MATCH("Shrinkage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FTEs",Instructions!$A:$A,0)),12%)),Shrinkage!F21),IF(G21&lt;IFERROR(INDEX(Instructions!$B:$B,MATCH("Shrinkage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21" s="12">
        <f>IF(H21="","",MAX(0,'FT Wise'!AI21-Q21*(1-(IF(IFERROR(INDEX(Instructions!$B:$B,MATCH("Shrinkage Source",Instructions!$A:$A,0)),"Shrinkage Sheet")="Shrinkage Sheet",IFERROR(IF(Shrinkage!G21="-",IF(H21&lt;IFERROR(INDEX(Instructions!$B:$B,MATCH("Shrinkage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FTEs",Instructions!$A:$A,0)),12%)),Shrinkage!G21),IF(H21&lt;IFERROR(INDEX(Instructions!$B:$B,MATCH("Shrinkage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21" s="12">
        <f>IF(I21="","",MAX(0,'FT Wise'!AJ21-R21*(1-(IF(IFERROR(INDEX(Instructions!$B:$B,MATCH("Shrinkage Source",Instructions!$A:$A,0)),"Shrinkage Sheet")="Shrinkage Sheet",IFERROR(IF(Shrinkage!H21="-",IF(I21&lt;IFERROR(INDEX(Instructions!$B:$B,MATCH("Shrinkage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FTEs",Instructions!$A:$A,0)),12%)),Shrinkage!H21),IF(I21&lt;IFERROR(INDEX(Instructions!$B:$B,MATCH("Shrinkage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21" s="12" t="inlineStr">
        <is>
          <t>17:00</t>
        </is>
      </c>
      <c r="AD21" s="53">
        <f>IFERROR(U21/C21,"")</f>
        <v/>
      </c>
      <c r="AE21" s="53">
        <f>IFERROR(V21/D21,"")</f>
        <v/>
      </c>
      <c r="AF21" s="53">
        <f>IFERROR(W21/E21,"")</f>
        <v/>
      </c>
      <c r="AG21" s="53">
        <f>IFERROR(X21/F21,"")</f>
        <v/>
      </c>
      <c r="AH21" s="53">
        <f>IFERROR(Y21/G21,"")</f>
        <v/>
      </c>
      <c r="AI21" s="53">
        <f>IFERROR(Z21/H21,"")</f>
        <v/>
      </c>
      <c r="AJ21" s="53">
        <f>IFERROR(AA21/I21,"")</f>
        <v/>
      </c>
    </row>
    <row r="22">
      <c r="B22" s="12" t="inlineStr">
        <is>
          <t>18:00</t>
        </is>
      </c>
      <c r="C22" s="12" t="n"/>
      <c r="D22" s="12" t="n"/>
      <c r="E22" s="12" t="n"/>
      <c r="F22" s="12" t="n"/>
      <c r="G22" s="12" t="n"/>
      <c r="H22" s="12" t="n"/>
      <c r="I22" s="12" t="n"/>
      <c r="K22" s="12" t="inlineStr">
        <is>
          <t>18:00</t>
        </is>
      </c>
      <c r="L22" s="12">
        <f>IF(C22="","",SUMIFS('Break Schedule'!$I:$I,'Break Schedule'!$J:$J,"&lt;"&amp;(((0)*24+VALUE(LEFT($B22,2)))+1),'Break Schedule'!$K:$K,"&gt;"&amp;((0)*24+VALUE(LEFT($B22,2)))))</f>
        <v/>
      </c>
      <c r="M22" s="12">
        <f>IF(D22="","",SUMIFS('Break Schedule'!$I:$I,'Break Schedule'!$J:$J,"&lt;"&amp;(((1)*24+VALUE(LEFT($B22,2)))+1),'Break Schedule'!$K:$K,"&gt;"&amp;((1)*24+VALUE(LEFT($B22,2)))))</f>
        <v/>
      </c>
      <c r="N22" s="12">
        <f>IF(E22="","",SUMIFS('Break Schedule'!$I:$I,'Break Schedule'!$J:$J,"&lt;"&amp;(((2)*24+VALUE(LEFT($B22,2)))+1),'Break Schedule'!$K:$K,"&gt;"&amp;((2)*24+VALUE(LEFT($B22,2)))))</f>
        <v/>
      </c>
      <c r="O22" s="12">
        <f>IF(F22="","",SUMIFS('Break Schedule'!$I:$I,'Break Schedule'!$J:$J,"&lt;"&amp;(((3)*24+VALUE(LEFT($B22,2)))+1),'Break Schedule'!$K:$K,"&gt;"&amp;((3)*24+VALUE(LEFT($B22,2)))))</f>
        <v/>
      </c>
      <c r="P22" s="12">
        <f>IF(G22="","",SUMIFS('Break Schedule'!$I:$I,'Break Schedule'!$J:$J,"&lt;"&amp;(((4)*24+VALUE(LEFT($B22,2)))+1),'Break Schedule'!$K:$K,"&gt;"&amp;((4)*24+VALUE(LEFT($B22,2)))))</f>
        <v/>
      </c>
      <c r="Q22" s="12">
        <f>IF(H22="","",SUMIFS('Break Schedule'!$I:$I,'Break Schedule'!$J:$J,"&lt;"&amp;(((5)*24+VALUE(LEFT($B22,2)))+1),'Break Schedule'!$K:$K,"&gt;"&amp;((5)*24+VALUE(LEFT($B22,2)))))</f>
        <v/>
      </c>
      <c r="R22" s="12">
        <f>IF(I22="","",SUMIFS('Break Schedule'!$I:$I,'Break Schedule'!$J:$J,"&lt;"&amp;(((6)*24+VALUE(LEFT($B22,2)))+1),'Break Schedule'!$K:$K,"&gt;"&amp;((6)*24+VALUE(LEFT($B22,2)))))</f>
        <v/>
      </c>
      <c r="T22" s="12" t="inlineStr">
        <is>
          <t>18:00</t>
        </is>
      </c>
      <c r="U22" s="12">
        <f>IF(C22="","",MAX(0,'FT Wise'!AD22-L22*(1-(IF(IFERROR(INDEX(Instructions!$B:$B,MATCH("Shrinkage Source",Instructions!$A:$A,0)),"Shrinkage Sheet")="Shrinkage Sheet",IFERROR(IF(Shrinkage!B22="-",IF(C22&lt;IFERROR(INDEX(Instructions!$B:$B,MATCH("Shrinkage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FTEs",Instructions!$A:$A,0)),12%)),Shrinkage!B22),IF(C22&lt;IFERROR(INDEX(Instructions!$B:$B,MATCH("Shrinkage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22" s="12">
        <f>IF(D22="","",MAX(0,'FT Wise'!AE22-M22*(1-(IF(IFERROR(INDEX(Instructions!$B:$B,MATCH("Shrinkage Source",Instructions!$A:$A,0)),"Shrinkage Sheet")="Shrinkage Sheet",IFERROR(IF(Shrinkage!C22="-",IF(D22&lt;IFERROR(INDEX(Instructions!$B:$B,MATCH("Shrinkage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FTEs",Instructions!$A:$A,0)),12%)),Shrinkage!C22),IF(D22&lt;IFERROR(INDEX(Instructions!$B:$B,MATCH("Shrinkage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22" s="12">
        <f>IF(E22="","",MAX(0,'FT Wise'!AF22-N22*(1-(IF(IFERROR(INDEX(Instructions!$B:$B,MATCH("Shrinkage Source",Instructions!$A:$A,0)),"Shrinkage Sheet")="Shrinkage Sheet",IFERROR(IF(Shrinkage!D22="-",IF(E22&lt;IFERROR(INDEX(Instructions!$B:$B,MATCH("Shrinkage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FTEs",Instructions!$A:$A,0)),12%)),Shrinkage!D22),IF(E22&lt;IFERROR(INDEX(Instructions!$B:$B,MATCH("Shrinkage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22" s="12">
        <f>IF(F22="","",MAX(0,'FT Wise'!AG22-O22*(1-(IF(IFERROR(INDEX(Instructions!$B:$B,MATCH("Shrinkage Source",Instructions!$A:$A,0)),"Shrinkage Sheet")="Shrinkage Sheet",IFERROR(IF(Shrinkage!E22="-",IF(F22&lt;IFERROR(INDEX(Instructions!$B:$B,MATCH("Shrinkage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FTEs",Instructions!$A:$A,0)),12%)),Shrinkage!E22),IF(F22&lt;IFERROR(INDEX(Instructions!$B:$B,MATCH("Shrinkage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22" s="12">
        <f>IF(G22="","",MAX(0,'FT Wise'!AH22-P22*(1-(IF(IFERROR(INDEX(Instructions!$B:$B,MATCH("Shrinkage Source",Instructions!$A:$A,0)),"Shrinkage Sheet")="Shrinkage Sheet",IFERROR(IF(Shrinkage!F22="-",IF(G22&lt;IFERROR(INDEX(Instructions!$B:$B,MATCH("Shrinkage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FTEs",Instructions!$A:$A,0)),12%)),Shrinkage!F22),IF(G22&lt;IFERROR(INDEX(Instructions!$B:$B,MATCH("Shrinkage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22" s="12">
        <f>IF(H22="","",MAX(0,'FT Wise'!AI22-Q22*(1-(IF(IFERROR(INDEX(Instructions!$B:$B,MATCH("Shrinkage Source",Instructions!$A:$A,0)),"Shrinkage Sheet")="Shrinkage Sheet",IFERROR(IF(Shrinkage!G22="-",IF(H22&lt;IFERROR(INDEX(Instructions!$B:$B,MATCH("Shrinkage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FTEs",Instructions!$A:$A,0)),12%)),Shrinkage!G22),IF(H22&lt;IFERROR(INDEX(Instructions!$B:$B,MATCH("Shrinkage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22" s="12">
        <f>IF(I22="","",MAX(0,'FT Wise'!AJ22-R22*(1-(IF(IFERROR(INDEX(Instructions!$B:$B,MATCH("Shrinkage Source",Instructions!$A:$A,0)),"Shrinkage Sheet")="Shrinkage Sheet",IFERROR(IF(Shrinkage!H22="-",IF(I22&lt;IFERROR(INDEX(Instructions!$B:$B,MATCH("Shrinkage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FTEs",Instructions!$A:$A,0)),12%)),Shrinkage!H22),IF(I22&lt;IFERROR(INDEX(Instructions!$B:$B,MATCH("Shrinkage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22" s="12" t="inlineStr">
        <is>
          <t>18:00</t>
        </is>
      </c>
      <c r="AD22" s="53">
        <f>IFERROR(U22/C22,"")</f>
        <v/>
      </c>
      <c r="AE22" s="53">
        <f>IFERROR(V22/D22,"")</f>
        <v/>
      </c>
      <c r="AF22" s="53">
        <f>IFERROR(W22/E22,"")</f>
        <v/>
      </c>
      <c r="AG22" s="53">
        <f>IFERROR(X22/F22,"")</f>
        <v/>
      </c>
      <c r="AH22" s="53">
        <f>IFERROR(Y22/G22,"")</f>
        <v/>
      </c>
      <c r="AI22" s="53">
        <f>IFERROR(Z22/H22,"")</f>
        <v/>
      </c>
      <c r="AJ22" s="53">
        <f>IFERROR(AA22/I22,"")</f>
        <v/>
      </c>
    </row>
    <row r="23">
      <c r="B23" s="12" t="inlineStr">
        <is>
          <t>19:00</t>
        </is>
      </c>
      <c r="C23" s="12" t="n"/>
      <c r="D23" s="12" t="n"/>
      <c r="E23" s="12" t="n"/>
      <c r="F23" s="12" t="n"/>
      <c r="G23" s="12" t="n"/>
      <c r="H23" s="12" t="n"/>
      <c r="I23" s="12" t="n"/>
      <c r="K23" s="12" t="inlineStr">
        <is>
          <t>19:00</t>
        </is>
      </c>
      <c r="L23" s="12">
        <f>IF(C23="","",SUMIFS('Break Schedule'!$I:$I,'Break Schedule'!$J:$J,"&lt;"&amp;(((0)*24+VALUE(LEFT($B23,2)))+1),'Break Schedule'!$K:$K,"&gt;"&amp;((0)*24+VALUE(LEFT($B23,2)))))</f>
        <v/>
      </c>
      <c r="M23" s="12">
        <f>IF(D23="","",SUMIFS('Break Schedule'!$I:$I,'Break Schedule'!$J:$J,"&lt;"&amp;(((1)*24+VALUE(LEFT($B23,2)))+1),'Break Schedule'!$K:$K,"&gt;"&amp;((1)*24+VALUE(LEFT($B23,2)))))</f>
        <v/>
      </c>
      <c r="N23" s="12">
        <f>IF(E23="","",SUMIFS('Break Schedule'!$I:$I,'Break Schedule'!$J:$J,"&lt;"&amp;(((2)*24+VALUE(LEFT($B23,2)))+1),'Break Schedule'!$K:$K,"&gt;"&amp;((2)*24+VALUE(LEFT($B23,2)))))</f>
        <v/>
      </c>
      <c r="O23" s="12">
        <f>IF(F23="","",SUMIFS('Break Schedule'!$I:$I,'Break Schedule'!$J:$J,"&lt;"&amp;(((3)*24+VALUE(LEFT($B23,2)))+1),'Break Schedule'!$K:$K,"&gt;"&amp;((3)*24+VALUE(LEFT($B23,2)))))</f>
        <v/>
      </c>
      <c r="P23" s="12">
        <f>IF(G23="","",SUMIFS('Break Schedule'!$I:$I,'Break Schedule'!$J:$J,"&lt;"&amp;(((4)*24+VALUE(LEFT($B23,2)))+1),'Break Schedule'!$K:$K,"&gt;"&amp;((4)*24+VALUE(LEFT($B23,2)))))</f>
        <v/>
      </c>
      <c r="Q23" s="12">
        <f>IF(H23="","",SUMIFS('Break Schedule'!$I:$I,'Break Schedule'!$J:$J,"&lt;"&amp;(((5)*24+VALUE(LEFT($B23,2)))+1),'Break Schedule'!$K:$K,"&gt;"&amp;((5)*24+VALUE(LEFT($B23,2)))))</f>
        <v/>
      </c>
      <c r="R23" s="12">
        <f>IF(I23="","",SUMIFS('Break Schedule'!$I:$I,'Break Schedule'!$J:$J,"&lt;"&amp;(((6)*24+VALUE(LEFT($B23,2)))+1),'Break Schedule'!$K:$K,"&gt;"&amp;((6)*24+VALUE(LEFT($B23,2)))))</f>
        <v/>
      </c>
      <c r="T23" s="12" t="inlineStr">
        <is>
          <t>19:00</t>
        </is>
      </c>
      <c r="U23" s="12">
        <f>IF(C23="","",MAX(0,'FT Wise'!AD23-L23*(1-(IF(IFERROR(INDEX(Instructions!$B:$B,MATCH("Shrinkage Source",Instructions!$A:$A,0)),"Shrinkage Sheet")="Shrinkage Sheet",IFERROR(IF(Shrinkage!B23="-",IF(C23&lt;IFERROR(INDEX(Instructions!$B:$B,MATCH("Shrinkage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FTEs",Instructions!$A:$A,0)),12%)),Shrinkage!B23),IF(C23&lt;IFERROR(INDEX(Instructions!$B:$B,MATCH("Shrinkage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23" s="12">
        <f>IF(D23="","",MAX(0,'FT Wise'!AE23-M23*(1-(IF(IFERROR(INDEX(Instructions!$B:$B,MATCH("Shrinkage Source",Instructions!$A:$A,0)),"Shrinkage Sheet")="Shrinkage Sheet",IFERROR(IF(Shrinkage!C23="-",IF(D23&lt;IFERROR(INDEX(Instructions!$B:$B,MATCH("Shrinkage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FTEs",Instructions!$A:$A,0)),12%)),Shrinkage!C23),IF(D23&lt;IFERROR(INDEX(Instructions!$B:$B,MATCH("Shrinkage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23" s="12">
        <f>IF(E23="","",MAX(0,'FT Wise'!AF23-N23*(1-(IF(IFERROR(INDEX(Instructions!$B:$B,MATCH("Shrinkage Source",Instructions!$A:$A,0)),"Shrinkage Sheet")="Shrinkage Sheet",IFERROR(IF(Shrinkage!D23="-",IF(E23&lt;IFERROR(INDEX(Instructions!$B:$B,MATCH("Shrinkage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FTEs",Instructions!$A:$A,0)),12%)),Shrinkage!D23),IF(E23&lt;IFERROR(INDEX(Instructions!$B:$B,MATCH("Shrinkage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23" s="12">
        <f>IF(F23="","",MAX(0,'FT Wise'!AG23-O23*(1-(IF(IFERROR(INDEX(Instructions!$B:$B,MATCH("Shrinkage Source",Instructions!$A:$A,0)),"Shrinkage Sheet")="Shrinkage Sheet",IFERROR(IF(Shrinkage!E23="-",IF(F23&lt;IFERROR(INDEX(Instructions!$B:$B,MATCH("Shrinkage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FTEs",Instructions!$A:$A,0)),12%)),Shrinkage!E23),IF(F23&lt;IFERROR(INDEX(Instructions!$B:$B,MATCH("Shrinkage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23" s="12">
        <f>IF(G23="","",MAX(0,'FT Wise'!AH23-P23*(1-(IF(IFERROR(INDEX(Instructions!$B:$B,MATCH("Shrinkage Source",Instructions!$A:$A,0)),"Shrinkage Sheet")="Shrinkage Sheet",IFERROR(IF(Shrinkage!F23="-",IF(G23&lt;IFERROR(INDEX(Instructions!$B:$B,MATCH("Shrinkage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FTEs",Instructions!$A:$A,0)),12%)),Shrinkage!F23),IF(G23&lt;IFERROR(INDEX(Instructions!$B:$B,MATCH("Shrinkage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23" s="12">
        <f>IF(H23="","",MAX(0,'FT Wise'!AI23-Q23*(1-(IF(IFERROR(INDEX(Instructions!$B:$B,MATCH("Shrinkage Source",Instructions!$A:$A,0)),"Shrinkage Sheet")="Shrinkage Sheet",IFERROR(IF(Shrinkage!G23="-",IF(H23&lt;IFERROR(INDEX(Instructions!$B:$B,MATCH("Shrinkage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FTEs",Instructions!$A:$A,0)),12%)),Shrinkage!G23),IF(H23&lt;IFERROR(INDEX(Instructions!$B:$B,MATCH("Shrinkage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23" s="12">
        <f>IF(I23="","",MAX(0,'FT Wise'!AJ23-R23*(1-(IF(IFERROR(INDEX(Instructions!$B:$B,MATCH("Shrinkage Source",Instructions!$A:$A,0)),"Shrinkage Sheet")="Shrinkage Sheet",IFERROR(IF(Shrinkage!H23="-",IF(I23&lt;IFERROR(INDEX(Instructions!$B:$B,MATCH("Shrinkage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FTEs",Instructions!$A:$A,0)),12%)),Shrinkage!H23),IF(I23&lt;IFERROR(INDEX(Instructions!$B:$B,MATCH("Shrinkage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23" s="12" t="inlineStr">
        <is>
          <t>19:00</t>
        </is>
      </c>
      <c r="AD23" s="53">
        <f>IFERROR(U23/C23,"")</f>
        <v/>
      </c>
      <c r="AE23" s="53">
        <f>IFERROR(V23/D23,"")</f>
        <v/>
      </c>
      <c r="AF23" s="53">
        <f>IFERROR(W23/E23,"")</f>
        <v/>
      </c>
      <c r="AG23" s="53">
        <f>IFERROR(X23/F23,"")</f>
        <v/>
      </c>
      <c r="AH23" s="53">
        <f>IFERROR(Y23/G23,"")</f>
        <v/>
      </c>
      <c r="AI23" s="53">
        <f>IFERROR(Z23/H23,"")</f>
        <v/>
      </c>
      <c r="AJ23" s="53">
        <f>IFERROR(AA23/I23,"")</f>
        <v/>
      </c>
    </row>
    <row r="24">
      <c r="B24" s="12" t="inlineStr">
        <is>
          <t>20:00</t>
        </is>
      </c>
      <c r="C24" s="12" t="n"/>
      <c r="D24" s="12" t="n"/>
      <c r="E24" s="12" t="n"/>
      <c r="F24" s="12" t="n"/>
      <c r="G24" s="12" t="n"/>
      <c r="H24" s="12" t="n"/>
      <c r="I24" s="12" t="n"/>
      <c r="K24" s="12" t="inlineStr">
        <is>
          <t>20:00</t>
        </is>
      </c>
      <c r="L24" s="12">
        <f>IF(C24="","",SUMIFS('Break Schedule'!$I:$I,'Break Schedule'!$J:$J,"&lt;"&amp;(((0)*24+VALUE(LEFT($B24,2)))+1),'Break Schedule'!$K:$K,"&gt;"&amp;((0)*24+VALUE(LEFT($B24,2)))))</f>
        <v/>
      </c>
      <c r="M24" s="12">
        <f>IF(D24="","",SUMIFS('Break Schedule'!$I:$I,'Break Schedule'!$J:$J,"&lt;"&amp;(((1)*24+VALUE(LEFT($B24,2)))+1),'Break Schedule'!$K:$K,"&gt;"&amp;((1)*24+VALUE(LEFT($B24,2)))))</f>
        <v/>
      </c>
      <c r="N24" s="12">
        <f>IF(E24="","",SUMIFS('Break Schedule'!$I:$I,'Break Schedule'!$J:$J,"&lt;"&amp;(((2)*24+VALUE(LEFT($B24,2)))+1),'Break Schedule'!$K:$K,"&gt;"&amp;((2)*24+VALUE(LEFT($B24,2)))))</f>
        <v/>
      </c>
      <c r="O24" s="12">
        <f>IF(F24="","",SUMIFS('Break Schedule'!$I:$I,'Break Schedule'!$J:$J,"&lt;"&amp;(((3)*24+VALUE(LEFT($B24,2)))+1),'Break Schedule'!$K:$K,"&gt;"&amp;((3)*24+VALUE(LEFT($B24,2)))))</f>
        <v/>
      </c>
      <c r="P24" s="12">
        <f>IF(G24="","",SUMIFS('Break Schedule'!$I:$I,'Break Schedule'!$J:$J,"&lt;"&amp;(((4)*24+VALUE(LEFT($B24,2)))+1),'Break Schedule'!$K:$K,"&gt;"&amp;((4)*24+VALUE(LEFT($B24,2)))))</f>
        <v/>
      </c>
      <c r="Q24" s="12">
        <f>IF(H24="","",SUMIFS('Break Schedule'!$I:$I,'Break Schedule'!$J:$J,"&lt;"&amp;(((5)*24+VALUE(LEFT($B24,2)))+1),'Break Schedule'!$K:$K,"&gt;"&amp;((5)*24+VALUE(LEFT($B24,2)))))</f>
        <v/>
      </c>
      <c r="R24" s="12">
        <f>IF(I24="","",SUMIFS('Break Schedule'!$I:$I,'Break Schedule'!$J:$J,"&lt;"&amp;(((6)*24+VALUE(LEFT($B24,2)))+1),'Break Schedule'!$K:$K,"&gt;"&amp;((6)*24+VALUE(LEFT($B24,2)))))</f>
        <v/>
      </c>
      <c r="T24" s="12" t="inlineStr">
        <is>
          <t>20:00</t>
        </is>
      </c>
      <c r="U24" s="12">
        <f>IF(C24="","",MAX(0,'FT Wise'!AD24-L24*(1-(IF(IFERROR(INDEX(Instructions!$B:$B,MATCH("Shrinkage Source",Instructions!$A:$A,0)),"Shrinkage Sheet")="Shrinkage Sheet",IFERROR(IF(Shrinkage!B24="-",IF(C24&lt;IFERROR(INDEX(Instructions!$B:$B,MATCH("Shrinkage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FTEs",Instructions!$A:$A,0)),12%)),Shrinkage!B24),IF(C24&lt;IFERROR(INDEX(Instructions!$B:$B,MATCH("Shrinkage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24" s="12">
        <f>IF(D24="","",MAX(0,'FT Wise'!AE24-M24*(1-(IF(IFERROR(INDEX(Instructions!$B:$B,MATCH("Shrinkage Source",Instructions!$A:$A,0)),"Shrinkage Sheet")="Shrinkage Sheet",IFERROR(IF(Shrinkage!C24="-",IF(D24&lt;IFERROR(INDEX(Instructions!$B:$B,MATCH("Shrinkage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FTEs",Instructions!$A:$A,0)),12%)),Shrinkage!C24),IF(D24&lt;IFERROR(INDEX(Instructions!$B:$B,MATCH("Shrinkage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24" s="12">
        <f>IF(E24="","",MAX(0,'FT Wise'!AF24-N24*(1-(IF(IFERROR(INDEX(Instructions!$B:$B,MATCH("Shrinkage Source",Instructions!$A:$A,0)),"Shrinkage Sheet")="Shrinkage Sheet",IFERROR(IF(Shrinkage!D24="-",IF(E24&lt;IFERROR(INDEX(Instructions!$B:$B,MATCH("Shrinkage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FTEs",Instructions!$A:$A,0)),12%)),Shrinkage!D24),IF(E24&lt;IFERROR(INDEX(Instructions!$B:$B,MATCH("Shrinkage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24" s="12">
        <f>IF(F24="","",MAX(0,'FT Wise'!AG24-O24*(1-(IF(IFERROR(INDEX(Instructions!$B:$B,MATCH("Shrinkage Source",Instructions!$A:$A,0)),"Shrinkage Sheet")="Shrinkage Sheet",IFERROR(IF(Shrinkage!E24="-",IF(F24&lt;IFERROR(INDEX(Instructions!$B:$B,MATCH("Shrinkage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FTEs",Instructions!$A:$A,0)),12%)),Shrinkage!E24),IF(F24&lt;IFERROR(INDEX(Instructions!$B:$B,MATCH("Shrinkage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24" s="12">
        <f>IF(G24="","",MAX(0,'FT Wise'!AH24-P24*(1-(IF(IFERROR(INDEX(Instructions!$B:$B,MATCH("Shrinkage Source",Instructions!$A:$A,0)),"Shrinkage Sheet")="Shrinkage Sheet",IFERROR(IF(Shrinkage!F24="-",IF(G24&lt;IFERROR(INDEX(Instructions!$B:$B,MATCH("Shrinkage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FTEs",Instructions!$A:$A,0)),12%)),Shrinkage!F24),IF(G24&lt;IFERROR(INDEX(Instructions!$B:$B,MATCH("Shrinkage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24" s="12">
        <f>IF(H24="","",MAX(0,'FT Wise'!AI24-Q24*(1-(IF(IFERROR(INDEX(Instructions!$B:$B,MATCH("Shrinkage Source",Instructions!$A:$A,0)),"Shrinkage Sheet")="Shrinkage Sheet",IFERROR(IF(Shrinkage!G24="-",IF(H24&lt;IFERROR(INDEX(Instructions!$B:$B,MATCH("Shrinkage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FTEs",Instructions!$A:$A,0)),12%)),Shrinkage!G24),IF(H24&lt;IFERROR(INDEX(Instructions!$B:$B,MATCH("Shrinkage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24" s="12">
        <f>IF(I24="","",MAX(0,'FT Wise'!AJ24-R24*(1-(IF(IFERROR(INDEX(Instructions!$B:$B,MATCH("Shrinkage Source",Instructions!$A:$A,0)),"Shrinkage Sheet")="Shrinkage Sheet",IFERROR(IF(Shrinkage!H24="-",IF(I24&lt;IFERROR(INDEX(Instructions!$B:$B,MATCH("Shrinkage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FTEs",Instructions!$A:$A,0)),12%)),Shrinkage!H24),IF(I24&lt;IFERROR(INDEX(Instructions!$B:$B,MATCH("Shrinkage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24" s="12" t="inlineStr">
        <is>
          <t>20:00</t>
        </is>
      </c>
      <c r="AD24" s="53">
        <f>IFERROR(U24/C24,"")</f>
        <v/>
      </c>
      <c r="AE24" s="53">
        <f>IFERROR(V24/D24,"")</f>
        <v/>
      </c>
      <c r="AF24" s="53">
        <f>IFERROR(W24/E24,"")</f>
        <v/>
      </c>
      <c r="AG24" s="53">
        <f>IFERROR(X24/F24,"")</f>
        <v/>
      </c>
      <c r="AH24" s="53">
        <f>IFERROR(Y24/G24,"")</f>
        <v/>
      </c>
      <c r="AI24" s="53">
        <f>IFERROR(Z24/H24,"")</f>
        <v/>
      </c>
      <c r="AJ24" s="53">
        <f>IFERROR(AA24/I24,"")</f>
        <v/>
      </c>
    </row>
    <row r="25">
      <c r="B25" s="12" t="inlineStr">
        <is>
          <t>21:00</t>
        </is>
      </c>
      <c r="C25" s="12" t="n"/>
      <c r="D25" s="12" t="n"/>
      <c r="E25" s="12" t="n"/>
      <c r="F25" s="12" t="n"/>
      <c r="G25" s="12" t="n"/>
      <c r="H25" s="12" t="n"/>
      <c r="I25" s="12" t="n"/>
      <c r="K25" s="12" t="inlineStr">
        <is>
          <t>21:00</t>
        </is>
      </c>
      <c r="L25" s="12">
        <f>IF(C25="","",SUMIFS('Break Schedule'!$I:$I,'Break Schedule'!$J:$J,"&lt;"&amp;(((0)*24+VALUE(LEFT($B25,2)))+1),'Break Schedule'!$K:$K,"&gt;"&amp;((0)*24+VALUE(LEFT($B25,2)))))</f>
        <v/>
      </c>
      <c r="M25" s="12">
        <f>IF(D25="","",SUMIFS('Break Schedule'!$I:$I,'Break Schedule'!$J:$J,"&lt;"&amp;(((1)*24+VALUE(LEFT($B25,2)))+1),'Break Schedule'!$K:$K,"&gt;"&amp;((1)*24+VALUE(LEFT($B25,2)))))</f>
        <v/>
      </c>
      <c r="N25" s="12">
        <f>IF(E25="","",SUMIFS('Break Schedule'!$I:$I,'Break Schedule'!$J:$J,"&lt;"&amp;(((2)*24+VALUE(LEFT($B25,2)))+1),'Break Schedule'!$K:$K,"&gt;"&amp;((2)*24+VALUE(LEFT($B25,2)))))</f>
        <v/>
      </c>
      <c r="O25" s="12">
        <f>IF(F25="","",SUMIFS('Break Schedule'!$I:$I,'Break Schedule'!$J:$J,"&lt;"&amp;(((3)*24+VALUE(LEFT($B25,2)))+1),'Break Schedule'!$K:$K,"&gt;"&amp;((3)*24+VALUE(LEFT($B25,2)))))</f>
        <v/>
      </c>
      <c r="P25" s="12">
        <f>IF(G25="","",SUMIFS('Break Schedule'!$I:$I,'Break Schedule'!$J:$J,"&lt;"&amp;(((4)*24+VALUE(LEFT($B25,2)))+1),'Break Schedule'!$K:$K,"&gt;"&amp;((4)*24+VALUE(LEFT($B25,2)))))</f>
        <v/>
      </c>
      <c r="Q25" s="12">
        <f>IF(H25="","",SUMIFS('Break Schedule'!$I:$I,'Break Schedule'!$J:$J,"&lt;"&amp;(((5)*24+VALUE(LEFT($B25,2)))+1),'Break Schedule'!$K:$K,"&gt;"&amp;((5)*24+VALUE(LEFT($B25,2)))))</f>
        <v/>
      </c>
      <c r="R25" s="12">
        <f>IF(I25="","",SUMIFS('Break Schedule'!$I:$I,'Break Schedule'!$J:$J,"&lt;"&amp;(((6)*24+VALUE(LEFT($B25,2)))+1),'Break Schedule'!$K:$K,"&gt;"&amp;((6)*24+VALUE(LEFT($B25,2)))))</f>
        <v/>
      </c>
      <c r="T25" s="12" t="inlineStr">
        <is>
          <t>21:00</t>
        </is>
      </c>
      <c r="U25" s="12">
        <f>IF(C25="","",MAX(0,'FT Wise'!AD25-L25*(1-(IF(IFERROR(INDEX(Instructions!$B:$B,MATCH("Shrinkage Source",Instructions!$A:$A,0)),"Shrinkage Sheet")="Shrinkage Sheet",IFERROR(IF(Shrinkage!B25="-",IF(C25&lt;IFERROR(INDEX(Instructions!$B:$B,MATCH("Shrinkage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FTEs",Instructions!$A:$A,0)),12%)),Shrinkage!B25),IF(C25&lt;IFERROR(INDEX(Instructions!$B:$B,MATCH("Shrinkage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25" s="12">
        <f>IF(D25="","",MAX(0,'FT Wise'!AE25-M25*(1-(IF(IFERROR(INDEX(Instructions!$B:$B,MATCH("Shrinkage Source",Instructions!$A:$A,0)),"Shrinkage Sheet")="Shrinkage Sheet",IFERROR(IF(Shrinkage!C25="-",IF(D25&lt;IFERROR(INDEX(Instructions!$B:$B,MATCH("Shrinkage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FTEs",Instructions!$A:$A,0)),12%)),Shrinkage!C25),IF(D25&lt;IFERROR(INDEX(Instructions!$B:$B,MATCH("Shrinkage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25" s="12">
        <f>IF(E25="","",MAX(0,'FT Wise'!AF25-N25*(1-(IF(IFERROR(INDEX(Instructions!$B:$B,MATCH("Shrinkage Source",Instructions!$A:$A,0)),"Shrinkage Sheet")="Shrinkage Sheet",IFERROR(IF(Shrinkage!D25="-",IF(E25&lt;IFERROR(INDEX(Instructions!$B:$B,MATCH("Shrinkage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FTEs",Instructions!$A:$A,0)),12%)),Shrinkage!D25),IF(E25&lt;IFERROR(INDEX(Instructions!$B:$B,MATCH("Shrinkage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25" s="12">
        <f>IF(F25="","",MAX(0,'FT Wise'!AG25-O25*(1-(IF(IFERROR(INDEX(Instructions!$B:$B,MATCH("Shrinkage Source",Instructions!$A:$A,0)),"Shrinkage Sheet")="Shrinkage Sheet",IFERROR(IF(Shrinkage!E25="-",IF(F25&lt;IFERROR(INDEX(Instructions!$B:$B,MATCH("Shrinkage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FTEs",Instructions!$A:$A,0)),12%)),Shrinkage!E25),IF(F25&lt;IFERROR(INDEX(Instructions!$B:$B,MATCH("Shrinkage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25" s="12">
        <f>IF(G25="","",MAX(0,'FT Wise'!AH25-P25*(1-(IF(IFERROR(INDEX(Instructions!$B:$B,MATCH("Shrinkage Source",Instructions!$A:$A,0)),"Shrinkage Sheet")="Shrinkage Sheet",IFERROR(IF(Shrinkage!F25="-",IF(G25&lt;IFERROR(INDEX(Instructions!$B:$B,MATCH("Shrinkage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FTEs",Instructions!$A:$A,0)),12%)),Shrinkage!F25),IF(G25&lt;IFERROR(INDEX(Instructions!$B:$B,MATCH("Shrinkage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25" s="12">
        <f>IF(H25="","",MAX(0,'FT Wise'!AI25-Q25*(1-(IF(IFERROR(INDEX(Instructions!$B:$B,MATCH("Shrinkage Source",Instructions!$A:$A,0)),"Shrinkage Sheet")="Shrinkage Sheet",IFERROR(IF(Shrinkage!G25="-",IF(H25&lt;IFERROR(INDEX(Instructions!$B:$B,MATCH("Shrinkage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FTEs",Instructions!$A:$A,0)),12%)),Shrinkage!G25),IF(H25&lt;IFERROR(INDEX(Instructions!$B:$B,MATCH("Shrinkage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25" s="12">
        <f>IF(I25="","",MAX(0,'FT Wise'!AJ25-R25*(1-(IF(IFERROR(INDEX(Instructions!$B:$B,MATCH("Shrinkage Source",Instructions!$A:$A,0)),"Shrinkage Sheet")="Shrinkage Sheet",IFERROR(IF(Shrinkage!H25="-",IF(I25&lt;IFERROR(INDEX(Instructions!$B:$B,MATCH("Shrinkage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FTEs",Instructions!$A:$A,0)),12%)),Shrinkage!H25),IF(I25&lt;IFERROR(INDEX(Instructions!$B:$B,MATCH("Shrinkage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25" s="12" t="inlineStr">
        <is>
          <t>21:00</t>
        </is>
      </c>
      <c r="AD25" s="53">
        <f>IFERROR(U25/C25,"")</f>
        <v/>
      </c>
      <c r="AE25" s="53">
        <f>IFERROR(V25/D25,"")</f>
        <v/>
      </c>
      <c r="AF25" s="53">
        <f>IFERROR(W25/E25,"")</f>
        <v/>
      </c>
      <c r="AG25" s="53">
        <f>IFERROR(X25/F25,"")</f>
        <v/>
      </c>
      <c r="AH25" s="53">
        <f>IFERROR(Y25/G25,"")</f>
        <v/>
      </c>
      <c r="AI25" s="53">
        <f>IFERROR(Z25/H25,"")</f>
        <v/>
      </c>
      <c r="AJ25" s="53">
        <f>IFERROR(AA25/I25,"")</f>
        <v/>
      </c>
    </row>
    <row r="26">
      <c r="B26" s="12" t="inlineStr">
        <is>
          <t>22:00</t>
        </is>
      </c>
      <c r="C26" s="12" t="n"/>
      <c r="D26" s="12" t="n"/>
      <c r="E26" s="12" t="n"/>
      <c r="F26" s="12" t="n"/>
      <c r="G26" s="12" t="n"/>
      <c r="H26" s="12" t="n"/>
      <c r="I26" s="12" t="n"/>
      <c r="K26" s="12" t="inlineStr">
        <is>
          <t>22:00</t>
        </is>
      </c>
      <c r="L26" s="12">
        <f>IF(C26="","",SUMIFS('Break Schedule'!$I:$I,'Break Schedule'!$J:$J,"&lt;"&amp;(((0)*24+VALUE(LEFT($B26,2)))+1),'Break Schedule'!$K:$K,"&gt;"&amp;((0)*24+VALUE(LEFT($B26,2)))))</f>
        <v/>
      </c>
      <c r="M26" s="12">
        <f>IF(D26="","",SUMIFS('Break Schedule'!$I:$I,'Break Schedule'!$J:$J,"&lt;"&amp;(((1)*24+VALUE(LEFT($B26,2)))+1),'Break Schedule'!$K:$K,"&gt;"&amp;((1)*24+VALUE(LEFT($B26,2)))))</f>
        <v/>
      </c>
      <c r="N26" s="12">
        <f>IF(E26="","",SUMIFS('Break Schedule'!$I:$I,'Break Schedule'!$J:$J,"&lt;"&amp;(((2)*24+VALUE(LEFT($B26,2)))+1),'Break Schedule'!$K:$K,"&gt;"&amp;((2)*24+VALUE(LEFT($B26,2)))))</f>
        <v/>
      </c>
      <c r="O26" s="12">
        <f>IF(F26="","",SUMIFS('Break Schedule'!$I:$I,'Break Schedule'!$J:$J,"&lt;"&amp;(((3)*24+VALUE(LEFT($B26,2)))+1),'Break Schedule'!$K:$K,"&gt;"&amp;((3)*24+VALUE(LEFT($B26,2)))))</f>
        <v/>
      </c>
      <c r="P26" s="12">
        <f>IF(G26="","",SUMIFS('Break Schedule'!$I:$I,'Break Schedule'!$J:$J,"&lt;"&amp;(((4)*24+VALUE(LEFT($B26,2)))+1),'Break Schedule'!$K:$K,"&gt;"&amp;((4)*24+VALUE(LEFT($B26,2)))))</f>
        <v/>
      </c>
      <c r="Q26" s="12">
        <f>IF(H26="","",SUMIFS('Break Schedule'!$I:$I,'Break Schedule'!$J:$J,"&lt;"&amp;(((5)*24+VALUE(LEFT($B26,2)))+1),'Break Schedule'!$K:$K,"&gt;"&amp;((5)*24+VALUE(LEFT($B26,2)))))</f>
        <v/>
      </c>
      <c r="R26" s="12">
        <f>IF(I26="","",SUMIFS('Break Schedule'!$I:$I,'Break Schedule'!$J:$J,"&lt;"&amp;(((6)*24+VALUE(LEFT($B26,2)))+1),'Break Schedule'!$K:$K,"&gt;"&amp;((6)*24+VALUE(LEFT($B26,2)))))</f>
        <v/>
      </c>
      <c r="T26" s="12" t="inlineStr">
        <is>
          <t>22:00</t>
        </is>
      </c>
      <c r="U26" s="12">
        <f>IF(C26="","",MAX(0,'FT Wise'!AD26-L26*(1-(IF(IFERROR(INDEX(Instructions!$B:$B,MATCH("Shrinkage Source",Instructions!$A:$A,0)),"Shrinkage Sheet")="Shrinkage Sheet",IFERROR(IF(Shrinkage!B26="-",IF(C26&lt;IFERROR(INDEX(Instructions!$B:$B,MATCH("Shrinkage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FTEs",Instructions!$A:$A,0)),12%)),Shrinkage!B26),IF(C26&lt;IFERROR(INDEX(Instructions!$B:$B,MATCH("Shrinkage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26" s="12">
        <f>IF(D26="","",MAX(0,'FT Wise'!AE26-M26*(1-(IF(IFERROR(INDEX(Instructions!$B:$B,MATCH("Shrinkage Source",Instructions!$A:$A,0)),"Shrinkage Sheet")="Shrinkage Sheet",IFERROR(IF(Shrinkage!C26="-",IF(D26&lt;IFERROR(INDEX(Instructions!$B:$B,MATCH("Shrinkage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FTEs",Instructions!$A:$A,0)),12%)),Shrinkage!C26),IF(D26&lt;IFERROR(INDEX(Instructions!$B:$B,MATCH("Shrinkage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26" s="12">
        <f>IF(E26="","",MAX(0,'FT Wise'!AF26-N26*(1-(IF(IFERROR(INDEX(Instructions!$B:$B,MATCH("Shrinkage Source",Instructions!$A:$A,0)),"Shrinkage Sheet")="Shrinkage Sheet",IFERROR(IF(Shrinkage!D26="-",IF(E26&lt;IFERROR(INDEX(Instructions!$B:$B,MATCH("Shrinkage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FTEs",Instructions!$A:$A,0)),12%)),Shrinkage!D26),IF(E26&lt;IFERROR(INDEX(Instructions!$B:$B,MATCH("Shrinkage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26" s="12">
        <f>IF(F26="","",MAX(0,'FT Wise'!AG26-O26*(1-(IF(IFERROR(INDEX(Instructions!$B:$B,MATCH("Shrinkage Source",Instructions!$A:$A,0)),"Shrinkage Sheet")="Shrinkage Sheet",IFERROR(IF(Shrinkage!E26="-",IF(F26&lt;IFERROR(INDEX(Instructions!$B:$B,MATCH("Shrinkage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FTEs",Instructions!$A:$A,0)),12%)),Shrinkage!E26),IF(F26&lt;IFERROR(INDEX(Instructions!$B:$B,MATCH("Shrinkage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26" s="12">
        <f>IF(G26="","",MAX(0,'FT Wise'!AH26-P26*(1-(IF(IFERROR(INDEX(Instructions!$B:$B,MATCH("Shrinkage Source",Instructions!$A:$A,0)),"Shrinkage Sheet")="Shrinkage Sheet",IFERROR(IF(Shrinkage!F26="-",IF(G26&lt;IFERROR(INDEX(Instructions!$B:$B,MATCH("Shrinkage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FTEs",Instructions!$A:$A,0)),12%)),Shrinkage!F26),IF(G26&lt;IFERROR(INDEX(Instructions!$B:$B,MATCH("Shrinkage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26" s="12">
        <f>IF(H26="","",MAX(0,'FT Wise'!AI26-Q26*(1-(IF(IFERROR(INDEX(Instructions!$B:$B,MATCH("Shrinkage Source",Instructions!$A:$A,0)),"Shrinkage Sheet")="Shrinkage Sheet",IFERROR(IF(Shrinkage!G26="-",IF(H26&lt;IFERROR(INDEX(Instructions!$B:$B,MATCH("Shrinkage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FTEs",Instructions!$A:$A,0)),12%)),Shrinkage!G26),IF(H26&lt;IFERROR(INDEX(Instructions!$B:$B,MATCH("Shrinkage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26" s="12">
        <f>IF(I26="","",MAX(0,'FT Wise'!AJ26-R26*(1-(IF(IFERROR(INDEX(Instructions!$B:$B,MATCH("Shrinkage Source",Instructions!$A:$A,0)),"Shrinkage Sheet")="Shrinkage Sheet",IFERROR(IF(Shrinkage!H26="-",IF(I26&lt;IFERROR(INDEX(Instructions!$B:$B,MATCH("Shrinkage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FTEs",Instructions!$A:$A,0)),12%)),Shrinkage!H26),IF(I26&lt;IFERROR(INDEX(Instructions!$B:$B,MATCH("Shrinkage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26" s="12" t="inlineStr">
        <is>
          <t>22:00</t>
        </is>
      </c>
      <c r="AD26" s="53">
        <f>IFERROR(U26/C26,"")</f>
        <v/>
      </c>
      <c r="AE26" s="53">
        <f>IFERROR(V26/D26,"")</f>
        <v/>
      </c>
      <c r="AF26" s="53">
        <f>IFERROR(W26/E26,"")</f>
        <v/>
      </c>
      <c r="AG26" s="53">
        <f>IFERROR(X26/F26,"")</f>
        <v/>
      </c>
      <c r="AH26" s="53">
        <f>IFERROR(Y26/G26,"")</f>
        <v/>
      </c>
      <c r="AI26" s="53">
        <f>IFERROR(Z26/H26,"")</f>
        <v/>
      </c>
      <c r="AJ26" s="53">
        <f>IFERROR(AA26/I26,"")</f>
        <v/>
      </c>
    </row>
    <row r="27">
      <c r="B27" s="12" t="inlineStr">
        <is>
          <t>23:00</t>
        </is>
      </c>
      <c r="C27" s="12" t="n"/>
      <c r="D27" s="12" t="n"/>
      <c r="E27" s="12" t="n"/>
      <c r="F27" s="12" t="n"/>
      <c r="G27" s="12" t="n"/>
      <c r="H27" s="12" t="n"/>
      <c r="I27" s="12" t="n"/>
      <c r="K27" s="12" t="inlineStr">
        <is>
          <t>23:00</t>
        </is>
      </c>
      <c r="L27" s="12">
        <f>IF(C27="","",SUMIFS('Break Schedule'!$I:$I,'Break Schedule'!$J:$J,"&lt;"&amp;(((0)*24+VALUE(LEFT($B27,2)))+1),'Break Schedule'!$K:$K,"&gt;"&amp;((0)*24+VALUE(LEFT($B27,2)))))</f>
        <v/>
      </c>
      <c r="M27" s="12">
        <f>IF(D27="","",SUMIFS('Break Schedule'!$I:$I,'Break Schedule'!$J:$J,"&lt;"&amp;(((1)*24+VALUE(LEFT($B27,2)))+1),'Break Schedule'!$K:$K,"&gt;"&amp;((1)*24+VALUE(LEFT($B27,2)))))</f>
        <v/>
      </c>
      <c r="N27" s="12">
        <f>IF(E27="","",SUMIFS('Break Schedule'!$I:$I,'Break Schedule'!$J:$J,"&lt;"&amp;(((2)*24+VALUE(LEFT($B27,2)))+1),'Break Schedule'!$K:$K,"&gt;"&amp;((2)*24+VALUE(LEFT($B27,2)))))</f>
        <v/>
      </c>
      <c r="O27" s="12">
        <f>IF(F27="","",SUMIFS('Break Schedule'!$I:$I,'Break Schedule'!$J:$J,"&lt;"&amp;(((3)*24+VALUE(LEFT($B27,2)))+1),'Break Schedule'!$K:$K,"&gt;"&amp;((3)*24+VALUE(LEFT($B27,2)))))</f>
        <v/>
      </c>
      <c r="P27" s="12">
        <f>IF(G27="","",SUMIFS('Break Schedule'!$I:$I,'Break Schedule'!$J:$J,"&lt;"&amp;(((4)*24+VALUE(LEFT($B27,2)))+1),'Break Schedule'!$K:$K,"&gt;"&amp;((4)*24+VALUE(LEFT($B27,2)))))</f>
        <v/>
      </c>
      <c r="Q27" s="12">
        <f>IF(H27="","",SUMIFS('Break Schedule'!$I:$I,'Break Schedule'!$J:$J,"&lt;"&amp;(((5)*24+VALUE(LEFT($B27,2)))+1),'Break Schedule'!$K:$K,"&gt;"&amp;((5)*24+VALUE(LEFT($B27,2)))))</f>
        <v/>
      </c>
      <c r="R27" s="12">
        <f>IF(I27="","",SUMIFS('Break Schedule'!$I:$I,'Break Schedule'!$J:$J,"&lt;"&amp;(((6)*24+VALUE(LEFT($B27,2)))+1),'Break Schedule'!$K:$K,"&gt;"&amp;((6)*24+VALUE(LEFT($B27,2)))))</f>
        <v/>
      </c>
      <c r="T27" s="12" t="inlineStr">
        <is>
          <t>23:00</t>
        </is>
      </c>
      <c r="U27" s="12">
        <f>IF(C27="","",MAX(0,'FT Wise'!AD27-L27*(1-(IF(IFERROR(INDEX(Instructions!$B:$B,MATCH("Shrinkage Source",Instructions!$A:$A,0)),"Shrinkage Sheet")="Shrinkage Sheet",IFERROR(IF(Shrinkage!B27="-",IF(C27&lt;IFERROR(INDEX(Instructions!$B:$B,MATCH("Shrinkage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FTEs",Instructions!$A:$A,0)),12%)),Shrinkage!B27),IF(C27&lt;IFERROR(INDEX(Instructions!$B:$B,MATCH("Shrinkage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27" s="12">
        <f>IF(D27="","",MAX(0,'FT Wise'!AE27-M27*(1-(IF(IFERROR(INDEX(Instructions!$B:$B,MATCH("Shrinkage Source",Instructions!$A:$A,0)),"Shrinkage Sheet")="Shrinkage Sheet",IFERROR(IF(Shrinkage!C27="-",IF(D27&lt;IFERROR(INDEX(Instructions!$B:$B,MATCH("Shrinkage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FTEs",Instructions!$A:$A,0)),12%)),Shrinkage!C27),IF(D27&lt;IFERROR(INDEX(Instructions!$B:$B,MATCH("Shrinkage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27" s="12">
        <f>IF(E27="","",MAX(0,'FT Wise'!AF27-N27*(1-(IF(IFERROR(INDEX(Instructions!$B:$B,MATCH("Shrinkage Source",Instructions!$A:$A,0)),"Shrinkage Sheet")="Shrinkage Sheet",IFERROR(IF(Shrinkage!D27="-",IF(E27&lt;IFERROR(INDEX(Instructions!$B:$B,MATCH("Shrinkage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FTEs",Instructions!$A:$A,0)),12%)),Shrinkage!D27),IF(E27&lt;IFERROR(INDEX(Instructions!$B:$B,MATCH("Shrinkage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27" s="12">
        <f>IF(F27="","",MAX(0,'FT Wise'!AG27-O27*(1-(IF(IFERROR(INDEX(Instructions!$B:$B,MATCH("Shrinkage Source",Instructions!$A:$A,0)),"Shrinkage Sheet")="Shrinkage Sheet",IFERROR(IF(Shrinkage!E27="-",IF(F27&lt;IFERROR(INDEX(Instructions!$B:$B,MATCH("Shrinkage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FTEs",Instructions!$A:$A,0)),12%)),Shrinkage!E27),IF(F27&lt;IFERROR(INDEX(Instructions!$B:$B,MATCH("Shrinkage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27" s="12">
        <f>IF(G27="","",MAX(0,'FT Wise'!AH27-P27*(1-(IF(IFERROR(INDEX(Instructions!$B:$B,MATCH("Shrinkage Source",Instructions!$A:$A,0)),"Shrinkage Sheet")="Shrinkage Sheet",IFERROR(IF(Shrinkage!F27="-",IF(G27&lt;IFERROR(INDEX(Instructions!$B:$B,MATCH("Shrinkage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FTEs",Instructions!$A:$A,0)),12%)),Shrinkage!F27),IF(G27&lt;IFERROR(INDEX(Instructions!$B:$B,MATCH("Shrinkage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27" s="12">
        <f>IF(H27="","",MAX(0,'FT Wise'!AI27-Q27*(1-(IF(IFERROR(INDEX(Instructions!$B:$B,MATCH("Shrinkage Source",Instructions!$A:$A,0)),"Shrinkage Sheet")="Shrinkage Sheet",IFERROR(IF(Shrinkage!G27="-",IF(H27&lt;IFERROR(INDEX(Instructions!$B:$B,MATCH("Shrinkage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FTEs",Instructions!$A:$A,0)),12%)),Shrinkage!G27),IF(H27&lt;IFERROR(INDEX(Instructions!$B:$B,MATCH("Shrinkage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27" s="12">
        <f>IF(I27="","",MAX(0,'FT Wise'!AJ27-R27*(1-(IF(IFERROR(INDEX(Instructions!$B:$B,MATCH("Shrinkage Source",Instructions!$A:$A,0)),"Shrinkage Sheet")="Shrinkage Sheet",IFERROR(IF(Shrinkage!H27="-",IF(I27&lt;IFERROR(INDEX(Instructions!$B:$B,MATCH("Shrinkage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FTEs",Instructions!$A:$A,0)),12%)),Shrinkage!H27),IF(I27&lt;IFERROR(INDEX(Instructions!$B:$B,MATCH("Shrinkage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27" s="12" t="inlineStr">
        <is>
          <t>23:00</t>
        </is>
      </c>
      <c r="AD27" s="53">
        <f>IFERROR(U27/C27,"")</f>
        <v/>
      </c>
      <c r="AE27" s="53">
        <f>IFERROR(V27/D27,"")</f>
        <v/>
      </c>
      <c r="AF27" s="53">
        <f>IFERROR(W27/E27,"")</f>
        <v/>
      </c>
      <c r="AG27" s="53">
        <f>IFERROR(X27/F27,"")</f>
        <v/>
      </c>
      <c r="AH27" s="53">
        <f>IFERROR(Y27/G27,"")</f>
        <v/>
      </c>
      <c r="AI27" s="53">
        <f>IFERROR(Z27/H27,"")</f>
        <v/>
      </c>
      <c r="AJ27" s="53">
        <f>IFERROR(AA27/I27,"")</f>
        <v/>
      </c>
    </row>
  </sheetData>
  <mergeCells count="4">
    <mergeCell ref="AC1:AJ1"/>
    <mergeCell ref="B1:I1"/>
    <mergeCell ref="T1:AA1"/>
    <mergeCell ref="K1:R1"/>
  </mergeCells>
  <conditionalFormatting sqref="AD4:AJ27">
    <cfRule type="cellIs" priority="1" operator="lessThan" dxfId="16">
      <formula>0</formula>
    </cfRule>
    <cfRule type="cellIs" priority="2" operator="greaterThanOrEqual" dxfId="15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FF2CC"/>
    <outlinePr summaryBelow="1" summaryRight="1"/>
    <pageSetUpPr/>
  </sheetPr>
  <dimension ref="A1:L340"/>
  <sheetViews>
    <sheetView showGridLines="0" workbookViewId="0">
      <selection activeCell="A1" sqref="A1:XFD1048576"/>
    </sheetView>
  </sheetViews>
  <sheetFormatPr baseColWidth="8" defaultColWidth="14.5703125" defaultRowHeight="15"/>
  <cols>
    <col width="14.5703125" customWidth="1" style="29" min="1" max="1"/>
    <col width="14.5703125" customWidth="1" style="29" min="2" max="16384"/>
  </cols>
  <sheetData>
    <row r="1" ht="30" customHeight="1" s="45">
      <c r="A1" s="6" t="inlineStr">
        <is>
          <t>Break Row</t>
        </is>
      </c>
      <c r="B1" s="6" t="inlineStr">
        <is>
          <t>Slot</t>
        </is>
      </c>
      <c r="C1" s="6" t="inlineStr">
        <is>
          <t>Day</t>
        </is>
      </c>
      <c r="D1" s="6" t="inlineStr">
        <is>
          <t>Date</t>
        </is>
      </c>
      <c r="E1" s="6" t="inlineStr">
        <is>
          <t>Shift</t>
        </is>
      </c>
      <c r="F1" s="6" t="inlineStr">
        <is>
          <t>Break Type</t>
        </is>
      </c>
      <c r="G1" s="6" t="inlineStr">
        <is>
          <t>Break Start</t>
        </is>
      </c>
      <c r="H1" s="6" t="inlineStr">
        <is>
          <t>Break End</t>
        </is>
      </c>
      <c r="I1" s="6" t="inlineStr">
        <is>
          <t>Duration Hours</t>
        </is>
      </c>
      <c r="J1" s="6" t="inlineStr">
        <is>
          <t>Break Start Abs</t>
        </is>
      </c>
      <c r="K1" s="6" t="inlineStr">
        <is>
          <t>Break End Abs</t>
        </is>
      </c>
      <c r="L1" s="6" t="inlineStr">
        <is>
          <t>Formula Notes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C6E0B4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2" customWidth="1" style="45" min="1" max="9"/>
  </cols>
  <sheetData>
    <row r="1" ht="21.95" customHeight="1" s="45">
      <c r="A1" s="48" t="inlineStr">
        <is>
          <t>Metric</t>
        </is>
      </c>
      <c r="B1" s="48" t="inlineStr">
        <is>
          <t>Sun</t>
        </is>
      </c>
      <c r="C1" s="48" t="inlineStr">
        <is>
          <t>Mon</t>
        </is>
      </c>
      <c r="D1" s="48" t="inlineStr">
        <is>
          <t>Tue</t>
        </is>
      </c>
      <c r="E1" s="48" t="inlineStr">
        <is>
          <t>Wed</t>
        </is>
      </c>
      <c r="F1" s="48" t="inlineStr">
        <is>
          <t>Thu</t>
        </is>
      </c>
      <c r="G1" s="48" t="inlineStr">
        <is>
          <t>Fri</t>
        </is>
      </c>
      <c r="H1" s="48" t="inlineStr">
        <is>
          <t>Sat</t>
        </is>
      </c>
      <c r="I1" s="48" t="inlineStr">
        <is>
          <t>Weekly</t>
        </is>
      </c>
    </row>
    <row r="2" ht="21.95" customHeight="1" s="45"/>
    <row r="3" ht="21.95" customHeight="1" s="45"/>
    <row r="4" ht="21.95" customHeight="1" s="45"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21.95" customHeight="1" s="45"/>
    <row r="6" ht="21.95" customHeight="1" s="45"/>
    <row r="7" ht="21.95" customHeight="1" s="45"/>
    <row r="8" ht="21.95" customHeight="1" s="45">
      <c r="B8" s="54" t="n"/>
      <c r="C8" s="54" t="n"/>
      <c r="D8" s="54" t="n"/>
      <c r="E8" s="54" t="n"/>
      <c r="F8" s="54" t="n"/>
      <c r="G8" s="54" t="n"/>
      <c r="H8" s="54" t="n"/>
      <c r="I8" s="54" t="n"/>
    </row>
    <row r="9" ht="21.95" customHeight="1" s="45"/>
    <row r="10" ht="21.95" customHeight="1" s="45"/>
    <row r="11" ht="21.95" customHeight="1" s="45"/>
    <row r="12" ht="21.95" customHeight="1" s="45"/>
    <row r="13" ht="21.95" customHeight="1" s="45"/>
    <row r="14" ht="21.95" customHeight="1" s="45"/>
    <row r="15" ht="21.95" customHeight="1" s="45"/>
    <row r="16" ht="21.95" customHeight="1" s="45"/>
    <row r="17" ht="21.95" customHeight="1" s="45"/>
    <row r="18" ht="21.95" customHeight="1" s="45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F4B183"/>
    <outlinePr summaryBelow="1" summaryRight="1"/>
    <pageSetUpPr/>
  </sheetPr>
  <dimension ref="A1:P251"/>
  <sheetViews>
    <sheetView showGridLines="0" workbookViewId="0">
      <selection activeCell="A1" sqref="A1"/>
    </sheetView>
  </sheetViews>
  <sheetFormatPr baseColWidth="8" defaultRowHeight="15"/>
  <cols>
    <col width="8" customWidth="1" style="45" min="1" max="1"/>
    <col width="25" customWidth="1" style="45" min="2" max="2"/>
    <col width="10" customWidth="1" style="45" min="3" max="4"/>
    <col width="12" customWidth="1" style="45" min="5" max="5"/>
    <col width="18" customWidth="1" style="45" min="6" max="7"/>
    <col width="10" customWidth="1" style="45" min="8" max="8"/>
    <col width="18" customWidth="1" style="45" min="9" max="9"/>
    <col width="12" customWidth="1" style="45" min="10" max="11"/>
    <col width="18" customWidth="1" style="45" min="12" max="12"/>
    <col width="12" customWidth="1" style="45" min="13" max="13"/>
    <col width="16" customWidth="1" style="45" min="14" max="14"/>
    <col width="14" customWidth="1" style="45" min="15" max="15"/>
    <col width="60" customWidth="1" style="45" min="16" max="16"/>
  </cols>
  <sheetData>
    <row r="1">
      <c r="A1" s="7" t="inlineStr">
        <is>
          <t>Slot</t>
        </is>
      </c>
      <c r="B1" s="7" t="inlineStr">
        <is>
          <t>Name</t>
        </is>
      </c>
      <c r="C1" s="7" t="inlineStr">
        <is>
          <t>OFF Count</t>
        </is>
      </c>
      <c r="D1" s="7" t="inlineStr">
        <is>
          <t>Leave Count</t>
        </is>
      </c>
      <c r="E1" s="7" t="inlineStr">
        <is>
          <t>Expected OFF</t>
        </is>
      </c>
      <c r="F1" s="7" t="inlineStr">
        <is>
          <t>OFF Pattern Status</t>
        </is>
      </c>
      <c r="G1" s="7" t="inlineStr">
        <is>
          <t>Separate OFF Requested?</t>
        </is>
      </c>
      <c r="H1" s="7" t="inlineStr">
        <is>
          <t>Shift Types</t>
        </is>
      </c>
      <c r="I1" s="7" t="inlineStr">
        <is>
          <t>Shift Type Status</t>
        </is>
      </c>
      <c r="J1" s="7" t="inlineStr">
        <is>
          <t>Work Hours</t>
        </is>
      </c>
      <c r="K1" s="7" t="inlineStr">
        <is>
          <t>Min Rest Gap</t>
        </is>
      </c>
      <c r="L1" s="7" t="inlineStr">
        <is>
          <t>Rest Gap Status</t>
        </is>
      </c>
      <c r="M1" s="7" t="inlineStr">
        <is>
          <t>Invalid Starts</t>
        </is>
      </c>
      <c r="N1" s="7" t="inlineStr">
        <is>
          <t>Blank Interval Waste</t>
        </is>
      </c>
      <c r="O1" s="7" t="inlineStr">
        <is>
          <t>Overall Status</t>
        </is>
      </c>
      <c r="P1" s="7" t="inlineStr">
        <is>
          <t>Comments</t>
        </is>
      </c>
    </row>
    <row r="2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</row>
  </sheetData>
  <conditionalFormatting sqref="O2:O251">
    <cfRule type="expression" priority="1" dxfId="11">
      <formula>$O2&lt;&gt;"OK"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F4B183"/>
    <outlinePr summaryBelow="1" summaryRight="1"/>
    <pageSetUpPr/>
  </sheetPr>
  <dimension ref="A1:J1751"/>
  <sheetViews>
    <sheetView showGridLines="0" workbookViewId="0">
      <selection activeCell="A2" sqref="A2:J1751"/>
    </sheetView>
  </sheetViews>
  <sheetFormatPr baseColWidth="8" defaultRowHeight="15"/>
  <cols>
    <col width="8" customWidth="1" style="45" min="1" max="1"/>
    <col width="25" customWidth="1" style="45" min="2" max="2"/>
    <col width="10" customWidth="1" style="45" min="3" max="3"/>
    <col width="12" customWidth="1" style="45" min="4" max="4"/>
    <col width="16" customWidth="1" style="45" min="5" max="5"/>
    <col width="10" customWidth="1" style="45" min="6" max="7"/>
    <col width="24" customWidth="1" style="45" min="8" max="8"/>
    <col width="14" customWidth="1" style="45" min="9" max="9"/>
    <col width="70" customWidth="1" style="45" min="10" max="10"/>
    <col width="12" customWidth="1" style="45" min="11" max="11"/>
    <col width="40" customWidth="1" style="45" min="12" max="12"/>
  </cols>
  <sheetData>
    <row r="1" ht="30" customHeight="1" s="45">
      <c r="A1" s="6" t="inlineStr">
        <is>
          <t>Slot</t>
        </is>
      </c>
      <c r="B1" s="6" t="inlineStr">
        <is>
          <t>Name</t>
        </is>
      </c>
      <c r="C1" s="6" t="inlineStr">
        <is>
          <t>Day</t>
        </is>
      </c>
      <c r="D1" s="6" t="inlineStr">
        <is>
          <t>Date</t>
        </is>
      </c>
      <c r="E1" s="6" t="inlineStr">
        <is>
          <t>Shift</t>
        </is>
      </c>
      <c r="F1" s="6" t="inlineStr">
        <is>
          <t>Start Abs</t>
        </is>
      </c>
      <c r="G1" s="6" t="inlineStr">
        <is>
          <t>End Abs</t>
        </is>
      </c>
      <c r="H1" s="6" t="inlineStr">
        <is>
          <t>Rest Gap from Previous Work Shift</t>
        </is>
      </c>
      <c r="I1" s="6" t="inlineStr">
        <is>
          <t>Status</t>
        </is>
      </c>
      <c r="J1" s="6" t="inlineStr">
        <is>
          <t>Comment</t>
        </is>
      </c>
    </row>
    <row r="2" ht="30" customHeight="1" s="45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 ht="30" customHeight="1" s="45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 ht="30" customHeight="1" s="45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 ht="30" customHeight="1" s="4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 ht="30" customHeight="1" s="45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0" customHeight="1" s="45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 ht="30" customHeight="1" s="45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 ht="30" customHeight="1" s="45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 ht="30" customHeight="1" s="45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 ht="30" customHeight="1" s="45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 ht="30" customHeight="1" s="45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 ht="30" customHeight="1" s="45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 ht="30" customHeight="1" s="45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30" customHeight="1" s="4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 ht="30" customHeight="1" s="45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 ht="30" customHeight="1" s="45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 ht="30" customHeight="1" s="45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 ht="30" customHeight="1" s="45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 ht="30" customHeight="1" s="45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 ht="30" customHeight="1" s="45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 ht="30" customHeight="1" s="45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 ht="30" customHeight="1" s="45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 ht="30" customHeight="1" s="45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 ht="30" customHeight="1" s="4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 ht="30" customHeight="1" s="45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 ht="30" customHeight="1" s="45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 ht="30" customHeight="1" s="45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 ht="30" customHeight="1" s="45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 ht="30" customHeight="1" s="45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 ht="30" customHeight="1" s="45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 ht="30" customHeight="1" s="45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 ht="30" customHeight="1" s="45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 ht="30" customHeight="1" s="45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 ht="30" customHeight="1" s="4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 ht="30" customHeight="1" s="45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 ht="30" customHeight="1" s="45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 ht="30" customHeight="1" s="45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 ht="30" customHeight="1" s="45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 ht="30" customHeight="1" s="45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 ht="30" customHeight="1" s="45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 ht="30" customHeight="1" s="45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 ht="30" customHeight="1" s="45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 ht="30" customHeight="1" s="45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 ht="30" customHeight="1" s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 ht="30" customHeight="1" s="45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 ht="30" customHeight="1" s="45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 ht="30" customHeight="1" s="45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 ht="30" customHeight="1" s="45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 ht="30" customHeight="1" s="45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 ht="30" customHeight="1" s="45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 ht="30" customHeight="1" s="45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 ht="30" customHeight="1" s="45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 ht="30" customHeight="1" s="45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 ht="30" customHeight="1" s="4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 ht="30" customHeight="1" s="45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 ht="30" customHeight="1" s="45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 ht="30" customHeight="1" s="45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 ht="30" customHeight="1" s="45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 ht="30" customHeight="1" s="45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 ht="30" customHeight="1" s="45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 ht="30" customHeight="1" s="45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 ht="30" customHeight="1" s="45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 ht="30" customHeight="1" s="45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 ht="30" customHeight="1" s="4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 ht="30" customHeight="1" s="45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 ht="30" customHeight="1" s="45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 ht="30" customHeight="1" s="45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 ht="30" customHeight="1" s="45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 ht="30" customHeight="1" s="45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 ht="30" customHeight="1" s="45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 ht="30" customHeight="1" s="45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 ht="30" customHeight="1" s="45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 ht="30" customHeight="1" s="45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 ht="30" customHeight="1" s="4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 ht="30" customHeight="1" s="45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 ht="30" customHeight="1" s="45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 ht="30" customHeight="1" s="45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 ht="30" customHeight="1" s="45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 ht="30" customHeight="1" s="45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 ht="30" customHeight="1" s="45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 ht="30" customHeight="1" s="45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 ht="30" customHeight="1" s="45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 ht="30" customHeight="1" s="45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 ht="30" customHeight="1" s="4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 ht="30" customHeight="1" s="45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 ht="30" customHeight="1" s="45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 ht="30" customHeight="1" s="45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 ht="30" customHeight="1" s="45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</row>
    <row r="90" ht="30" customHeight="1" s="45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 ht="30" customHeight="1" s="45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 ht="30" customHeight="1" s="45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 ht="30" customHeight="1" s="45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 ht="30" customHeight="1" s="45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 ht="30" customHeight="1" s="4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 ht="30" customHeight="1" s="45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 ht="30" customHeight="1" s="45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 ht="30" customHeight="1" s="45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 ht="30" customHeight="1" s="45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 ht="30" customHeight="1" s="45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 ht="30" customHeight="1" s="45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 ht="30" customHeight="1" s="45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 ht="30" customHeight="1" s="45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  <row r="104" ht="30" customHeight="1" s="45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</row>
    <row r="105" ht="30" customHeight="1" s="4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</row>
    <row r="106" ht="30" customHeight="1" s="45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</row>
    <row r="107" ht="30" customHeight="1" s="45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</row>
    <row r="108" ht="30" customHeight="1" s="45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</row>
    <row r="109" ht="30" customHeight="1" s="45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</row>
    <row r="110" ht="30" customHeight="1" s="45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</row>
    <row r="111" ht="30" customHeight="1" s="45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</row>
    <row r="112" ht="30" customHeight="1" s="45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</row>
    <row r="113" ht="30" customHeight="1" s="45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</row>
    <row r="114" ht="30" customHeight="1" s="45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</row>
    <row r="115" ht="30" customHeight="1" s="4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</row>
    <row r="116" ht="30" customHeight="1" s="45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</row>
    <row r="117" ht="30" customHeight="1" s="45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</row>
    <row r="118" ht="30" customHeight="1" s="45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</row>
    <row r="119" ht="30" customHeight="1" s="45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</row>
    <row r="120" ht="30" customHeight="1" s="45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</row>
    <row r="121" ht="30" customHeight="1" s="45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</row>
    <row r="122" ht="30" customHeight="1" s="45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</row>
    <row r="123" ht="30" customHeight="1" s="45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</row>
    <row r="124" ht="30" customHeight="1" s="45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</row>
    <row r="125" ht="30" customHeight="1" s="4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</row>
    <row r="126" ht="30" customHeight="1" s="45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</row>
    <row r="127" ht="30" customHeight="1" s="45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</row>
    <row r="128" ht="30" customHeight="1" s="45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</row>
    <row r="129" ht="30" customHeight="1" s="45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</row>
    <row r="130" ht="30" customHeight="1" s="45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</row>
    <row r="131" ht="30" customHeight="1" s="45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</row>
    <row r="132" ht="30" customHeight="1" s="45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</row>
    <row r="133" ht="30" customHeight="1" s="45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</row>
    <row r="134" ht="30" customHeight="1" s="45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</row>
    <row r="135" ht="30" customHeight="1" s="4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</row>
    <row r="136" ht="30" customHeight="1" s="45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</row>
    <row r="137" ht="30" customHeight="1" s="45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</row>
    <row r="138" ht="30" customHeight="1" s="45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</row>
    <row r="139" ht="30" customHeight="1" s="45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</row>
    <row r="140" ht="30" customHeight="1" s="45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</row>
    <row r="141" ht="30" customHeight="1" s="45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</row>
    <row r="142" ht="30" customHeight="1" s="45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</row>
    <row r="143" ht="30" customHeight="1" s="45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</row>
    <row r="144" ht="30" customHeight="1" s="45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</row>
    <row r="145" ht="30" customHeight="1" s="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</row>
    <row r="146" ht="30" customHeight="1" s="45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</row>
    <row r="147" ht="30" customHeight="1" s="45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</row>
    <row r="148" ht="30" customHeight="1" s="45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</row>
    <row r="149" ht="30" customHeight="1" s="45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</row>
    <row r="150" ht="30" customHeight="1" s="45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</row>
    <row r="151" ht="30" customHeight="1" s="45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</row>
    <row r="152" ht="30" customHeight="1" s="45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</row>
    <row r="153" ht="30" customHeight="1" s="45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</row>
    <row r="154" ht="30" customHeight="1" s="45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</row>
    <row r="155" ht="30" customHeight="1" s="4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</row>
    <row r="156" ht="30" customHeight="1" s="45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</row>
    <row r="157" ht="30" customHeight="1" s="45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</row>
    <row r="158" ht="30" customHeight="1" s="45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</row>
    <row r="159" ht="30" customHeight="1" s="45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</row>
    <row r="160" ht="30" customHeight="1" s="45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</row>
    <row r="161" ht="30" customHeight="1" s="45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</row>
    <row r="162" ht="30" customHeight="1" s="45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</row>
    <row r="163" ht="30" customHeight="1" s="45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</row>
    <row r="164" ht="30" customHeight="1" s="45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</row>
    <row r="165" ht="30" customHeight="1" s="4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</row>
    <row r="166" ht="30" customHeight="1" s="45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</row>
    <row r="167" ht="30" customHeight="1" s="45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</row>
    <row r="168" ht="30" customHeight="1" s="45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</row>
    <row r="169" ht="30" customHeight="1" s="45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</row>
    <row r="170" ht="30" customHeight="1" s="45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</row>
    <row r="171" ht="30" customHeight="1" s="45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</row>
    <row r="172" ht="30" customHeight="1" s="45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</row>
    <row r="173" ht="30" customHeight="1" s="45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</row>
    <row r="174" ht="30" customHeight="1" s="45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</row>
    <row r="175" ht="30" customHeight="1" s="4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</row>
    <row r="176" ht="30" customHeight="1" s="45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</row>
    <row r="177" ht="30" customHeight="1" s="45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</row>
    <row r="178" ht="30" customHeight="1" s="45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</row>
    <row r="179" ht="30" customHeight="1" s="45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</row>
    <row r="180" ht="30" customHeight="1" s="45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</row>
    <row r="181" ht="30" customHeight="1" s="45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</row>
    <row r="182" ht="30" customHeight="1" s="45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</row>
    <row r="183" ht="30" customHeight="1" s="45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</row>
    <row r="184" ht="30" customHeight="1" s="45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</row>
    <row r="185" ht="30" customHeight="1" s="4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</row>
    <row r="186" ht="30" customHeight="1" s="45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</row>
    <row r="187" ht="30" customHeight="1" s="45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</row>
    <row r="188" ht="30" customHeight="1" s="45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</row>
    <row r="189" ht="30" customHeight="1" s="45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</row>
    <row r="190" ht="30" customHeight="1" s="45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</row>
    <row r="191" ht="30" customHeight="1" s="45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</row>
    <row r="192" ht="30" customHeight="1" s="45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</row>
    <row r="193" ht="30" customHeight="1" s="45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</row>
    <row r="194" ht="30" customHeight="1" s="45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</row>
    <row r="195" ht="30" customHeight="1" s="4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</row>
    <row r="196" ht="30" customHeight="1" s="45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</row>
    <row r="197" ht="30" customHeight="1" s="45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</row>
    <row r="198" ht="30" customHeight="1" s="45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</row>
    <row r="199" ht="30" customHeight="1" s="45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</row>
    <row r="200" ht="30" customHeight="1" s="45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</row>
    <row r="201" ht="30" customHeight="1" s="45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</row>
    <row r="202" ht="30" customHeight="1" s="45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</row>
    <row r="203" ht="30" customHeight="1" s="45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</row>
    <row r="204" ht="30" customHeight="1" s="45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</row>
    <row r="205" ht="30" customHeight="1" s="4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</row>
    <row r="206" ht="30" customHeight="1" s="45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</row>
    <row r="207" ht="30" customHeight="1" s="45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</row>
    <row r="208" ht="30" customHeight="1" s="45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</row>
    <row r="209" ht="30" customHeight="1" s="45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</row>
    <row r="210" ht="30" customHeight="1" s="45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</row>
    <row r="211" ht="30" customHeight="1" s="45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</row>
    <row r="212" ht="30" customHeight="1" s="45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</row>
    <row r="213" ht="30" customHeight="1" s="45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</row>
    <row r="214" ht="30" customHeight="1" s="45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</row>
    <row r="215" ht="30" customHeight="1" s="4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</row>
    <row r="216" ht="30" customHeight="1" s="45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</row>
    <row r="217" ht="30" customHeight="1" s="45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</row>
    <row r="218" ht="30" customHeight="1" s="45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</row>
    <row r="219" ht="30" customHeight="1" s="45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</row>
    <row r="220" ht="30" customHeight="1" s="45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</row>
    <row r="221" ht="30" customHeight="1" s="45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</row>
    <row r="222" ht="30" customHeight="1" s="45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</row>
    <row r="223" ht="30" customHeight="1" s="45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</row>
    <row r="224" ht="30" customHeight="1" s="45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</row>
    <row r="225" ht="30" customHeight="1" s="4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</row>
    <row r="226" ht="30" customHeight="1" s="45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</row>
    <row r="227" ht="30" customHeight="1" s="45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</row>
    <row r="228" ht="30" customHeight="1" s="45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</row>
    <row r="229" ht="30" customHeight="1" s="45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</row>
    <row r="230" ht="30" customHeight="1" s="45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</row>
    <row r="231" ht="30" customHeight="1" s="45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</row>
    <row r="232" ht="30" customHeight="1" s="45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</row>
    <row r="233" ht="30" customHeight="1" s="45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</row>
    <row r="234" ht="30" customHeight="1" s="45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</row>
    <row r="235" ht="30" customHeight="1" s="4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</row>
    <row r="236" ht="30" customHeight="1" s="45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</row>
    <row r="237" ht="30" customHeight="1" s="45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</row>
    <row r="238" ht="30" customHeight="1" s="45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</row>
    <row r="239" ht="30" customHeight="1" s="45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</row>
    <row r="240" ht="30" customHeight="1" s="45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</row>
    <row r="241" ht="30" customHeight="1" s="45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</row>
    <row r="242" ht="30" customHeight="1" s="45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</row>
    <row r="243" ht="30" customHeight="1" s="45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</row>
    <row r="244" ht="30" customHeight="1" s="45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</row>
    <row r="245" ht="30" customHeight="1" s="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</row>
    <row r="246" ht="30" customHeight="1" s="45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</row>
    <row r="247" ht="30" customHeight="1" s="45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</row>
    <row r="248" ht="30" customHeight="1" s="45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</row>
    <row r="249" ht="30" customHeight="1" s="45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</row>
    <row r="250" ht="30" customHeight="1" s="45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</row>
    <row r="251" ht="30" customHeight="1" s="45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</row>
    <row r="252" ht="30" customHeight="1" s="45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</row>
    <row r="253" ht="30" customHeight="1" s="45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</row>
    <row r="254" ht="30" customHeight="1" s="45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</row>
    <row r="255" ht="30" customHeight="1" s="4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</row>
    <row r="256" ht="30" customHeight="1" s="45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</row>
    <row r="257" ht="30" customHeight="1" s="45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</row>
    <row r="258" ht="30" customHeight="1" s="45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</row>
    <row r="259" ht="30" customHeight="1" s="45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</row>
    <row r="260" ht="30" customHeight="1" s="45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</row>
    <row r="261" ht="30" customHeight="1" s="45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</row>
    <row r="262" ht="30" customHeight="1" s="45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</row>
    <row r="263" ht="30" customHeight="1" s="45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</row>
    <row r="264" ht="30" customHeight="1" s="45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</row>
    <row r="265" ht="30" customHeight="1" s="4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</row>
    <row r="266" ht="30" customHeight="1" s="45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</row>
    <row r="267" ht="30" customHeight="1" s="45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</row>
    <row r="268" ht="30" customHeight="1" s="45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</row>
    <row r="269" ht="30" customHeight="1" s="45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</row>
    <row r="270" ht="30" customHeight="1" s="45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</row>
    <row r="271" ht="30" customHeight="1" s="45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</row>
    <row r="272" ht="30" customHeight="1" s="45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</row>
    <row r="273" ht="30" customHeight="1" s="45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</row>
    <row r="274" ht="30" customHeight="1" s="45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</row>
    <row r="275" ht="30" customHeight="1" s="4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</row>
    <row r="276" ht="30" customHeight="1" s="45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</row>
    <row r="277" ht="30" customHeight="1" s="45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</row>
    <row r="278" ht="30" customHeight="1" s="45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</row>
    <row r="279" ht="30" customHeight="1" s="45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</row>
    <row r="280" ht="30" customHeight="1" s="45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</row>
    <row r="281" ht="30" customHeight="1" s="45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</row>
    <row r="282" ht="30" customHeight="1" s="45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</row>
    <row r="283" ht="30" customHeight="1" s="45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</row>
    <row r="284" ht="30" customHeight="1" s="45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</row>
    <row r="285" ht="30" customHeight="1" s="4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</row>
    <row r="286" ht="30" customHeight="1" s="45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</row>
    <row r="287" ht="30" customHeight="1" s="45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</row>
    <row r="288" ht="30" customHeight="1" s="45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</row>
    <row r="289" ht="30" customHeight="1" s="45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</row>
    <row r="290" ht="30" customHeight="1" s="45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</row>
    <row r="291" ht="30" customHeight="1" s="45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</row>
    <row r="292" ht="30" customHeight="1" s="45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</row>
    <row r="293" ht="30" customHeight="1" s="45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</row>
    <row r="294" ht="30" customHeight="1" s="45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</row>
    <row r="295" ht="30" customHeight="1" s="4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</row>
    <row r="296" ht="30" customHeight="1" s="45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</row>
    <row r="297" ht="30" customHeight="1" s="45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</row>
    <row r="298" ht="30" customHeight="1" s="45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</row>
    <row r="299" ht="30" customHeight="1" s="45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</row>
    <row r="300" ht="30" customHeight="1" s="45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</row>
    <row r="301" ht="30" customHeight="1" s="45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</row>
    <row r="302" ht="30" customHeight="1" s="45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</row>
    <row r="303" ht="30" customHeight="1" s="45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</row>
    <row r="304" ht="30" customHeight="1" s="45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</row>
    <row r="305" ht="30" customHeight="1" s="4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</row>
    <row r="306" ht="30" customHeight="1" s="45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</row>
    <row r="307" ht="30" customHeight="1" s="45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</row>
    <row r="308" ht="30" customHeight="1" s="45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</row>
    <row r="309" ht="30" customHeight="1" s="45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</row>
    <row r="310" ht="30" customHeight="1" s="45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</row>
    <row r="311" ht="30" customHeight="1" s="45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</row>
    <row r="312" ht="30" customHeight="1" s="45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</row>
    <row r="313" ht="30" customHeight="1" s="45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</row>
    <row r="314" ht="30" customHeight="1" s="45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</row>
    <row r="315" ht="30" customHeight="1" s="4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</row>
    <row r="316" ht="30" customHeight="1" s="45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</row>
    <row r="317" ht="30" customHeight="1" s="45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</row>
    <row r="318" ht="30" customHeight="1" s="45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</row>
    <row r="319" ht="30" customHeight="1" s="45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</row>
    <row r="320" ht="30" customHeight="1" s="45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</row>
    <row r="321" ht="30" customHeight="1" s="45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</row>
    <row r="322" ht="30" customHeight="1" s="45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</row>
    <row r="323" ht="30" customHeight="1" s="45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</row>
    <row r="324" ht="30" customHeight="1" s="45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</row>
    <row r="325" ht="30" customHeight="1" s="4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</row>
    <row r="326" ht="30" customHeight="1" s="45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</row>
    <row r="327" ht="30" customHeight="1" s="45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</row>
    <row r="328" ht="30" customHeight="1" s="45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</row>
    <row r="329" ht="30" customHeight="1" s="45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</row>
    <row r="330" ht="30" customHeight="1" s="45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</row>
    <row r="331" ht="30" customHeight="1" s="45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</row>
    <row r="332" ht="30" customHeight="1" s="45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</row>
    <row r="333" ht="30" customHeight="1" s="45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</row>
    <row r="334" ht="30" customHeight="1" s="45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</row>
    <row r="335" ht="30" customHeight="1" s="4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</row>
    <row r="336" ht="30" customHeight="1" s="45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</row>
    <row r="337" ht="30" customHeight="1" s="45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</row>
    <row r="338" ht="30" customHeight="1" s="45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</row>
    <row r="339" ht="30" customHeight="1" s="45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</row>
    <row r="340" ht="30" customHeight="1" s="45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</row>
    <row r="341" ht="30" customHeight="1" s="45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</row>
    <row r="342" ht="30" customHeight="1" s="45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</row>
    <row r="343" ht="30" customHeight="1" s="45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</row>
    <row r="344" ht="30" customHeight="1" s="45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</row>
    <row r="345" ht="30" customHeight="1" s="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</row>
    <row r="346" ht="30" customHeight="1" s="45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</row>
    <row r="347" ht="30" customHeight="1" s="45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</row>
    <row r="348" ht="30" customHeight="1" s="45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</row>
    <row r="349" ht="30" customHeight="1" s="45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</row>
    <row r="350" ht="30" customHeight="1" s="45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</row>
    <row r="351" ht="30" customHeight="1" s="45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</row>
    <row r="352" ht="30" customHeight="1" s="45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</row>
    <row r="353" ht="30" customHeight="1" s="45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</row>
    <row r="354" ht="30" customHeight="1" s="45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</row>
    <row r="355" ht="30" customHeight="1" s="4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</row>
    <row r="356" ht="30" customHeight="1" s="45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</row>
    <row r="357" ht="30" customHeight="1" s="45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</row>
    <row r="358" ht="30" customHeight="1" s="45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</row>
    <row r="359" ht="30" customHeight="1" s="45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</row>
    <row r="360" ht="30" customHeight="1" s="45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</row>
    <row r="361" ht="30" customHeight="1" s="45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</row>
    <row r="362" ht="30" customHeight="1" s="45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</row>
    <row r="363" ht="30" customHeight="1" s="45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</row>
    <row r="364" ht="30" customHeight="1" s="45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</row>
    <row r="365" ht="30" customHeight="1" s="4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</row>
    <row r="366" ht="30" customHeight="1" s="45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</row>
    <row r="367" ht="30" customHeight="1" s="45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</row>
    <row r="368" ht="30" customHeight="1" s="45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</row>
    <row r="369" ht="30" customHeight="1" s="45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</row>
    <row r="370" ht="30" customHeight="1" s="45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</row>
    <row r="371" ht="30" customHeight="1" s="45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</row>
    <row r="372" ht="30" customHeight="1" s="45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</row>
    <row r="373" ht="30" customHeight="1" s="45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</row>
    <row r="374" ht="30" customHeight="1" s="45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</row>
    <row r="375" ht="30" customHeight="1" s="4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</row>
    <row r="376" ht="30" customHeight="1" s="45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</row>
    <row r="377" ht="30" customHeight="1" s="45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</row>
    <row r="378" ht="30" customHeight="1" s="45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</row>
    <row r="379" ht="30" customHeight="1" s="45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</row>
    <row r="380" ht="30" customHeight="1" s="45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</row>
    <row r="381" ht="30" customHeight="1" s="45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</row>
    <row r="382" ht="30" customHeight="1" s="45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</row>
    <row r="383" ht="30" customHeight="1" s="45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</row>
    <row r="384" ht="30" customHeight="1" s="45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</row>
    <row r="385" ht="30" customHeight="1" s="4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</row>
    <row r="386" ht="30" customHeight="1" s="45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</row>
    <row r="387" ht="30" customHeight="1" s="45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</row>
    <row r="388" ht="30" customHeight="1" s="45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</row>
    <row r="389" ht="30" customHeight="1" s="45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</row>
    <row r="390" ht="30" customHeight="1" s="45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</row>
    <row r="391" ht="30" customHeight="1" s="45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</row>
    <row r="392" ht="30" customHeight="1" s="45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</row>
    <row r="393" ht="30" customHeight="1" s="45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</row>
    <row r="394" ht="30" customHeight="1" s="45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</row>
    <row r="395" ht="30" customHeight="1" s="4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</row>
    <row r="396" ht="30" customHeight="1" s="45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</row>
    <row r="397" ht="30" customHeight="1" s="45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</row>
    <row r="398" ht="30" customHeight="1" s="45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</row>
    <row r="399" ht="30" customHeight="1" s="45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</row>
    <row r="400" ht="30" customHeight="1" s="45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</row>
    <row r="401" ht="30" customHeight="1" s="45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</row>
    <row r="402" ht="30" customHeight="1" s="45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</row>
    <row r="403" ht="30" customHeight="1" s="45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</row>
    <row r="404" ht="30" customHeight="1" s="45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</row>
    <row r="405" ht="30" customHeight="1" s="4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</row>
    <row r="406" ht="30" customHeight="1" s="45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</row>
    <row r="407" ht="30" customHeight="1" s="45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</row>
    <row r="408" ht="30" customHeight="1" s="45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</row>
    <row r="409" ht="30" customHeight="1" s="45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</row>
    <row r="410" ht="30" customHeight="1" s="45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</row>
    <row r="411" ht="30" customHeight="1" s="45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</row>
    <row r="412" ht="30" customHeight="1" s="45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</row>
    <row r="413" ht="30" customHeight="1" s="45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</row>
    <row r="414" ht="30" customHeight="1" s="45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</row>
    <row r="415" ht="30" customHeight="1" s="4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</row>
    <row r="416" ht="30" customHeight="1" s="45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</row>
    <row r="417" ht="30" customHeight="1" s="45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</row>
    <row r="418" ht="30" customHeight="1" s="45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</row>
    <row r="419" ht="30" customHeight="1" s="45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</row>
    <row r="420" ht="30" customHeight="1" s="45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</row>
    <row r="421" ht="30" customHeight="1" s="45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</row>
    <row r="422" ht="30" customHeight="1" s="45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</row>
    <row r="423" ht="30" customHeight="1" s="45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</row>
    <row r="424" ht="30" customHeight="1" s="45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</row>
    <row r="425" ht="30" customHeight="1" s="4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</row>
    <row r="426" ht="30" customHeight="1" s="45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</row>
    <row r="427" ht="30" customHeight="1" s="45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</row>
    <row r="428" ht="30" customHeight="1" s="45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</row>
    <row r="429" ht="30" customHeight="1" s="45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</row>
    <row r="430" ht="30" customHeight="1" s="45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</row>
    <row r="431" ht="30" customHeight="1" s="45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</row>
    <row r="432" ht="30" customHeight="1" s="45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</row>
    <row r="433" ht="30" customHeight="1" s="45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</row>
    <row r="434" ht="30" customHeight="1" s="45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</row>
    <row r="435" ht="30" customHeight="1" s="4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</row>
    <row r="436" ht="30" customHeight="1" s="45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</row>
    <row r="437" ht="30" customHeight="1" s="45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</row>
    <row r="438" ht="30" customHeight="1" s="45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</row>
    <row r="439" ht="30" customHeight="1" s="45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</row>
    <row r="440" ht="30" customHeight="1" s="45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</row>
    <row r="441" ht="30" customHeight="1" s="45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</row>
    <row r="442" ht="30" customHeight="1" s="45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</row>
    <row r="443" ht="30" customHeight="1" s="45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</row>
    <row r="444" ht="30" customHeight="1" s="45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</row>
    <row r="445" ht="30" customHeight="1" s="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</row>
    <row r="446" ht="30" customHeight="1" s="45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</row>
    <row r="447" ht="30" customHeight="1" s="45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</row>
    <row r="448" ht="30" customHeight="1" s="45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</row>
    <row r="449" ht="30" customHeight="1" s="45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</row>
    <row r="450" ht="30" customHeight="1" s="45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</row>
    <row r="451" ht="30" customHeight="1" s="45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</row>
    <row r="452" ht="30" customHeight="1" s="45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</row>
    <row r="453" ht="30" customHeight="1" s="45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</row>
    <row r="454" ht="30" customHeight="1" s="45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</row>
    <row r="455" ht="30" customHeight="1" s="4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</row>
    <row r="456" ht="30" customHeight="1" s="45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</row>
    <row r="457" ht="30" customHeight="1" s="45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</row>
    <row r="458" ht="30" customHeight="1" s="45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</row>
    <row r="459" ht="30" customHeight="1" s="45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</row>
    <row r="460" ht="30" customHeight="1" s="45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</row>
    <row r="461" ht="30" customHeight="1" s="45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</row>
    <row r="462" ht="30" customHeight="1" s="45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</row>
    <row r="463" ht="30" customHeight="1" s="45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</row>
    <row r="464" ht="30" customHeight="1" s="45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</row>
    <row r="465" ht="30" customHeight="1" s="4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</row>
    <row r="466" ht="30" customHeight="1" s="45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</row>
    <row r="467" ht="30" customHeight="1" s="45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</row>
    <row r="468" ht="30" customHeight="1" s="45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</row>
    <row r="469" ht="30" customHeight="1" s="45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</row>
    <row r="470" ht="30" customHeight="1" s="45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</row>
    <row r="471" ht="30" customHeight="1" s="45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</row>
    <row r="472" ht="30" customHeight="1" s="45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</row>
    <row r="473" ht="30" customHeight="1" s="45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</row>
    <row r="474" ht="30" customHeight="1" s="45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</row>
    <row r="475" ht="30" customHeight="1" s="4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</row>
    <row r="476" ht="30" customHeight="1" s="45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</row>
    <row r="477" ht="30" customHeight="1" s="45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</row>
    <row r="478" ht="30" customHeight="1" s="45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</row>
    <row r="479" ht="30" customHeight="1" s="45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</row>
    <row r="480" ht="30" customHeight="1" s="45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</row>
    <row r="481" ht="30" customHeight="1" s="45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</row>
    <row r="482" ht="30" customHeight="1" s="45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</row>
    <row r="483" ht="30" customHeight="1" s="45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</row>
    <row r="484" ht="30" customHeight="1" s="45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</row>
    <row r="485" ht="30" customHeight="1" s="4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</row>
    <row r="486" ht="30" customHeight="1" s="45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</row>
    <row r="487" ht="30" customHeight="1" s="45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</row>
    <row r="488" ht="30" customHeight="1" s="45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</row>
    <row r="489" ht="30" customHeight="1" s="45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</row>
    <row r="490" ht="30" customHeight="1" s="45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</row>
    <row r="491" ht="30" customHeight="1" s="45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</row>
    <row r="492" ht="30" customHeight="1" s="45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</row>
    <row r="493" ht="30" customHeight="1" s="45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</row>
    <row r="494" ht="30" customHeight="1" s="45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</row>
    <row r="495" ht="30" customHeight="1" s="4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</row>
    <row r="496" ht="30" customHeight="1" s="45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</row>
    <row r="497" ht="30" customHeight="1" s="45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</row>
    <row r="498" ht="30" customHeight="1" s="45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</row>
    <row r="499" ht="30" customHeight="1" s="45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</row>
    <row r="500" ht="30" customHeight="1" s="45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</row>
    <row r="501" ht="30" customHeight="1" s="45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</row>
    <row r="502" ht="30" customHeight="1" s="45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</row>
    <row r="503" ht="30" customHeight="1" s="45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</row>
    <row r="504" ht="30" customHeight="1" s="45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</row>
    <row r="505" ht="30" customHeight="1" s="4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</row>
    <row r="506" ht="30" customHeight="1" s="45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</row>
    <row r="507" ht="30" customHeight="1" s="45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</row>
    <row r="508" ht="30" customHeight="1" s="45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</row>
    <row r="509" ht="30" customHeight="1" s="45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</row>
    <row r="510" ht="30" customHeight="1" s="45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</row>
    <row r="511" ht="30" customHeight="1" s="45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</row>
    <row r="512" ht="30" customHeight="1" s="45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</row>
    <row r="513" ht="30" customHeight="1" s="45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</row>
    <row r="514" ht="30" customHeight="1" s="45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</row>
    <row r="515" ht="30" customHeight="1" s="4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</row>
    <row r="516" ht="30" customHeight="1" s="45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</row>
    <row r="517" ht="30" customHeight="1" s="45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</row>
    <row r="518" ht="30" customHeight="1" s="45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</row>
    <row r="519" ht="30" customHeight="1" s="45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</row>
    <row r="520" ht="30" customHeight="1" s="45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</row>
    <row r="521" ht="30" customHeight="1" s="45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</row>
    <row r="522" ht="30" customHeight="1" s="45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</row>
    <row r="523" ht="30" customHeight="1" s="45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</row>
    <row r="524" ht="30" customHeight="1" s="45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</row>
    <row r="525" ht="30" customHeight="1" s="4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</row>
    <row r="526" ht="30" customHeight="1" s="45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</row>
    <row r="527" ht="30" customHeight="1" s="45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</row>
    <row r="528" ht="30" customHeight="1" s="45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</row>
    <row r="529" ht="30" customHeight="1" s="45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</row>
    <row r="530" ht="30" customHeight="1" s="45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</row>
    <row r="531" ht="30" customHeight="1" s="45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</row>
    <row r="532" ht="30" customHeight="1" s="45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</row>
    <row r="533" ht="30" customHeight="1" s="45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</row>
    <row r="534" ht="30" customHeight="1" s="45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</row>
    <row r="535" ht="30" customHeight="1" s="4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</row>
    <row r="536" ht="30" customHeight="1" s="45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</row>
    <row r="537" ht="30" customHeight="1" s="45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</row>
    <row r="538" ht="30" customHeight="1" s="45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</row>
    <row r="539" ht="30" customHeight="1" s="45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</row>
    <row r="540" ht="30" customHeight="1" s="45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</row>
    <row r="541" ht="30" customHeight="1" s="45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</row>
    <row r="542" ht="30" customHeight="1" s="45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</row>
    <row r="543" ht="30" customHeight="1" s="45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</row>
    <row r="544" ht="30" customHeight="1" s="45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</row>
    <row r="545" ht="30" customHeight="1" s="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</row>
    <row r="546" ht="30" customHeight="1" s="45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</row>
    <row r="547" ht="30" customHeight="1" s="45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</row>
    <row r="548" ht="30" customHeight="1" s="45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</row>
    <row r="549" ht="30" customHeight="1" s="45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</row>
    <row r="550" ht="30" customHeight="1" s="45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</row>
    <row r="551" ht="30" customHeight="1" s="45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</row>
    <row r="552" ht="30" customHeight="1" s="45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</row>
    <row r="553" ht="30" customHeight="1" s="45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</row>
    <row r="554" ht="30" customHeight="1" s="45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</row>
    <row r="555" ht="30" customHeight="1" s="4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</row>
    <row r="556" ht="30" customHeight="1" s="45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</row>
    <row r="557" ht="30" customHeight="1" s="45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</row>
    <row r="558" ht="30" customHeight="1" s="45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</row>
    <row r="559" ht="30" customHeight="1" s="45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</row>
    <row r="560" ht="30" customHeight="1" s="45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</row>
    <row r="561" ht="30" customHeight="1" s="45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</row>
    <row r="562" ht="30" customHeight="1" s="45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</row>
    <row r="563" ht="30" customHeight="1" s="45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</row>
    <row r="564" ht="30" customHeight="1" s="45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</row>
    <row r="565" ht="30" customHeight="1" s="4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</row>
    <row r="566" ht="30" customHeight="1" s="45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</row>
    <row r="567" ht="30" customHeight="1" s="45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</row>
    <row r="568" ht="30" customHeight="1" s="45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</row>
    <row r="569" ht="30" customHeight="1" s="45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</row>
    <row r="570" ht="30" customHeight="1" s="45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</row>
    <row r="571" ht="30" customHeight="1" s="45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</row>
    <row r="572" ht="30" customHeight="1" s="45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</row>
    <row r="573" ht="30" customHeight="1" s="45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</row>
    <row r="574" ht="30" customHeight="1" s="45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</row>
    <row r="575" ht="30" customHeight="1" s="4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</row>
    <row r="576" ht="30" customHeight="1" s="45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</row>
    <row r="577" ht="30" customHeight="1" s="45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</row>
    <row r="578" ht="30" customHeight="1" s="45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</row>
    <row r="579" ht="30" customHeight="1" s="45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</row>
    <row r="580" ht="30" customHeight="1" s="45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</row>
    <row r="581" ht="30" customHeight="1" s="45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</row>
    <row r="582" ht="30" customHeight="1" s="45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</row>
    <row r="583" ht="30" customHeight="1" s="45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</row>
    <row r="584" ht="30" customHeight="1" s="45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</row>
    <row r="585" ht="30" customHeight="1" s="4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</row>
    <row r="586" ht="30" customHeight="1" s="45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</row>
    <row r="587" ht="30" customHeight="1" s="45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</row>
    <row r="588" ht="30" customHeight="1" s="45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</row>
    <row r="589" ht="30" customHeight="1" s="45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</row>
    <row r="590" ht="30" customHeight="1" s="45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</row>
    <row r="591" ht="30" customHeight="1" s="45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</row>
    <row r="592" ht="30" customHeight="1" s="45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</row>
    <row r="593" ht="30" customHeight="1" s="45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</row>
    <row r="594" ht="30" customHeight="1" s="45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</row>
    <row r="595" ht="30" customHeight="1" s="4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</row>
    <row r="596" ht="30" customHeight="1" s="45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</row>
    <row r="597" ht="30" customHeight="1" s="45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</row>
    <row r="598" ht="30" customHeight="1" s="45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</row>
    <row r="599" ht="30" customHeight="1" s="45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</row>
    <row r="600" ht="30" customHeight="1" s="45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</row>
    <row r="601" ht="30" customHeight="1" s="45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</row>
    <row r="602" ht="30" customHeight="1" s="45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</row>
    <row r="603" ht="30" customHeight="1" s="45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</row>
    <row r="604" ht="30" customHeight="1" s="45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</row>
    <row r="605" ht="30" customHeight="1" s="4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</row>
    <row r="606" ht="30" customHeight="1" s="45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</row>
    <row r="607" ht="30" customHeight="1" s="45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</row>
    <row r="608" ht="30" customHeight="1" s="45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</row>
    <row r="609" ht="30" customHeight="1" s="45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</row>
    <row r="610" ht="30" customHeight="1" s="45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</row>
    <row r="611" ht="30" customHeight="1" s="45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</row>
    <row r="612" ht="30" customHeight="1" s="45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</row>
    <row r="613" ht="30" customHeight="1" s="45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</row>
    <row r="614" ht="30" customHeight="1" s="45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</row>
    <row r="615" ht="30" customHeight="1" s="4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</row>
    <row r="616" ht="30" customHeight="1" s="45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</row>
    <row r="617" ht="30" customHeight="1" s="45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</row>
    <row r="618" ht="30" customHeight="1" s="45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</row>
    <row r="619" ht="30" customHeight="1" s="45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</row>
    <row r="620" ht="30" customHeight="1" s="45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</row>
    <row r="621" ht="30" customHeight="1" s="45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</row>
    <row r="622" ht="30" customHeight="1" s="45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</row>
    <row r="623" ht="30" customHeight="1" s="45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</row>
    <row r="624" ht="30" customHeight="1" s="45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</row>
    <row r="625" ht="30" customHeight="1" s="4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</row>
    <row r="626" ht="30" customHeight="1" s="45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</row>
    <row r="627" ht="30" customHeight="1" s="45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</row>
    <row r="628" ht="30" customHeight="1" s="45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</row>
    <row r="629" ht="30" customHeight="1" s="45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</row>
    <row r="630" ht="30" customHeight="1" s="45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</row>
    <row r="631" ht="30" customHeight="1" s="45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</row>
    <row r="632" ht="30" customHeight="1" s="45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</row>
    <row r="633" ht="30" customHeight="1" s="45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</row>
    <row r="634" ht="30" customHeight="1" s="45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</row>
    <row r="635" ht="30" customHeight="1" s="4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</row>
    <row r="636" ht="30" customHeight="1" s="45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</row>
    <row r="637" ht="30" customHeight="1" s="45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</row>
    <row r="638" ht="30" customHeight="1" s="45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</row>
    <row r="639" ht="30" customHeight="1" s="45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</row>
    <row r="640" ht="30" customHeight="1" s="45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</row>
    <row r="641" ht="30" customHeight="1" s="45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</row>
    <row r="642" ht="30" customHeight="1" s="45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</row>
    <row r="643" ht="30" customHeight="1" s="45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</row>
    <row r="644" ht="30" customHeight="1" s="45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</row>
    <row r="645" ht="30" customHeight="1" s="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</row>
    <row r="646" ht="30" customHeight="1" s="45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</row>
    <row r="647" ht="30" customHeight="1" s="45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</row>
    <row r="648" ht="30" customHeight="1" s="45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</row>
    <row r="649" ht="30" customHeight="1" s="45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</row>
    <row r="650" ht="30" customHeight="1" s="45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</row>
    <row r="651" ht="30" customHeight="1" s="45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</row>
    <row r="652" ht="30" customHeight="1" s="45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</row>
    <row r="653" ht="30" customHeight="1" s="45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</row>
    <row r="654" ht="30" customHeight="1" s="45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</row>
    <row r="655" ht="30" customHeight="1" s="4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</row>
    <row r="656" ht="30" customHeight="1" s="45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</row>
    <row r="657" ht="30" customHeight="1" s="45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</row>
    <row r="658" ht="30" customHeight="1" s="45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</row>
    <row r="659" ht="30" customHeight="1" s="45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</row>
    <row r="660" ht="30" customHeight="1" s="45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</row>
    <row r="661" ht="30" customHeight="1" s="45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</row>
    <row r="662" ht="30" customHeight="1" s="45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</row>
    <row r="663" ht="30" customHeight="1" s="45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</row>
    <row r="664" ht="30" customHeight="1" s="45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</row>
    <row r="665" ht="30" customHeight="1" s="4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</row>
    <row r="666" ht="30" customHeight="1" s="45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</row>
    <row r="667" ht="30" customHeight="1" s="45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</row>
    <row r="668" ht="30" customHeight="1" s="45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</row>
    <row r="669" ht="30" customHeight="1" s="45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</row>
    <row r="670" ht="30" customHeight="1" s="45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</row>
    <row r="671" ht="30" customHeight="1" s="45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</row>
    <row r="672" ht="30" customHeight="1" s="45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</row>
    <row r="673" ht="30" customHeight="1" s="45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</row>
    <row r="674" ht="30" customHeight="1" s="45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</row>
    <row r="675" ht="30" customHeight="1" s="4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</row>
    <row r="676" ht="30" customHeight="1" s="45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</row>
    <row r="677" ht="30" customHeight="1" s="45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</row>
    <row r="678" ht="30" customHeight="1" s="45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</row>
    <row r="679" ht="30" customHeight="1" s="45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</row>
    <row r="680" ht="30" customHeight="1" s="45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</row>
    <row r="681" ht="30" customHeight="1" s="45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</row>
    <row r="682" ht="30" customHeight="1" s="45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</row>
    <row r="683" ht="30" customHeight="1" s="45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</row>
    <row r="684" ht="30" customHeight="1" s="45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</row>
    <row r="685" ht="30" customHeight="1" s="4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</row>
    <row r="686" ht="30" customHeight="1" s="45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</row>
    <row r="687" ht="30" customHeight="1" s="45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</row>
    <row r="688" ht="30" customHeight="1" s="45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</row>
    <row r="689" ht="30" customHeight="1" s="45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</row>
    <row r="690" ht="30" customHeight="1" s="45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</row>
    <row r="691" ht="30" customHeight="1" s="45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</row>
    <row r="692" ht="30" customHeight="1" s="45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</row>
    <row r="693" ht="30" customHeight="1" s="45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</row>
    <row r="694" ht="30" customHeight="1" s="45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</row>
    <row r="695" ht="30" customHeight="1" s="4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</row>
    <row r="696" ht="30" customHeight="1" s="45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</row>
    <row r="697" ht="30" customHeight="1" s="45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</row>
    <row r="698" ht="30" customHeight="1" s="45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</row>
    <row r="699" ht="30" customHeight="1" s="45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</row>
    <row r="700" ht="30" customHeight="1" s="45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</row>
    <row r="701" ht="30" customHeight="1" s="45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</row>
    <row r="702" ht="30" customHeight="1" s="45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</row>
    <row r="703" ht="30" customHeight="1" s="45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</row>
    <row r="704" ht="30" customHeight="1" s="45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</row>
    <row r="705" ht="30" customHeight="1" s="4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</row>
    <row r="706" ht="30" customHeight="1" s="45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</row>
    <row r="707" ht="30" customHeight="1" s="45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</row>
    <row r="708" ht="30" customHeight="1" s="45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</row>
    <row r="709" ht="30" customHeight="1" s="45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</row>
    <row r="710" ht="30" customHeight="1" s="45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</row>
    <row r="711" ht="30" customHeight="1" s="45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</row>
    <row r="712" ht="30" customHeight="1" s="45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</row>
    <row r="713" ht="30" customHeight="1" s="45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</row>
    <row r="714" ht="30" customHeight="1" s="45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</row>
    <row r="715" ht="30" customHeight="1" s="4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</row>
    <row r="716" ht="30" customHeight="1" s="45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</row>
    <row r="717" ht="30" customHeight="1" s="45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</row>
    <row r="718" ht="30" customHeight="1" s="45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</row>
    <row r="719" ht="30" customHeight="1" s="45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</row>
    <row r="720" ht="30" customHeight="1" s="45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</row>
    <row r="721" ht="30" customHeight="1" s="45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</row>
    <row r="722" ht="30" customHeight="1" s="45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</row>
    <row r="723" ht="30" customHeight="1" s="45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</row>
    <row r="724" ht="30" customHeight="1" s="45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</row>
    <row r="725" ht="30" customHeight="1" s="4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</row>
    <row r="726" ht="30" customHeight="1" s="45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</row>
    <row r="727" ht="30" customHeight="1" s="45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</row>
    <row r="728" ht="30" customHeight="1" s="45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</row>
    <row r="729" ht="30" customHeight="1" s="45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</row>
    <row r="730" ht="30" customHeight="1" s="45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</row>
    <row r="731" ht="30" customHeight="1" s="45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</row>
    <row r="732" ht="30" customHeight="1" s="45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</row>
    <row r="733" ht="30" customHeight="1" s="45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</row>
    <row r="734" ht="30" customHeight="1" s="45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</row>
    <row r="735" ht="30" customHeight="1" s="4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</row>
    <row r="736" ht="30" customHeight="1" s="45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</row>
    <row r="737" ht="30" customHeight="1" s="45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</row>
    <row r="738" ht="30" customHeight="1" s="45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</row>
    <row r="739" ht="30" customHeight="1" s="45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</row>
    <row r="740" ht="30" customHeight="1" s="45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</row>
    <row r="741" ht="30" customHeight="1" s="45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</row>
    <row r="742" ht="30" customHeight="1" s="45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</row>
    <row r="743" ht="30" customHeight="1" s="45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</row>
    <row r="744" ht="30" customHeight="1" s="45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</row>
    <row r="745" ht="30" customHeight="1" s="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</row>
    <row r="746" ht="30" customHeight="1" s="45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</row>
    <row r="747" ht="30" customHeight="1" s="45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</row>
    <row r="748" ht="30" customHeight="1" s="45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</row>
    <row r="749" ht="30" customHeight="1" s="45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</row>
    <row r="750" ht="30" customHeight="1" s="45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</row>
    <row r="751" ht="30" customHeight="1" s="45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</row>
    <row r="752" ht="30" customHeight="1" s="45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</row>
    <row r="753" ht="30" customHeight="1" s="45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</row>
    <row r="754" ht="30" customHeight="1" s="45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</row>
    <row r="755" ht="30" customHeight="1" s="4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</row>
    <row r="756" ht="30" customHeight="1" s="45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</row>
    <row r="757" ht="30" customHeight="1" s="45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</row>
    <row r="758" ht="30" customHeight="1" s="45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</row>
    <row r="759" ht="30" customHeight="1" s="45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</row>
    <row r="760" ht="30" customHeight="1" s="45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</row>
    <row r="761" ht="30" customHeight="1" s="45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</row>
    <row r="762" ht="30" customHeight="1" s="45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</row>
    <row r="763" ht="30" customHeight="1" s="45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</row>
    <row r="764" ht="30" customHeight="1" s="45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</row>
    <row r="765" ht="30" customHeight="1" s="4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</row>
    <row r="766" ht="30" customHeight="1" s="45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</row>
    <row r="767" ht="30" customHeight="1" s="45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</row>
    <row r="768" ht="30" customHeight="1" s="45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</row>
    <row r="769" ht="30" customHeight="1" s="45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</row>
    <row r="770" ht="30" customHeight="1" s="45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</row>
    <row r="771" ht="30" customHeight="1" s="45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</row>
    <row r="772" ht="30" customHeight="1" s="45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</row>
    <row r="773" ht="30" customHeight="1" s="45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</row>
    <row r="774" ht="30" customHeight="1" s="45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</row>
    <row r="775" ht="30" customHeight="1" s="4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</row>
    <row r="776" ht="30" customHeight="1" s="45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</row>
    <row r="777" ht="30" customHeight="1" s="45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</row>
    <row r="778" ht="30" customHeight="1" s="45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</row>
    <row r="779" ht="30" customHeight="1" s="45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</row>
    <row r="780" ht="30" customHeight="1" s="45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</row>
    <row r="781" ht="30" customHeight="1" s="45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</row>
    <row r="782" ht="30" customHeight="1" s="45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</row>
    <row r="783" ht="30" customHeight="1" s="45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</row>
    <row r="784" ht="30" customHeight="1" s="45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</row>
    <row r="785" ht="30" customHeight="1" s="4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</row>
    <row r="786" ht="30" customHeight="1" s="45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</row>
    <row r="787" ht="30" customHeight="1" s="45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</row>
    <row r="788" ht="30" customHeight="1" s="45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</row>
    <row r="789" ht="30" customHeight="1" s="45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</row>
    <row r="790" ht="30" customHeight="1" s="45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</row>
    <row r="791" ht="30" customHeight="1" s="45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</row>
    <row r="792" ht="30" customHeight="1" s="45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</row>
    <row r="793" ht="30" customHeight="1" s="45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</row>
    <row r="794" ht="30" customHeight="1" s="45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</row>
    <row r="795" ht="30" customHeight="1" s="4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</row>
    <row r="796" ht="30" customHeight="1" s="45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</row>
    <row r="797" ht="30" customHeight="1" s="45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</row>
    <row r="798" ht="30" customHeight="1" s="45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</row>
    <row r="799" ht="30" customHeight="1" s="45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</row>
    <row r="800" ht="30" customHeight="1" s="45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</row>
    <row r="801" ht="30" customHeight="1" s="45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</row>
    <row r="802" ht="30" customHeight="1" s="45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</row>
    <row r="803" ht="30" customHeight="1" s="45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</row>
    <row r="804" ht="30" customHeight="1" s="45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</row>
    <row r="805" ht="30" customHeight="1" s="4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</row>
    <row r="806" ht="30" customHeight="1" s="45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</row>
    <row r="807" ht="30" customHeight="1" s="45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</row>
    <row r="808" ht="30" customHeight="1" s="45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</row>
    <row r="809" ht="30" customHeight="1" s="45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</row>
    <row r="810" ht="30" customHeight="1" s="45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</row>
    <row r="811" ht="30" customHeight="1" s="45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</row>
    <row r="812" ht="30" customHeight="1" s="45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</row>
    <row r="813" ht="30" customHeight="1" s="45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</row>
    <row r="814" ht="30" customHeight="1" s="45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</row>
    <row r="815" ht="30" customHeight="1" s="4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</row>
    <row r="816" ht="30" customHeight="1" s="45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</row>
    <row r="817" ht="30" customHeight="1" s="45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</row>
    <row r="818" ht="30" customHeight="1" s="45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</row>
    <row r="819" ht="30" customHeight="1" s="45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</row>
    <row r="820" ht="30" customHeight="1" s="45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</row>
    <row r="821" ht="30" customHeight="1" s="45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</row>
    <row r="822" ht="30" customHeight="1" s="45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</row>
    <row r="823" ht="30" customHeight="1" s="45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</row>
    <row r="824" ht="30" customHeight="1" s="45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</row>
    <row r="825" ht="30" customHeight="1" s="4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</row>
    <row r="826" ht="30" customHeight="1" s="45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</row>
    <row r="827" ht="30" customHeight="1" s="45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</row>
    <row r="828" ht="30" customHeight="1" s="45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</row>
    <row r="829" ht="30" customHeight="1" s="45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</row>
    <row r="830" ht="30" customHeight="1" s="45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</row>
    <row r="831" ht="30" customHeight="1" s="45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</row>
    <row r="832" ht="30" customHeight="1" s="45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</row>
    <row r="833" ht="30" customHeight="1" s="45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</row>
    <row r="834" ht="30" customHeight="1" s="45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</row>
    <row r="835" ht="30" customHeight="1" s="4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</row>
    <row r="836" ht="30" customHeight="1" s="45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</row>
    <row r="837" ht="30" customHeight="1" s="45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</row>
    <row r="838" ht="30" customHeight="1" s="45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</row>
    <row r="839" ht="30" customHeight="1" s="45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</row>
    <row r="840" ht="30" customHeight="1" s="45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</row>
    <row r="841" ht="30" customHeight="1" s="45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</row>
    <row r="842" ht="30" customHeight="1" s="45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</row>
    <row r="843" ht="30" customHeight="1" s="45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</row>
    <row r="844" ht="30" customHeight="1" s="45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</row>
    <row r="845" ht="30" customHeight="1" s="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</row>
    <row r="846" ht="30" customHeight="1" s="45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</row>
    <row r="847" ht="30" customHeight="1" s="45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</row>
    <row r="848" ht="30" customHeight="1" s="45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</row>
    <row r="849" ht="30" customHeight="1" s="45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</row>
    <row r="850" ht="30" customHeight="1" s="45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</row>
    <row r="851" ht="30" customHeight="1" s="45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</row>
    <row r="852" ht="30" customHeight="1" s="45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</row>
    <row r="853" ht="30" customHeight="1" s="45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</row>
    <row r="854" ht="30" customHeight="1" s="45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</row>
    <row r="855" ht="30" customHeight="1" s="4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</row>
    <row r="856" ht="30" customHeight="1" s="45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</row>
    <row r="857" ht="30" customHeight="1" s="45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</row>
    <row r="858" ht="30" customHeight="1" s="45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</row>
    <row r="859" ht="30" customHeight="1" s="45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</row>
    <row r="860" ht="30" customHeight="1" s="45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</row>
    <row r="861" ht="30" customHeight="1" s="45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</row>
    <row r="862" ht="30" customHeight="1" s="45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</row>
    <row r="863" ht="30" customHeight="1" s="45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</row>
    <row r="864" ht="30" customHeight="1" s="45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</row>
    <row r="865" ht="30" customHeight="1" s="4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</row>
    <row r="866" ht="30" customHeight="1" s="45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</row>
    <row r="867" ht="30" customHeight="1" s="45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</row>
    <row r="868" ht="30" customHeight="1" s="45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</row>
    <row r="869" ht="30" customHeight="1" s="45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</row>
    <row r="870" ht="30" customHeight="1" s="45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</row>
    <row r="871" ht="30" customHeight="1" s="45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</row>
    <row r="872" ht="30" customHeight="1" s="45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</row>
    <row r="873" ht="30" customHeight="1" s="45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</row>
    <row r="874" ht="30" customHeight="1" s="45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</row>
    <row r="875" ht="30" customHeight="1" s="4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</row>
    <row r="876" ht="30" customHeight="1" s="45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</row>
    <row r="877" ht="30" customHeight="1" s="45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</row>
    <row r="878" ht="30" customHeight="1" s="45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</row>
    <row r="879" ht="30" customHeight="1" s="45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</row>
    <row r="880" ht="30" customHeight="1" s="45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</row>
    <row r="881" ht="30" customHeight="1" s="45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</row>
    <row r="882" ht="30" customHeight="1" s="45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</row>
    <row r="883" ht="30" customHeight="1" s="45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</row>
    <row r="884" ht="30" customHeight="1" s="45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</row>
    <row r="885" ht="30" customHeight="1" s="4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</row>
    <row r="886" ht="30" customHeight="1" s="45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</row>
    <row r="887" ht="30" customHeight="1" s="45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</row>
    <row r="888" ht="30" customHeight="1" s="45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</row>
    <row r="889" ht="30" customHeight="1" s="45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</row>
    <row r="890" ht="30" customHeight="1" s="45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</row>
    <row r="891" ht="30" customHeight="1" s="45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</row>
    <row r="892" ht="30" customHeight="1" s="45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</row>
    <row r="893" ht="30" customHeight="1" s="45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</row>
    <row r="894" ht="30" customHeight="1" s="45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</row>
    <row r="895" ht="30" customHeight="1" s="4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</row>
    <row r="896" ht="30" customHeight="1" s="45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</row>
    <row r="897" ht="30" customHeight="1" s="45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</row>
    <row r="898" ht="30" customHeight="1" s="45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</row>
    <row r="899" ht="30" customHeight="1" s="45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</row>
    <row r="900" ht="30" customHeight="1" s="45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</row>
    <row r="901" ht="30" customHeight="1" s="45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</row>
    <row r="902" ht="30" customHeight="1" s="45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</row>
    <row r="903" ht="30" customHeight="1" s="45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</row>
    <row r="904" ht="30" customHeight="1" s="45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</row>
    <row r="905" ht="30" customHeight="1" s="4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</row>
    <row r="906" ht="30" customHeight="1" s="45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</row>
    <row r="907" ht="30" customHeight="1" s="45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</row>
    <row r="908" ht="30" customHeight="1" s="45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</row>
    <row r="909" ht="30" customHeight="1" s="45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</row>
    <row r="910" ht="30" customHeight="1" s="45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</row>
    <row r="911" ht="30" customHeight="1" s="45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</row>
    <row r="912" ht="30" customHeight="1" s="45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</row>
    <row r="913" ht="30" customHeight="1" s="45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</row>
    <row r="914" ht="30" customHeight="1" s="45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</row>
    <row r="915" ht="30" customHeight="1" s="4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</row>
    <row r="916" ht="30" customHeight="1" s="45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</row>
    <row r="917" ht="30" customHeight="1" s="45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</row>
    <row r="918" ht="30" customHeight="1" s="45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</row>
    <row r="919" ht="30" customHeight="1" s="45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</row>
    <row r="920" ht="30" customHeight="1" s="45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</row>
    <row r="921" ht="30" customHeight="1" s="45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</row>
    <row r="922" ht="30" customHeight="1" s="45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</row>
    <row r="923" ht="30" customHeight="1" s="45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</row>
    <row r="924" ht="30" customHeight="1" s="45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</row>
    <row r="925" ht="30" customHeight="1" s="4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</row>
    <row r="926" ht="30" customHeight="1" s="45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</row>
    <row r="927" ht="30" customHeight="1" s="45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</row>
    <row r="928" ht="30" customHeight="1" s="45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</row>
    <row r="929" ht="30" customHeight="1" s="45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</row>
    <row r="930" ht="30" customHeight="1" s="45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</row>
    <row r="931" ht="30" customHeight="1" s="45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</row>
    <row r="932" ht="30" customHeight="1" s="45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</row>
    <row r="933" ht="30" customHeight="1" s="45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</row>
    <row r="934" ht="30" customHeight="1" s="45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</row>
    <row r="935" ht="30" customHeight="1" s="4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</row>
    <row r="936" ht="30" customHeight="1" s="45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</row>
    <row r="937" ht="30" customHeight="1" s="45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</row>
    <row r="938" ht="30" customHeight="1" s="45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</row>
    <row r="939" ht="30" customHeight="1" s="45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</row>
    <row r="940" ht="30" customHeight="1" s="45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</row>
    <row r="941" ht="30" customHeight="1" s="45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</row>
    <row r="942" ht="30" customHeight="1" s="45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</row>
    <row r="943" ht="30" customHeight="1" s="45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</row>
    <row r="944" ht="30" customHeight="1" s="45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</row>
    <row r="945" ht="30" customHeight="1" s="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</row>
    <row r="946" ht="30" customHeight="1" s="45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</row>
    <row r="947" ht="30" customHeight="1" s="45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</row>
    <row r="948" ht="30" customHeight="1" s="45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</row>
    <row r="949" ht="30" customHeight="1" s="45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</row>
    <row r="950" ht="30" customHeight="1" s="45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</row>
    <row r="951" ht="30" customHeight="1" s="45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</row>
    <row r="952" ht="30" customHeight="1" s="45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</row>
    <row r="953" ht="30" customHeight="1" s="45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</row>
    <row r="954" ht="30" customHeight="1" s="45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</row>
    <row r="955" ht="30" customHeight="1" s="4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</row>
    <row r="956" ht="30" customHeight="1" s="45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</row>
    <row r="957" ht="30" customHeight="1" s="45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</row>
    <row r="958" ht="30" customHeight="1" s="45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</row>
    <row r="959" ht="30" customHeight="1" s="45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</row>
    <row r="960" ht="30" customHeight="1" s="45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</row>
    <row r="961" ht="30" customHeight="1" s="45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</row>
    <row r="962" ht="30" customHeight="1" s="45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</row>
    <row r="963" ht="30" customHeight="1" s="45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</row>
    <row r="964" ht="30" customHeight="1" s="45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</row>
    <row r="965" ht="30" customHeight="1" s="4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</row>
    <row r="966" ht="30" customHeight="1" s="45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</row>
    <row r="967" ht="30" customHeight="1" s="45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</row>
    <row r="968" ht="30" customHeight="1" s="45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</row>
    <row r="969" ht="30" customHeight="1" s="45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</row>
    <row r="970" ht="30" customHeight="1" s="45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</row>
    <row r="971" ht="30" customHeight="1" s="45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</row>
    <row r="972" ht="30" customHeight="1" s="45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</row>
    <row r="973" ht="30" customHeight="1" s="45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</row>
    <row r="974" ht="30" customHeight="1" s="45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</row>
    <row r="975" ht="30" customHeight="1" s="4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</row>
    <row r="976" ht="30" customHeight="1" s="45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</row>
    <row r="977" ht="30" customHeight="1" s="45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</row>
    <row r="978" ht="30" customHeight="1" s="45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</row>
    <row r="979" ht="30" customHeight="1" s="45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</row>
    <row r="980" ht="30" customHeight="1" s="45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</row>
    <row r="981" ht="30" customHeight="1" s="45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</row>
    <row r="982" ht="30" customHeight="1" s="45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</row>
    <row r="983" ht="30" customHeight="1" s="45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</row>
    <row r="984" ht="30" customHeight="1" s="45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</row>
    <row r="985" ht="30" customHeight="1" s="4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</row>
    <row r="986" ht="30" customHeight="1" s="45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</row>
    <row r="987" ht="30" customHeight="1" s="45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</row>
    <row r="988" ht="30" customHeight="1" s="45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</row>
    <row r="989" ht="30" customHeight="1" s="45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</row>
    <row r="990" ht="30" customHeight="1" s="45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</row>
    <row r="991" ht="30" customHeight="1" s="45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</row>
    <row r="992" ht="30" customHeight="1" s="45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</row>
    <row r="993" ht="30" customHeight="1" s="45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</row>
    <row r="994" ht="30" customHeight="1" s="45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</row>
    <row r="995" ht="30" customHeight="1" s="4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</row>
    <row r="996" ht="30" customHeight="1" s="45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</row>
    <row r="997" ht="30" customHeight="1" s="45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</row>
    <row r="998" ht="30" customHeight="1" s="45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</row>
    <row r="999" ht="30" customHeight="1" s="45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</row>
    <row r="1000" ht="30" customHeight="1" s="45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</row>
    <row r="1001" ht="30" customHeight="1" s="45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5" t="n"/>
      <c r="J1001" s="5" t="n"/>
    </row>
    <row r="1002" ht="30" customHeight="1" s="45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5" t="n"/>
      <c r="J1002" s="5" t="n"/>
    </row>
    <row r="1003" ht="30" customHeight="1" s="45">
      <c r="A1003" s="5" t="n"/>
      <c r="B1003" s="5" t="n"/>
      <c r="C1003" s="5" t="n"/>
      <c r="D1003" s="5" t="n"/>
      <c r="E1003" s="5" t="n"/>
      <c r="F1003" s="5" t="n"/>
      <c r="G1003" s="5" t="n"/>
      <c r="H1003" s="5" t="n"/>
      <c r="I1003" s="5" t="n"/>
      <c r="J1003" s="5" t="n"/>
    </row>
    <row r="1004" ht="30" customHeight="1" s="45">
      <c r="A1004" s="5" t="n"/>
      <c r="B1004" s="5" t="n"/>
      <c r="C1004" s="5" t="n"/>
      <c r="D1004" s="5" t="n"/>
      <c r="E1004" s="5" t="n"/>
      <c r="F1004" s="5" t="n"/>
      <c r="G1004" s="5" t="n"/>
      <c r="H1004" s="5" t="n"/>
      <c r="I1004" s="5" t="n"/>
      <c r="J1004" s="5" t="n"/>
    </row>
    <row r="1005" ht="30" customHeight="1" s="45">
      <c r="A1005" s="5" t="n"/>
      <c r="B1005" s="5" t="n"/>
      <c r="C1005" s="5" t="n"/>
      <c r="D1005" s="5" t="n"/>
      <c r="E1005" s="5" t="n"/>
      <c r="F1005" s="5" t="n"/>
      <c r="G1005" s="5" t="n"/>
      <c r="H1005" s="5" t="n"/>
      <c r="I1005" s="5" t="n"/>
      <c r="J1005" s="5" t="n"/>
    </row>
    <row r="1006" ht="30" customHeight="1" s="45">
      <c r="A1006" s="5" t="n"/>
      <c r="B1006" s="5" t="n"/>
      <c r="C1006" s="5" t="n"/>
      <c r="D1006" s="5" t="n"/>
      <c r="E1006" s="5" t="n"/>
      <c r="F1006" s="5" t="n"/>
      <c r="G1006" s="5" t="n"/>
      <c r="H1006" s="5" t="n"/>
      <c r="I1006" s="5" t="n"/>
      <c r="J1006" s="5" t="n"/>
    </row>
    <row r="1007" ht="30" customHeight="1" s="45">
      <c r="A1007" s="5" t="n"/>
      <c r="B1007" s="5" t="n"/>
      <c r="C1007" s="5" t="n"/>
      <c r="D1007" s="5" t="n"/>
      <c r="E1007" s="5" t="n"/>
      <c r="F1007" s="5" t="n"/>
      <c r="G1007" s="5" t="n"/>
      <c r="H1007" s="5" t="n"/>
      <c r="I1007" s="5" t="n"/>
      <c r="J1007" s="5" t="n"/>
    </row>
    <row r="1008" ht="30" customHeight="1" s="45">
      <c r="A1008" s="5" t="n"/>
      <c r="B1008" s="5" t="n"/>
      <c r="C1008" s="5" t="n"/>
      <c r="D1008" s="5" t="n"/>
      <c r="E1008" s="5" t="n"/>
      <c r="F1008" s="5" t="n"/>
      <c r="G1008" s="5" t="n"/>
      <c r="H1008" s="5" t="n"/>
      <c r="I1008" s="5" t="n"/>
      <c r="J1008" s="5" t="n"/>
    </row>
    <row r="1009" ht="30" customHeight="1" s="45">
      <c r="A1009" s="5" t="n"/>
      <c r="B1009" s="5" t="n"/>
      <c r="C1009" s="5" t="n"/>
      <c r="D1009" s="5" t="n"/>
      <c r="E1009" s="5" t="n"/>
      <c r="F1009" s="5" t="n"/>
      <c r="G1009" s="5" t="n"/>
      <c r="H1009" s="5" t="n"/>
      <c r="I1009" s="5" t="n"/>
      <c r="J1009" s="5" t="n"/>
    </row>
    <row r="1010" ht="30" customHeight="1" s="45">
      <c r="A1010" s="5" t="n"/>
      <c r="B1010" s="5" t="n"/>
      <c r="C1010" s="5" t="n"/>
      <c r="D1010" s="5" t="n"/>
      <c r="E1010" s="5" t="n"/>
      <c r="F1010" s="5" t="n"/>
      <c r="G1010" s="5" t="n"/>
      <c r="H1010" s="5" t="n"/>
      <c r="I1010" s="5" t="n"/>
      <c r="J1010" s="5" t="n"/>
    </row>
    <row r="1011" ht="30" customHeight="1" s="45">
      <c r="A1011" s="5" t="n"/>
      <c r="B1011" s="5" t="n"/>
      <c r="C1011" s="5" t="n"/>
      <c r="D1011" s="5" t="n"/>
      <c r="E1011" s="5" t="n"/>
      <c r="F1011" s="5" t="n"/>
      <c r="G1011" s="5" t="n"/>
      <c r="H1011" s="5" t="n"/>
      <c r="I1011" s="5" t="n"/>
      <c r="J1011" s="5" t="n"/>
    </row>
    <row r="1012" ht="30" customHeight="1" s="45">
      <c r="A1012" s="5" t="n"/>
      <c r="B1012" s="5" t="n"/>
      <c r="C1012" s="5" t="n"/>
      <c r="D1012" s="5" t="n"/>
      <c r="E1012" s="5" t="n"/>
      <c r="F1012" s="5" t="n"/>
      <c r="G1012" s="5" t="n"/>
      <c r="H1012" s="5" t="n"/>
      <c r="I1012" s="5" t="n"/>
      <c r="J1012" s="5" t="n"/>
    </row>
    <row r="1013" ht="30" customHeight="1" s="45">
      <c r="A1013" s="5" t="n"/>
      <c r="B1013" s="5" t="n"/>
      <c r="C1013" s="5" t="n"/>
      <c r="D1013" s="5" t="n"/>
      <c r="E1013" s="5" t="n"/>
      <c r="F1013" s="5" t="n"/>
      <c r="G1013" s="5" t="n"/>
      <c r="H1013" s="5" t="n"/>
      <c r="I1013" s="5" t="n"/>
      <c r="J1013" s="5" t="n"/>
    </row>
    <row r="1014" ht="30" customHeight="1" s="45">
      <c r="A1014" s="5" t="n"/>
      <c r="B1014" s="5" t="n"/>
      <c r="C1014" s="5" t="n"/>
      <c r="D1014" s="5" t="n"/>
      <c r="E1014" s="5" t="n"/>
      <c r="F1014" s="5" t="n"/>
      <c r="G1014" s="5" t="n"/>
      <c r="H1014" s="5" t="n"/>
      <c r="I1014" s="5" t="n"/>
      <c r="J1014" s="5" t="n"/>
    </row>
    <row r="1015" ht="30" customHeight="1" s="45">
      <c r="A1015" s="5" t="n"/>
      <c r="B1015" s="5" t="n"/>
      <c r="C1015" s="5" t="n"/>
      <c r="D1015" s="5" t="n"/>
      <c r="E1015" s="5" t="n"/>
      <c r="F1015" s="5" t="n"/>
      <c r="G1015" s="5" t="n"/>
      <c r="H1015" s="5" t="n"/>
      <c r="I1015" s="5" t="n"/>
      <c r="J1015" s="5" t="n"/>
    </row>
    <row r="1016" ht="30" customHeight="1" s="45">
      <c r="A1016" s="5" t="n"/>
      <c r="B1016" s="5" t="n"/>
      <c r="C1016" s="5" t="n"/>
      <c r="D1016" s="5" t="n"/>
      <c r="E1016" s="5" t="n"/>
      <c r="F1016" s="5" t="n"/>
      <c r="G1016" s="5" t="n"/>
      <c r="H1016" s="5" t="n"/>
      <c r="I1016" s="5" t="n"/>
      <c r="J1016" s="5" t="n"/>
    </row>
    <row r="1017" ht="30" customHeight="1" s="45">
      <c r="A1017" s="5" t="n"/>
      <c r="B1017" s="5" t="n"/>
      <c r="C1017" s="5" t="n"/>
      <c r="D1017" s="5" t="n"/>
      <c r="E1017" s="5" t="n"/>
      <c r="F1017" s="5" t="n"/>
      <c r="G1017" s="5" t="n"/>
      <c r="H1017" s="5" t="n"/>
      <c r="I1017" s="5" t="n"/>
      <c r="J1017" s="5" t="n"/>
    </row>
    <row r="1018" ht="30" customHeight="1" s="45">
      <c r="A1018" s="5" t="n"/>
      <c r="B1018" s="5" t="n"/>
      <c r="C1018" s="5" t="n"/>
      <c r="D1018" s="5" t="n"/>
      <c r="E1018" s="5" t="n"/>
      <c r="F1018" s="5" t="n"/>
      <c r="G1018" s="5" t="n"/>
      <c r="H1018" s="5" t="n"/>
      <c r="I1018" s="5" t="n"/>
      <c r="J1018" s="5" t="n"/>
    </row>
    <row r="1019" ht="30" customHeight="1" s="45">
      <c r="A1019" s="5" t="n"/>
      <c r="B1019" s="5" t="n"/>
      <c r="C1019" s="5" t="n"/>
      <c r="D1019" s="5" t="n"/>
      <c r="E1019" s="5" t="n"/>
      <c r="F1019" s="5" t="n"/>
      <c r="G1019" s="5" t="n"/>
      <c r="H1019" s="5" t="n"/>
      <c r="I1019" s="5" t="n"/>
      <c r="J1019" s="5" t="n"/>
    </row>
    <row r="1020" ht="30" customHeight="1" s="45">
      <c r="A1020" s="5" t="n"/>
      <c r="B1020" s="5" t="n"/>
      <c r="C1020" s="5" t="n"/>
      <c r="D1020" s="5" t="n"/>
      <c r="E1020" s="5" t="n"/>
      <c r="F1020" s="5" t="n"/>
      <c r="G1020" s="5" t="n"/>
      <c r="H1020" s="5" t="n"/>
      <c r="I1020" s="5" t="n"/>
      <c r="J1020" s="5" t="n"/>
    </row>
    <row r="1021" ht="30" customHeight="1" s="45">
      <c r="A1021" s="5" t="n"/>
      <c r="B1021" s="5" t="n"/>
      <c r="C1021" s="5" t="n"/>
      <c r="D1021" s="5" t="n"/>
      <c r="E1021" s="5" t="n"/>
      <c r="F1021" s="5" t="n"/>
      <c r="G1021" s="5" t="n"/>
      <c r="H1021" s="5" t="n"/>
      <c r="I1021" s="5" t="n"/>
      <c r="J1021" s="5" t="n"/>
    </row>
    <row r="1022" ht="30" customHeight="1" s="45">
      <c r="A1022" s="5" t="n"/>
      <c r="B1022" s="5" t="n"/>
      <c r="C1022" s="5" t="n"/>
      <c r="D1022" s="5" t="n"/>
      <c r="E1022" s="5" t="n"/>
      <c r="F1022" s="5" t="n"/>
      <c r="G1022" s="5" t="n"/>
      <c r="H1022" s="5" t="n"/>
      <c r="I1022" s="5" t="n"/>
      <c r="J1022" s="5" t="n"/>
    </row>
    <row r="1023" ht="30" customHeight="1" s="45">
      <c r="A1023" s="5" t="n"/>
      <c r="B1023" s="5" t="n"/>
      <c r="C1023" s="5" t="n"/>
      <c r="D1023" s="5" t="n"/>
      <c r="E1023" s="5" t="n"/>
      <c r="F1023" s="5" t="n"/>
      <c r="G1023" s="5" t="n"/>
      <c r="H1023" s="5" t="n"/>
      <c r="I1023" s="5" t="n"/>
      <c r="J1023" s="5" t="n"/>
    </row>
    <row r="1024" ht="30" customHeight="1" s="45">
      <c r="A1024" s="5" t="n"/>
      <c r="B1024" s="5" t="n"/>
      <c r="C1024" s="5" t="n"/>
      <c r="D1024" s="5" t="n"/>
      <c r="E1024" s="5" t="n"/>
      <c r="F1024" s="5" t="n"/>
      <c r="G1024" s="5" t="n"/>
      <c r="H1024" s="5" t="n"/>
      <c r="I1024" s="5" t="n"/>
      <c r="J1024" s="5" t="n"/>
    </row>
    <row r="1025" ht="30" customHeight="1" s="45">
      <c r="A1025" s="5" t="n"/>
      <c r="B1025" s="5" t="n"/>
      <c r="C1025" s="5" t="n"/>
      <c r="D1025" s="5" t="n"/>
      <c r="E1025" s="5" t="n"/>
      <c r="F1025" s="5" t="n"/>
      <c r="G1025" s="5" t="n"/>
      <c r="H1025" s="5" t="n"/>
      <c r="I1025" s="5" t="n"/>
      <c r="J1025" s="5" t="n"/>
    </row>
    <row r="1026" ht="30" customHeight="1" s="45">
      <c r="A1026" s="5" t="n"/>
      <c r="B1026" s="5" t="n"/>
      <c r="C1026" s="5" t="n"/>
      <c r="D1026" s="5" t="n"/>
      <c r="E1026" s="5" t="n"/>
      <c r="F1026" s="5" t="n"/>
      <c r="G1026" s="5" t="n"/>
      <c r="H1026" s="5" t="n"/>
      <c r="I1026" s="5" t="n"/>
      <c r="J1026" s="5" t="n"/>
    </row>
    <row r="1027" ht="30" customHeight="1" s="45">
      <c r="A1027" s="5" t="n"/>
      <c r="B1027" s="5" t="n"/>
      <c r="C1027" s="5" t="n"/>
      <c r="D1027" s="5" t="n"/>
      <c r="E1027" s="5" t="n"/>
      <c r="F1027" s="5" t="n"/>
      <c r="G1027" s="5" t="n"/>
      <c r="H1027" s="5" t="n"/>
      <c r="I1027" s="5" t="n"/>
      <c r="J1027" s="5" t="n"/>
    </row>
    <row r="1028" ht="30" customHeight="1" s="45">
      <c r="A1028" s="5" t="n"/>
      <c r="B1028" s="5" t="n"/>
      <c r="C1028" s="5" t="n"/>
      <c r="D1028" s="5" t="n"/>
      <c r="E1028" s="5" t="n"/>
      <c r="F1028" s="5" t="n"/>
      <c r="G1028" s="5" t="n"/>
      <c r="H1028" s="5" t="n"/>
      <c r="I1028" s="5" t="n"/>
      <c r="J1028" s="5" t="n"/>
    </row>
    <row r="1029" ht="30" customHeight="1" s="45">
      <c r="A1029" s="5" t="n"/>
      <c r="B1029" s="5" t="n"/>
      <c r="C1029" s="5" t="n"/>
      <c r="D1029" s="5" t="n"/>
      <c r="E1029" s="5" t="n"/>
      <c r="F1029" s="5" t="n"/>
      <c r="G1029" s="5" t="n"/>
      <c r="H1029" s="5" t="n"/>
      <c r="I1029" s="5" t="n"/>
      <c r="J1029" s="5" t="n"/>
    </row>
    <row r="1030" ht="30" customHeight="1" s="45">
      <c r="A1030" s="5" t="n"/>
      <c r="B1030" s="5" t="n"/>
      <c r="C1030" s="5" t="n"/>
      <c r="D1030" s="5" t="n"/>
      <c r="E1030" s="5" t="n"/>
      <c r="F1030" s="5" t="n"/>
      <c r="G1030" s="5" t="n"/>
      <c r="H1030" s="5" t="n"/>
      <c r="I1030" s="5" t="n"/>
      <c r="J1030" s="5" t="n"/>
    </row>
    <row r="1031" ht="30" customHeight="1" s="45">
      <c r="A1031" s="5" t="n"/>
      <c r="B1031" s="5" t="n"/>
      <c r="C1031" s="5" t="n"/>
      <c r="D1031" s="5" t="n"/>
      <c r="E1031" s="5" t="n"/>
      <c r="F1031" s="5" t="n"/>
      <c r="G1031" s="5" t="n"/>
      <c r="H1031" s="5" t="n"/>
      <c r="I1031" s="5" t="n"/>
      <c r="J1031" s="5" t="n"/>
    </row>
    <row r="1032" ht="30" customHeight="1" s="45">
      <c r="A1032" s="5" t="n"/>
      <c r="B1032" s="5" t="n"/>
      <c r="C1032" s="5" t="n"/>
      <c r="D1032" s="5" t="n"/>
      <c r="E1032" s="5" t="n"/>
      <c r="F1032" s="5" t="n"/>
      <c r="G1032" s="5" t="n"/>
      <c r="H1032" s="5" t="n"/>
      <c r="I1032" s="5" t="n"/>
      <c r="J1032" s="5" t="n"/>
    </row>
    <row r="1033" ht="30" customHeight="1" s="45">
      <c r="A1033" s="5" t="n"/>
      <c r="B1033" s="5" t="n"/>
      <c r="C1033" s="5" t="n"/>
      <c r="D1033" s="5" t="n"/>
      <c r="E1033" s="5" t="n"/>
      <c r="F1033" s="5" t="n"/>
      <c r="G1033" s="5" t="n"/>
      <c r="H1033" s="5" t="n"/>
      <c r="I1033" s="5" t="n"/>
      <c r="J1033" s="5" t="n"/>
    </row>
    <row r="1034" ht="30" customHeight="1" s="45">
      <c r="A1034" s="5" t="n"/>
      <c r="B1034" s="5" t="n"/>
      <c r="C1034" s="5" t="n"/>
      <c r="D1034" s="5" t="n"/>
      <c r="E1034" s="5" t="n"/>
      <c r="F1034" s="5" t="n"/>
      <c r="G1034" s="5" t="n"/>
      <c r="H1034" s="5" t="n"/>
      <c r="I1034" s="5" t="n"/>
      <c r="J1034" s="5" t="n"/>
    </row>
    <row r="1035" ht="30" customHeight="1" s="45">
      <c r="A1035" s="5" t="n"/>
      <c r="B1035" s="5" t="n"/>
      <c r="C1035" s="5" t="n"/>
      <c r="D1035" s="5" t="n"/>
      <c r="E1035" s="5" t="n"/>
      <c r="F1035" s="5" t="n"/>
      <c r="G1035" s="5" t="n"/>
      <c r="H1035" s="5" t="n"/>
      <c r="I1035" s="5" t="n"/>
      <c r="J1035" s="5" t="n"/>
    </row>
    <row r="1036" ht="30" customHeight="1" s="45">
      <c r="A1036" s="5" t="n"/>
      <c r="B1036" s="5" t="n"/>
      <c r="C1036" s="5" t="n"/>
      <c r="D1036" s="5" t="n"/>
      <c r="E1036" s="5" t="n"/>
      <c r="F1036" s="5" t="n"/>
      <c r="G1036" s="5" t="n"/>
      <c r="H1036" s="5" t="n"/>
      <c r="I1036" s="5" t="n"/>
      <c r="J1036" s="5" t="n"/>
    </row>
    <row r="1037" ht="30" customHeight="1" s="45">
      <c r="A1037" s="5" t="n"/>
      <c r="B1037" s="5" t="n"/>
      <c r="C1037" s="5" t="n"/>
      <c r="D1037" s="5" t="n"/>
      <c r="E1037" s="5" t="n"/>
      <c r="F1037" s="5" t="n"/>
      <c r="G1037" s="5" t="n"/>
      <c r="H1037" s="5" t="n"/>
      <c r="I1037" s="5" t="n"/>
      <c r="J1037" s="5" t="n"/>
    </row>
    <row r="1038" ht="30" customHeight="1" s="45">
      <c r="A1038" s="5" t="n"/>
      <c r="B1038" s="5" t="n"/>
      <c r="C1038" s="5" t="n"/>
      <c r="D1038" s="5" t="n"/>
      <c r="E1038" s="5" t="n"/>
      <c r="F1038" s="5" t="n"/>
      <c r="G1038" s="5" t="n"/>
      <c r="H1038" s="5" t="n"/>
      <c r="I1038" s="5" t="n"/>
      <c r="J1038" s="5" t="n"/>
    </row>
    <row r="1039" ht="30" customHeight="1" s="45">
      <c r="A1039" s="5" t="n"/>
      <c r="B1039" s="5" t="n"/>
      <c r="C1039" s="5" t="n"/>
      <c r="D1039" s="5" t="n"/>
      <c r="E1039" s="5" t="n"/>
      <c r="F1039" s="5" t="n"/>
      <c r="G1039" s="5" t="n"/>
      <c r="H1039" s="5" t="n"/>
      <c r="I1039" s="5" t="n"/>
      <c r="J1039" s="5" t="n"/>
    </row>
    <row r="1040" ht="30" customHeight="1" s="45">
      <c r="A1040" s="5" t="n"/>
      <c r="B1040" s="5" t="n"/>
      <c r="C1040" s="5" t="n"/>
      <c r="D1040" s="5" t="n"/>
      <c r="E1040" s="5" t="n"/>
      <c r="F1040" s="5" t="n"/>
      <c r="G1040" s="5" t="n"/>
      <c r="H1040" s="5" t="n"/>
      <c r="I1040" s="5" t="n"/>
      <c r="J1040" s="5" t="n"/>
    </row>
    <row r="1041" ht="30" customHeight="1" s="45">
      <c r="A1041" s="5" t="n"/>
      <c r="B1041" s="5" t="n"/>
      <c r="C1041" s="5" t="n"/>
      <c r="D1041" s="5" t="n"/>
      <c r="E1041" s="5" t="n"/>
      <c r="F1041" s="5" t="n"/>
      <c r="G1041" s="5" t="n"/>
      <c r="H1041" s="5" t="n"/>
      <c r="I1041" s="5" t="n"/>
      <c r="J1041" s="5" t="n"/>
    </row>
    <row r="1042" ht="30" customHeight="1" s="45">
      <c r="A1042" s="5" t="n"/>
      <c r="B1042" s="5" t="n"/>
      <c r="C1042" s="5" t="n"/>
      <c r="D1042" s="5" t="n"/>
      <c r="E1042" s="5" t="n"/>
      <c r="F1042" s="5" t="n"/>
      <c r="G1042" s="5" t="n"/>
      <c r="H1042" s="5" t="n"/>
      <c r="I1042" s="5" t="n"/>
      <c r="J1042" s="5" t="n"/>
    </row>
    <row r="1043" ht="30" customHeight="1" s="45">
      <c r="A1043" s="5" t="n"/>
      <c r="B1043" s="5" t="n"/>
      <c r="C1043" s="5" t="n"/>
      <c r="D1043" s="5" t="n"/>
      <c r="E1043" s="5" t="n"/>
      <c r="F1043" s="5" t="n"/>
      <c r="G1043" s="5" t="n"/>
      <c r="H1043" s="5" t="n"/>
      <c r="I1043" s="5" t="n"/>
      <c r="J1043" s="5" t="n"/>
    </row>
    <row r="1044" ht="30" customHeight="1" s="45">
      <c r="A1044" s="5" t="n"/>
      <c r="B1044" s="5" t="n"/>
      <c r="C1044" s="5" t="n"/>
      <c r="D1044" s="5" t="n"/>
      <c r="E1044" s="5" t="n"/>
      <c r="F1044" s="5" t="n"/>
      <c r="G1044" s="5" t="n"/>
      <c r="H1044" s="5" t="n"/>
      <c r="I1044" s="5" t="n"/>
      <c r="J1044" s="5" t="n"/>
    </row>
    <row r="1045" ht="30" customHeight="1" s="45">
      <c r="A1045" s="5" t="n"/>
      <c r="B1045" s="5" t="n"/>
      <c r="C1045" s="5" t="n"/>
      <c r="D1045" s="5" t="n"/>
      <c r="E1045" s="5" t="n"/>
      <c r="F1045" s="5" t="n"/>
      <c r="G1045" s="5" t="n"/>
      <c r="H1045" s="5" t="n"/>
      <c r="I1045" s="5" t="n"/>
      <c r="J1045" s="5" t="n"/>
    </row>
    <row r="1046" ht="30" customHeight="1" s="45">
      <c r="A1046" s="5" t="n"/>
      <c r="B1046" s="5" t="n"/>
      <c r="C1046" s="5" t="n"/>
      <c r="D1046" s="5" t="n"/>
      <c r="E1046" s="5" t="n"/>
      <c r="F1046" s="5" t="n"/>
      <c r="G1046" s="5" t="n"/>
      <c r="H1046" s="5" t="n"/>
      <c r="I1046" s="5" t="n"/>
      <c r="J1046" s="5" t="n"/>
    </row>
    <row r="1047" ht="30" customHeight="1" s="45">
      <c r="A1047" s="5" t="n"/>
      <c r="B1047" s="5" t="n"/>
      <c r="C1047" s="5" t="n"/>
      <c r="D1047" s="5" t="n"/>
      <c r="E1047" s="5" t="n"/>
      <c r="F1047" s="5" t="n"/>
      <c r="G1047" s="5" t="n"/>
      <c r="H1047" s="5" t="n"/>
      <c r="I1047" s="5" t="n"/>
      <c r="J1047" s="5" t="n"/>
    </row>
    <row r="1048" ht="30" customHeight="1" s="45">
      <c r="A1048" s="5" t="n"/>
      <c r="B1048" s="5" t="n"/>
      <c r="C1048" s="5" t="n"/>
      <c r="D1048" s="5" t="n"/>
      <c r="E1048" s="5" t="n"/>
      <c r="F1048" s="5" t="n"/>
      <c r="G1048" s="5" t="n"/>
      <c r="H1048" s="5" t="n"/>
      <c r="I1048" s="5" t="n"/>
      <c r="J1048" s="5" t="n"/>
    </row>
    <row r="1049" ht="30" customHeight="1" s="45">
      <c r="A1049" s="5" t="n"/>
      <c r="B1049" s="5" t="n"/>
      <c r="C1049" s="5" t="n"/>
      <c r="D1049" s="5" t="n"/>
      <c r="E1049" s="5" t="n"/>
      <c r="F1049" s="5" t="n"/>
      <c r="G1049" s="5" t="n"/>
      <c r="H1049" s="5" t="n"/>
      <c r="I1049" s="5" t="n"/>
      <c r="J1049" s="5" t="n"/>
    </row>
    <row r="1050" ht="30" customHeight="1" s="45">
      <c r="A1050" s="5" t="n"/>
      <c r="B1050" s="5" t="n"/>
      <c r="C1050" s="5" t="n"/>
      <c r="D1050" s="5" t="n"/>
      <c r="E1050" s="5" t="n"/>
      <c r="F1050" s="5" t="n"/>
      <c r="G1050" s="5" t="n"/>
      <c r="H1050" s="5" t="n"/>
      <c r="I1050" s="5" t="n"/>
      <c r="J1050" s="5" t="n"/>
    </row>
    <row r="1051" ht="30" customHeight="1" s="45">
      <c r="A1051" s="5" t="n"/>
      <c r="B1051" s="5" t="n"/>
      <c r="C1051" s="5" t="n"/>
      <c r="D1051" s="5" t="n"/>
      <c r="E1051" s="5" t="n"/>
      <c r="F1051" s="5" t="n"/>
      <c r="G1051" s="5" t="n"/>
      <c r="H1051" s="5" t="n"/>
      <c r="I1051" s="5" t="n"/>
      <c r="J1051" s="5" t="n"/>
    </row>
    <row r="1052" ht="30" customHeight="1" s="45">
      <c r="A1052" s="5" t="n"/>
      <c r="B1052" s="5" t="n"/>
      <c r="C1052" s="5" t="n"/>
      <c r="D1052" s="5" t="n"/>
      <c r="E1052" s="5" t="n"/>
      <c r="F1052" s="5" t="n"/>
      <c r="G1052" s="5" t="n"/>
      <c r="H1052" s="5" t="n"/>
      <c r="I1052" s="5" t="n"/>
      <c r="J1052" s="5" t="n"/>
    </row>
    <row r="1053" ht="30" customHeight="1" s="45">
      <c r="A1053" s="5" t="n"/>
      <c r="B1053" s="5" t="n"/>
      <c r="C1053" s="5" t="n"/>
      <c r="D1053" s="5" t="n"/>
      <c r="E1053" s="5" t="n"/>
      <c r="F1053" s="5" t="n"/>
      <c r="G1053" s="5" t="n"/>
      <c r="H1053" s="5" t="n"/>
      <c r="I1053" s="5" t="n"/>
      <c r="J1053" s="5" t="n"/>
    </row>
    <row r="1054" ht="30" customHeight="1" s="45">
      <c r="A1054" s="5" t="n"/>
      <c r="B1054" s="5" t="n"/>
      <c r="C1054" s="5" t="n"/>
      <c r="D1054" s="5" t="n"/>
      <c r="E1054" s="5" t="n"/>
      <c r="F1054" s="5" t="n"/>
      <c r="G1054" s="5" t="n"/>
      <c r="H1054" s="5" t="n"/>
      <c r="I1054" s="5" t="n"/>
      <c r="J1054" s="5" t="n"/>
    </row>
    <row r="1055" ht="30" customHeight="1" s="45">
      <c r="A1055" s="5" t="n"/>
      <c r="B1055" s="5" t="n"/>
      <c r="C1055" s="5" t="n"/>
      <c r="D1055" s="5" t="n"/>
      <c r="E1055" s="5" t="n"/>
      <c r="F1055" s="5" t="n"/>
      <c r="G1055" s="5" t="n"/>
      <c r="H1055" s="5" t="n"/>
      <c r="I1055" s="5" t="n"/>
      <c r="J1055" s="5" t="n"/>
    </row>
    <row r="1056" ht="30" customHeight="1" s="45">
      <c r="A1056" s="5" t="n"/>
      <c r="B1056" s="5" t="n"/>
      <c r="C1056" s="5" t="n"/>
      <c r="D1056" s="5" t="n"/>
      <c r="E1056" s="5" t="n"/>
      <c r="F1056" s="5" t="n"/>
      <c r="G1056" s="5" t="n"/>
      <c r="H1056" s="5" t="n"/>
      <c r="I1056" s="5" t="n"/>
      <c r="J1056" s="5" t="n"/>
    </row>
    <row r="1057" ht="30" customHeight="1" s="45">
      <c r="A1057" s="5" t="n"/>
      <c r="B1057" s="5" t="n"/>
      <c r="C1057" s="5" t="n"/>
      <c r="D1057" s="5" t="n"/>
      <c r="E1057" s="5" t="n"/>
      <c r="F1057" s="5" t="n"/>
      <c r="G1057" s="5" t="n"/>
      <c r="H1057" s="5" t="n"/>
      <c r="I1057" s="5" t="n"/>
      <c r="J1057" s="5" t="n"/>
    </row>
    <row r="1058" ht="30" customHeight="1" s="45">
      <c r="A1058" s="5" t="n"/>
      <c r="B1058" s="5" t="n"/>
      <c r="C1058" s="5" t="n"/>
      <c r="D1058" s="5" t="n"/>
      <c r="E1058" s="5" t="n"/>
      <c r="F1058" s="5" t="n"/>
      <c r="G1058" s="5" t="n"/>
      <c r="H1058" s="5" t="n"/>
      <c r="I1058" s="5" t="n"/>
      <c r="J1058" s="5" t="n"/>
    </row>
    <row r="1059" ht="30" customHeight="1" s="45">
      <c r="A1059" s="5" t="n"/>
      <c r="B1059" s="5" t="n"/>
      <c r="C1059" s="5" t="n"/>
      <c r="D1059" s="5" t="n"/>
      <c r="E1059" s="5" t="n"/>
      <c r="F1059" s="5" t="n"/>
      <c r="G1059" s="5" t="n"/>
      <c r="H1059" s="5" t="n"/>
      <c r="I1059" s="5" t="n"/>
      <c r="J1059" s="5" t="n"/>
    </row>
    <row r="1060" ht="30" customHeight="1" s="45">
      <c r="A1060" s="5" t="n"/>
      <c r="B1060" s="5" t="n"/>
      <c r="C1060" s="5" t="n"/>
      <c r="D1060" s="5" t="n"/>
      <c r="E1060" s="5" t="n"/>
      <c r="F1060" s="5" t="n"/>
      <c r="G1060" s="5" t="n"/>
      <c r="H1060" s="5" t="n"/>
      <c r="I1060" s="5" t="n"/>
      <c r="J1060" s="5" t="n"/>
    </row>
    <row r="1061" ht="30" customHeight="1" s="45">
      <c r="A1061" s="5" t="n"/>
      <c r="B1061" s="5" t="n"/>
      <c r="C1061" s="5" t="n"/>
      <c r="D1061" s="5" t="n"/>
      <c r="E1061" s="5" t="n"/>
      <c r="F1061" s="5" t="n"/>
      <c r="G1061" s="5" t="n"/>
      <c r="H1061" s="5" t="n"/>
      <c r="I1061" s="5" t="n"/>
      <c r="J1061" s="5" t="n"/>
    </row>
    <row r="1062" ht="30" customHeight="1" s="45">
      <c r="A1062" s="5" t="n"/>
      <c r="B1062" s="5" t="n"/>
      <c r="C1062" s="5" t="n"/>
      <c r="D1062" s="5" t="n"/>
      <c r="E1062" s="5" t="n"/>
      <c r="F1062" s="5" t="n"/>
      <c r="G1062" s="5" t="n"/>
      <c r="H1062" s="5" t="n"/>
      <c r="I1062" s="5" t="n"/>
      <c r="J1062" s="5" t="n"/>
    </row>
    <row r="1063" ht="30" customHeight="1" s="45">
      <c r="A1063" s="5" t="n"/>
      <c r="B1063" s="5" t="n"/>
      <c r="C1063" s="5" t="n"/>
      <c r="D1063" s="5" t="n"/>
      <c r="E1063" s="5" t="n"/>
      <c r="F1063" s="5" t="n"/>
      <c r="G1063" s="5" t="n"/>
      <c r="H1063" s="5" t="n"/>
      <c r="I1063" s="5" t="n"/>
      <c r="J1063" s="5" t="n"/>
    </row>
    <row r="1064" ht="30" customHeight="1" s="45">
      <c r="A1064" s="5" t="n"/>
      <c r="B1064" s="5" t="n"/>
      <c r="C1064" s="5" t="n"/>
      <c r="D1064" s="5" t="n"/>
      <c r="E1064" s="5" t="n"/>
      <c r="F1064" s="5" t="n"/>
      <c r="G1064" s="5" t="n"/>
      <c r="H1064" s="5" t="n"/>
      <c r="I1064" s="5" t="n"/>
      <c r="J1064" s="5" t="n"/>
    </row>
    <row r="1065" ht="30" customHeight="1" s="45">
      <c r="A1065" s="5" t="n"/>
      <c r="B1065" s="5" t="n"/>
      <c r="C1065" s="5" t="n"/>
      <c r="D1065" s="5" t="n"/>
      <c r="E1065" s="5" t="n"/>
      <c r="F1065" s="5" t="n"/>
      <c r="G1065" s="5" t="n"/>
      <c r="H1065" s="5" t="n"/>
      <c r="I1065" s="5" t="n"/>
      <c r="J1065" s="5" t="n"/>
    </row>
    <row r="1066" ht="30" customHeight="1" s="45">
      <c r="A1066" s="5" t="n"/>
      <c r="B1066" s="5" t="n"/>
      <c r="C1066" s="5" t="n"/>
      <c r="D1066" s="5" t="n"/>
      <c r="E1066" s="5" t="n"/>
      <c r="F1066" s="5" t="n"/>
      <c r="G1066" s="5" t="n"/>
      <c r="H1066" s="5" t="n"/>
      <c r="I1066" s="5" t="n"/>
      <c r="J1066" s="5" t="n"/>
    </row>
    <row r="1067" ht="30" customHeight="1" s="45">
      <c r="A1067" s="5" t="n"/>
      <c r="B1067" s="5" t="n"/>
      <c r="C1067" s="5" t="n"/>
      <c r="D1067" s="5" t="n"/>
      <c r="E1067" s="5" t="n"/>
      <c r="F1067" s="5" t="n"/>
      <c r="G1067" s="5" t="n"/>
      <c r="H1067" s="5" t="n"/>
      <c r="I1067" s="5" t="n"/>
      <c r="J1067" s="5" t="n"/>
    </row>
    <row r="1068" ht="30" customHeight="1" s="45">
      <c r="A1068" s="5" t="n"/>
      <c r="B1068" s="5" t="n"/>
      <c r="C1068" s="5" t="n"/>
      <c r="D1068" s="5" t="n"/>
      <c r="E1068" s="5" t="n"/>
      <c r="F1068" s="5" t="n"/>
      <c r="G1068" s="5" t="n"/>
      <c r="H1068" s="5" t="n"/>
      <c r="I1068" s="5" t="n"/>
      <c r="J1068" s="5" t="n"/>
    </row>
    <row r="1069" ht="30" customHeight="1" s="45">
      <c r="A1069" s="5" t="n"/>
      <c r="B1069" s="5" t="n"/>
      <c r="C1069" s="5" t="n"/>
      <c r="D1069" s="5" t="n"/>
      <c r="E1069" s="5" t="n"/>
      <c r="F1069" s="5" t="n"/>
      <c r="G1069" s="5" t="n"/>
      <c r="H1069" s="5" t="n"/>
      <c r="I1069" s="5" t="n"/>
      <c r="J1069" s="5" t="n"/>
    </row>
    <row r="1070" ht="30" customHeight="1" s="45">
      <c r="A1070" s="5" t="n"/>
      <c r="B1070" s="5" t="n"/>
      <c r="C1070" s="5" t="n"/>
      <c r="D1070" s="5" t="n"/>
      <c r="E1070" s="5" t="n"/>
      <c r="F1070" s="5" t="n"/>
      <c r="G1070" s="5" t="n"/>
      <c r="H1070" s="5" t="n"/>
      <c r="I1070" s="5" t="n"/>
      <c r="J1070" s="5" t="n"/>
    </row>
    <row r="1071" ht="30" customHeight="1" s="45">
      <c r="A1071" s="5" t="n"/>
      <c r="B1071" s="5" t="n"/>
      <c r="C1071" s="5" t="n"/>
      <c r="D1071" s="5" t="n"/>
      <c r="E1071" s="5" t="n"/>
      <c r="F1071" s="5" t="n"/>
      <c r="G1071" s="5" t="n"/>
      <c r="H1071" s="5" t="n"/>
      <c r="I1071" s="5" t="n"/>
      <c r="J1071" s="5" t="n"/>
    </row>
    <row r="1072" ht="30" customHeight="1" s="45">
      <c r="A1072" s="5" t="n"/>
      <c r="B1072" s="5" t="n"/>
      <c r="C1072" s="5" t="n"/>
      <c r="D1072" s="5" t="n"/>
      <c r="E1072" s="5" t="n"/>
      <c r="F1072" s="5" t="n"/>
      <c r="G1072" s="5" t="n"/>
      <c r="H1072" s="5" t="n"/>
      <c r="I1072" s="5" t="n"/>
      <c r="J1072" s="5" t="n"/>
    </row>
    <row r="1073" ht="30" customHeight="1" s="45">
      <c r="A1073" s="5" t="n"/>
      <c r="B1073" s="5" t="n"/>
      <c r="C1073" s="5" t="n"/>
      <c r="D1073" s="5" t="n"/>
      <c r="E1073" s="5" t="n"/>
      <c r="F1073" s="5" t="n"/>
      <c r="G1073" s="5" t="n"/>
      <c r="H1073" s="5" t="n"/>
      <c r="I1073" s="5" t="n"/>
      <c r="J1073" s="5" t="n"/>
    </row>
    <row r="1074" ht="30" customHeight="1" s="45">
      <c r="A1074" s="5" t="n"/>
      <c r="B1074" s="5" t="n"/>
      <c r="C1074" s="5" t="n"/>
      <c r="D1074" s="5" t="n"/>
      <c r="E1074" s="5" t="n"/>
      <c r="F1074" s="5" t="n"/>
      <c r="G1074" s="5" t="n"/>
      <c r="H1074" s="5" t="n"/>
      <c r="I1074" s="5" t="n"/>
      <c r="J1074" s="5" t="n"/>
    </row>
    <row r="1075" ht="30" customHeight="1" s="45">
      <c r="A1075" s="5" t="n"/>
      <c r="B1075" s="5" t="n"/>
      <c r="C1075" s="5" t="n"/>
      <c r="D1075" s="5" t="n"/>
      <c r="E1075" s="5" t="n"/>
      <c r="F1075" s="5" t="n"/>
      <c r="G1075" s="5" t="n"/>
      <c r="H1075" s="5" t="n"/>
      <c r="I1075" s="5" t="n"/>
      <c r="J1075" s="5" t="n"/>
    </row>
    <row r="1076" ht="30" customHeight="1" s="45">
      <c r="A1076" s="5" t="n"/>
      <c r="B1076" s="5" t="n"/>
      <c r="C1076" s="5" t="n"/>
      <c r="D1076" s="5" t="n"/>
      <c r="E1076" s="5" t="n"/>
      <c r="F1076" s="5" t="n"/>
      <c r="G1076" s="5" t="n"/>
      <c r="H1076" s="5" t="n"/>
      <c r="I1076" s="5" t="n"/>
      <c r="J1076" s="5" t="n"/>
    </row>
    <row r="1077" ht="30" customHeight="1" s="45">
      <c r="A1077" s="5" t="n"/>
      <c r="B1077" s="5" t="n"/>
      <c r="C1077" s="5" t="n"/>
      <c r="D1077" s="5" t="n"/>
      <c r="E1077" s="5" t="n"/>
      <c r="F1077" s="5" t="n"/>
      <c r="G1077" s="5" t="n"/>
      <c r="H1077" s="5" t="n"/>
      <c r="I1077" s="5" t="n"/>
      <c r="J1077" s="5" t="n"/>
    </row>
    <row r="1078" ht="30" customHeight="1" s="45">
      <c r="A1078" s="5" t="n"/>
      <c r="B1078" s="5" t="n"/>
      <c r="C1078" s="5" t="n"/>
      <c r="D1078" s="5" t="n"/>
      <c r="E1078" s="5" t="n"/>
      <c r="F1078" s="5" t="n"/>
      <c r="G1078" s="5" t="n"/>
      <c r="H1078" s="5" t="n"/>
      <c r="I1078" s="5" t="n"/>
      <c r="J1078" s="5" t="n"/>
    </row>
    <row r="1079" ht="30" customHeight="1" s="45">
      <c r="A1079" s="5" t="n"/>
      <c r="B1079" s="5" t="n"/>
      <c r="C1079" s="5" t="n"/>
      <c r="D1079" s="5" t="n"/>
      <c r="E1079" s="5" t="n"/>
      <c r="F1079" s="5" t="n"/>
      <c r="G1079" s="5" t="n"/>
      <c r="H1079" s="5" t="n"/>
      <c r="I1079" s="5" t="n"/>
      <c r="J1079" s="5" t="n"/>
    </row>
    <row r="1080" ht="30" customHeight="1" s="45">
      <c r="A1080" s="5" t="n"/>
      <c r="B1080" s="5" t="n"/>
      <c r="C1080" s="5" t="n"/>
      <c r="D1080" s="5" t="n"/>
      <c r="E1080" s="5" t="n"/>
      <c r="F1080" s="5" t="n"/>
      <c r="G1080" s="5" t="n"/>
      <c r="H1080" s="5" t="n"/>
      <c r="I1080" s="5" t="n"/>
      <c r="J1080" s="5" t="n"/>
    </row>
    <row r="1081" ht="30" customHeight="1" s="45">
      <c r="A1081" s="5" t="n"/>
      <c r="B1081" s="5" t="n"/>
      <c r="C1081" s="5" t="n"/>
      <c r="D1081" s="5" t="n"/>
      <c r="E1081" s="5" t="n"/>
      <c r="F1081" s="5" t="n"/>
      <c r="G1081" s="5" t="n"/>
      <c r="H1081" s="5" t="n"/>
      <c r="I1081" s="5" t="n"/>
      <c r="J1081" s="5" t="n"/>
    </row>
    <row r="1082" ht="30" customHeight="1" s="45">
      <c r="A1082" s="5" t="n"/>
      <c r="B1082" s="5" t="n"/>
      <c r="C1082" s="5" t="n"/>
      <c r="D1082" s="5" t="n"/>
      <c r="E1082" s="5" t="n"/>
      <c r="F1082" s="5" t="n"/>
      <c r="G1082" s="5" t="n"/>
      <c r="H1082" s="5" t="n"/>
      <c r="I1082" s="5" t="n"/>
      <c r="J1082" s="5" t="n"/>
    </row>
    <row r="1083" ht="30" customHeight="1" s="45">
      <c r="A1083" s="5" t="n"/>
      <c r="B1083" s="5" t="n"/>
      <c r="C1083" s="5" t="n"/>
      <c r="D1083" s="5" t="n"/>
      <c r="E1083" s="5" t="n"/>
      <c r="F1083" s="5" t="n"/>
      <c r="G1083" s="5" t="n"/>
      <c r="H1083" s="5" t="n"/>
      <c r="I1083" s="5" t="n"/>
      <c r="J1083" s="5" t="n"/>
    </row>
    <row r="1084" ht="30" customHeight="1" s="45">
      <c r="A1084" s="5" t="n"/>
      <c r="B1084" s="5" t="n"/>
      <c r="C1084" s="5" t="n"/>
      <c r="D1084" s="5" t="n"/>
      <c r="E1084" s="5" t="n"/>
      <c r="F1084" s="5" t="n"/>
      <c r="G1084" s="5" t="n"/>
      <c r="H1084" s="5" t="n"/>
      <c r="I1084" s="5" t="n"/>
      <c r="J1084" s="5" t="n"/>
    </row>
    <row r="1085" ht="30" customHeight="1" s="45">
      <c r="A1085" s="5" t="n"/>
      <c r="B1085" s="5" t="n"/>
      <c r="C1085" s="5" t="n"/>
      <c r="D1085" s="5" t="n"/>
      <c r="E1085" s="5" t="n"/>
      <c r="F1085" s="5" t="n"/>
      <c r="G1085" s="5" t="n"/>
      <c r="H1085" s="5" t="n"/>
      <c r="I1085" s="5" t="n"/>
      <c r="J1085" s="5" t="n"/>
    </row>
    <row r="1086" ht="30" customHeight="1" s="45">
      <c r="A1086" s="5" t="n"/>
      <c r="B1086" s="5" t="n"/>
      <c r="C1086" s="5" t="n"/>
      <c r="D1086" s="5" t="n"/>
      <c r="E1086" s="5" t="n"/>
      <c r="F1086" s="5" t="n"/>
      <c r="G1086" s="5" t="n"/>
      <c r="H1086" s="5" t="n"/>
      <c r="I1086" s="5" t="n"/>
      <c r="J1086" s="5" t="n"/>
    </row>
    <row r="1087" ht="30" customHeight="1" s="45">
      <c r="A1087" s="5" t="n"/>
      <c r="B1087" s="5" t="n"/>
      <c r="C1087" s="5" t="n"/>
      <c r="D1087" s="5" t="n"/>
      <c r="E1087" s="5" t="n"/>
      <c r="F1087" s="5" t="n"/>
      <c r="G1087" s="5" t="n"/>
      <c r="H1087" s="5" t="n"/>
      <c r="I1087" s="5" t="n"/>
      <c r="J1087" s="5" t="n"/>
    </row>
    <row r="1088" ht="30" customHeight="1" s="45">
      <c r="A1088" s="5" t="n"/>
      <c r="B1088" s="5" t="n"/>
      <c r="C1088" s="5" t="n"/>
      <c r="D1088" s="5" t="n"/>
      <c r="E1088" s="5" t="n"/>
      <c r="F1088" s="5" t="n"/>
      <c r="G1088" s="5" t="n"/>
      <c r="H1088" s="5" t="n"/>
      <c r="I1088" s="5" t="n"/>
      <c r="J1088" s="5" t="n"/>
    </row>
    <row r="1089" ht="30" customHeight="1" s="45">
      <c r="A1089" s="5" t="n"/>
      <c r="B1089" s="5" t="n"/>
      <c r="C1089" s="5" t="n"/>
      <c r="D1089" s="5" t="n"/>
      <c r="E1089" s="5" t="n"/>
      <c r="F1089" s="5" t="n"/>
      <c r="G1089" s="5" t="n"/>
      <c r="H1089" s="5" t="n"/>
      <c r="I1089" s="5" t="n"/>
      <c r="J1089" s="5" t="n"/>
    </row>
    <row r="1090" ht="30" customHeight="1" s="45">
      <c r="A1090" s="5" t="n"/>
      <c r="B1090" s="5" t="n"/>
      <c r="C1090" s="5" t="n"/>
      <c r="D1090" s="5" t="n"/>
      <c r="E1090" s="5" t="n"/>
      <c r="F1090" s="5" t="n"/>
      <c r="G1090" s="5" t="n"/>
      <c r="H1090" s="5" t="n"/>
      <c r="I1090" s="5" t="n"/>
      <c r="J1090" s="5" t="n"/>
    </row>
    <row r="1091" ht="30" customHeight="1" s="45">
      <c r="A1091" s="5" t="n"/>
      <c r="B1091" s="5" t="n"/>
      <c r="C1091" s="5" t="n"/>
      <c r="D1091" s="5" t="n"/>
      <c r="E1091" s="5" t="n"/>
      <c r="F1091" s="5" t="n"/>
      <c r="G1091" s="5" t="n"/>
      <c r="H1091" s="5" t="n"/>
      <c r="I1091" s="5" t="n"/>
      <c r="J1091" s="5" t="n"/>
    </row>
    <row r="1092" ht="30" customHeight="1" s="45">
      <c r="A1092" s="5" t="n"/>
      <c r="B1092" s="5" t="n"/>
      <c r="C1092" s="5" t="n"/>
      <c r="D1092" s="5" t="n"/>
      <c r="E1092" s="5" t="n"/>
      <c r="F1092" s="5" t="n"/>
      <c r="G1092" s="5" t="n"/>
      <c r="H1092" s="5" t="n"/>
      <c r="I1092" s="5" t="n"/>
      <c r="J1092" s="5" t="n"/>
    </row>
    <row r="1093" ht="30" customHeight="1" s="45">
      <c r="A1093" s="5" t="n"/>
      <c r="B1093" s="5" t="n"/>
      <c r="C1093" s="5" t="n"/>
      <c r="D1093" s="5" t="n"/>
      <c r="E1093" s="5" t="n"/>
      <c r="F1093" s="5" t="n"/>
      <c r="G1093" s="5" t="n"/>
      <c r="H1093" s="5" t="n"/>
      <c r="I1093" s="5" t="n"/>
      <c r="J1093" s="5" t="n"/>
    </row>
    <row r="1094" ht="30" customHeight="1" s="45">
      <c r="A1094" s="5" t="n"/>
      <c r="B1094" s="5" t="n"/>
      <c r="C1094" s="5" t="n"/>
      <c r="D1094" s="5" t="n"/>
      <c r="E1094" s="5" t="n"/>
      <c r="F1094" s="5" t="n"/>
      <c r="G1094" s="5" t="n"/>
      <c r="H1094" s="5" t="n"/>
      <c r="I1094" s="5" t="n"/>
      <c r="J1094" s="5" t="n"/>
    </row>
    <row r="1095" ht="30" customHeight="1" s="45">
      <c r="A1095" s="5" t="n"/>
      <c r="B1095" s="5" t="n"/>
      <c r="C1095" s="5" t="n"/>
      <c r="D1095" s="5" t="n"/>
      <c r="E1095" s="5" t="n"/>
      <c r="F1095" s="5" t="n"/>
      <c r="G1095" s="5" t="n"/>
      <c r="H1095" s="5" t="n"/>
      <c r="I1095" s="5" t="n"/>
      <c r="J1095" s="5" t="n"/>
    </row>
    <row r="1096" ht="30" customHeight="1" s="45">
      <c r="A1096" s="5" t="n"/>
      <c r="B1096" s="5" t="n"/>
      <c r="C1096" s="5" t="n"/>
      <c r="D1096" s="5" t="n"/>
      <c r="E1096" s="5" t="n"/>
      <c r="F1096" s="5" t="n"/>
      <c r="G1096" s="5" t="n"/>
      <c r="H1096" s="5" t="n"/>
      <c r="I1096" s="5" t="n"/>
      <c r="J1096" s="5" t="n"/>
    </row>
    <row r="1097" ht="30" customHeight="1" s="45">
      <c r="A1097" s="5" t="n"/>
      <c r="B1097" s="5" t="n"/>
      <c r="C1097" s="5" t="n"/>
      <c r="D1097" s="5" t="n"/>
      <c r="E1097" s="5" t="n"/>
      <c r="F1097" s="5" t="n"/>
      <c r="G1097" s="5" t="n"/>
      <c r="H1097" s="5" t="n"/>
      <c r="I1097" s="5" t="n"/>
      <c r="J1097" s="5" t="n"/>
    </row>
    <row r="1098" ht="30" customHeight="1" s="45">
      <c r="A1098" s="5" t="n"/>
      <c r="B1098" s="5" t="n"/>
      <c r="C1098" s="5" t="n"/>
      <c r="D1098" s="5" t="n"/>
      <c r="E1098" s="5" t="n"/>
      <c r="F1098" s="5" t="n"/>
      <c r="G1098" s="5" t="n"/>
      <c r="H1098" s="5" t="n"/>
      <c r="I1098" s="5" t="n"/>
      <c r="J1098" s="5" t="n"/>
    </row>
    <row r="1099" ht="30" customHeight="1" s="45">
      <c r="A1099" s="5" t="n"/>
      <c r="B1099" s="5" t="n"/>
      <c r="C1099" s="5" t="n"/>
      <c r="D1099" s="5" t="n"/>
      <c r="E1099" s="5" t="n"/>
      <c r="F1099" s="5" t="n"/>
      <c r="G1099" s="5" t="n"/>
      <c r="H1099" s="5" t="n"/>
      <c r="I1099" s="5" t="n"/>
      <c r="J1099" s="5" t="n"/>
    </row>
    <row r="1100" ht="30" customHeight="1" s="45">
      <c r="A1100" s="5" t="n"/>
      <c r="B1100" s="5" t="n"/>
      <c r="C1100" s="5" t="n"/>
      <c r="D1100" s="5" t="n"/>
      <c r="E1100" s="5" t="n"/>
      <c r="F1100" s="5" t="n"/>
      <c r="G1100" s="5" t="n"/>
      <c r="H1100" s="5" t="n"/>
      <c r="I1100" s="5" t="n"/>
      <c r="J1100" s="5" t="n"/>
    </row>
    <row r="1101" ht="30" customHeight="1" s="45">
      <c r="A1101" s="5" t="n"/>
      <c r="B1101" s="5" t="n"/>
      <c r="C1101" s="5" t="n"/>
      <c r="D1101" s="5" t="n"/>
      <c r="E1101" s="5" t="n"/>
      <c r="F1101" s="5" t="n"/>
      <c r="G1101" s="5" t="n"/>
      <c r="H1101" s="5" t="n"/>
      <c r="I1101" s="5" t="n"/>
      <c r="J1101" s="5" t="n"/>
    </row>
    <row r="1102" ht="30" customHeight="1" s="45">
      <c r="A1102" s="5" t="n"/>
      <c r="B1102" s="5" t="n"/>
      <c r="C1102" s="5" t="n"/>
      <c r="D1102" s="5" t="n"/>
      <c r="E1102" s="5" t="n"/>
      <c r="F1102" s="5" t="n"/>
      <c r="G1102" s="5" t="n"/>
      <c r="H1102" s="5" t="n"/>
      <c r="I1102" s="5" t="n"/>
      <c r="J1102" s="5" t="n"/>
    </row>
    <row r="1103" ht="30" customHeight="1" s="45">
      <c r="A1103" s="5" t="n"/>
      <c r="B1103" s="5" t="n"/>
      <c r="C1103" s="5" t="n"/>
      <c r="D1103" s="5" t="n"/>
      <c r="E1103" s="5" t="n"/>
      <c r="F1103" s="5" t="n"/>
      <c r="G1103" s="5" t="n"/>
      <c r="H1103" s="5" t="n"/>
      <c r="I1103" s="5" t="n"/>
      <c r="J1103" s="5" t="n"/>
    </row>
    <row r="1104" ht="30" customHeight="1" s="45">
      <c r="A1104" s="5" t="n"/>
      <c r="B1104" s="5" t="n"/>
      <c r="C1104" s="5" t="n"/>
      <c r="D1104" s="5" t="n"/>
      <c r="E1104" s="5" t="n"/>
      <c r="F1104" s="5" t="n"/>
      <c r="G1104" s="5" t="n"/>
      <c r="H1104" s="5" t="n"/>
      <c r="I1104" s="5" t="n"/>
      <c r="J1104" s="5" t="n"/>
    </row>
    <row r="1105" ht="30" customHeight="1" s="45">
      <c r="A1105" s="5" t="n"/>
      <c r="B1105" s="5" t="n"/>
      <c r="C1105" s="5" t="n"/>
      <c r="D1105" s="5" t="n"/>
      <c r="E1105" s="5" t="n"/>
      <c r="F1105" s="5" t="n"/>
      <c r="G1105" s="5" t="n"/>
      <c r="H1105" s="5" t="n"/>
      <c r="I1105" s="5" t="n"/>
      <c r="J1105" s="5" t="n"/>
    </row>
    <row r="1106" ht="30" customHeight="1" s="45">
      <c r="A1106" s="5" t="n"/>
      <c r="B1106" s="5" t="n"/>
      <c r="C1106" s="5" t="n"/>
      <c r="D1106" s="5" t="n"/>
      <c r="E1106" s="5" t="n"/>
      <c r="F1106" s="5" t="n"/>
      <c r="G1106" s="5" t="n"/>
      <c r="H1106" s="5" t="n"/>
      <c r="I1106" s="5" t="n"/>
      <c r="J1106" s="5" t="n"/>
    </row>
    <row r="1107" ht="30" customHeight="1" s="45">
      <c r="A1107" s="5" t="n"/>
      <c r="B1107" s="5" t="n"/>
      <c r="C1107" s="5" t="n"/>
      <c r="D1107" s="5" t="n"/>
      <c r="E1107" s="5" t="n"/>
      <c r="F1107" s="5" t="n"/>
      <c r="G1107" s="5" t="n"/>
      <c r="H1107" s="5" t="n"/>
      <c r="I1107" s="5" t="n"/>
      <c r="J1107" s="5" t="n"/>
    </row>
    <row r="1108" ht="30" customHeight="1" s="45">
      <c r="A1108" s="5" t="n"/>
      <c r="B1108" s="5" t="n"/>
      <c r="C1108" s="5" t="n"/>
      <c r="D1108" s="5" t="n"/>
      <c r="E1108" s="5" t="n"/>
      <c r="F1108" s="5" t="n"/>
      <c r="G1108" s="5" t="n"/>
      <c r="H1108" s="5" t="n"/>
      <c r="I1108" s="5" t="n"/>
      <c r="J1108" s="5" t="n"/>
    </row>
    <row r="1109" ht="30" customHeight="1" s="45">
      <c r="A1109" s="5" t="n"/>
      <c r="B1109" s="5" t="n"/>
      <c r="C1109" s="5" t="n"/>
      <c r="D1109" s="5" t="n"/>
      <c r="E1109" s="5" t="n"/>
      <c r="F1109" s="5" t="n"/>
      <c r="G1109" s="5" t="n"/>
      <c r="H1109" s="5" t="n"/>
      <c r="I1109" s="5" t="n"/>
      <c r="J1109" s="5" t="n"/>
    </row>
    <row r="1110" ht="30" customHeight="1" s="45">
      <c r="A1110" s="5" t="n"/>
      <c r="B1110" s="5" t="n"/>
      <c r="C1110" s="5" t="n"/>
      <c r="D1110" s="5" t="n"/>
      <c r="E1110" s="5" t="n"/>
      <c r="F1110" s="5" t="n"/>
      <c r="G1110" s="5" t="n"/>
      <c r="H1110" s="5" t="n"/>
      <c r="I1110" s="5" t="n"/>
      <c r="J1110" s="5" t="n"/>
    </row>
    <row r="1111" ht="30" customHeight="1" s="45">
      <c r="A1111" s="5" t="n"/>
      <c r="B1111" s="5" t="n"/>
      <c r="C1111" s="5" t="n"/>
      <c r="D1111" s="5" t="n"/>
      <c r="E1111" s="5" t="n"/>
      <c r="F1111" s="5" t="n"/>
      <c r="G1111" s="5" t="n"/>
      <c r="H1111" s="5" t="n"/>
      <c r="I1111" s="5" t="n"/>
      <c r="J1111" s="5" t="n"/>
    </row>
    <row r="1112" ht="30" customHeight="1" s="45">
      <c r="A1112" s="5" t="n"/>
      <c r="B1112" s="5" t="n"/>
      <c r="C1112" s="5" t="n"/>
      <c r="D1112" s="5" t="n"/>
      <c r="E1112" s="5" t="n"/>
      <c r="F1112" s="5" t="n"/>
      <c r="G1112" s="5" t="n"/>
      <c r="H1112" s="5" t="n"/>
      <c r="I1112" s="5" t="n"/>
      <c r="J1112" s="5" t="n"/>
    </row>
    <row r="1113" ht="30" customHeight="1" s="45">
      <c r="A1113" s="5" t="n"/>
      <c r="B1113" s="5" t="n"/>
      <c r="C1113" s="5" t="n"/>
      <c r="D1113" s="5" t="n"/>
      <c r="E1113" s="5" t="n"/>
      <c r="F1113" s="5" t="n"/>
      <c r="G1113" s="5" t="n"/>
      <c r="H1113" s="5" t="n"/>
      <c r="I1113" s="5" t="n"/>
      <c r="J1113" s="5" t="n"/>
    </row>
    <row r="1114" ht="30" customHeight="1" s="45">
      <c r="A1114" s="5" t="n"/>
      <c r="B1114" s="5" t="n"/>
      <c r="C1114" s="5" t="n"/>
      <c r="D1114" s="5" t="n"/>
      <c r="E1114" s="5" t="n"/>
      <c r="F1114" s="5" t="n"/>
      <c r="G1114" s="5" t="n"/>
      <c r="H1114" s="5" t="n"/>
      <c r="I1114" s="5" t="n"/>
      <c r="J1114" s="5" t="n"/>
    </row>
    <row r="1115" ht="30" customHeight="1" s="45">
      <c r="A1115" s="5" t="n"/>
      <c r="B1115" s="5" t="n"/>
      <c r="C1115" s="5" t="n"/>
      <c r="D1115" s="5" t="n"/>
      <c r="E1115" s="5" t="n"/>
      <c r="F1115" s="5" t="n"/>
      <c r="G1115" s="5" t="n"/>
      <c r="H1115" s="5" t="n"/>
      <c r="I1115" s="5" t="n"/>
      <c r="J1115" s="5" t="n"/>
    </row>
    <row r="1116" ht="30" customHeight="1" s="45">
      <c r="A1116" s="5" t="n"/>
      <c r="B1116" s="5" t="n"/>
      <c r="C1116" s="5" t="n"/>
      <c r="D1116" s="5" t="n"/>
      <c r="E1116" s="5" t="n"/>
      <c r="F1116" s="5" t="n"/>
      <c r="G1116" s="5" t="n"/>
      <c r="H1116" s="5" t="n"/>
      <c r="I1116" s="5" t="n"/>
      <c r="J1116" s="5" t="n"/>
    </row>
    <row r="1117" ht="30" customHeight="1" s="45">
      <c r="A1117" s="5" t="n"/>
      <c r="B1117" s="5" t="n"/>
      <c r="C1117" s="5" t="n"/>
      <c r="D1117" s="5" t="n"/>
      <c r="E1117" s="5" t="n"/>
      <c r="F1117" s="5" t="n"/>
      <c r="G1117" s="5" t="n"/>
      <c r="H1117" s="5" t="n"/>
      <c r="I1117" s="5" t="n"/>
      <c r="J1117" s="5" t="n"/>
    </row>
    <row r="1118" ht="30" customHeight="1" s="45">
      <c r="A1118" s="5" t="n"/>
      <c r="B1118" s="5" t="n"/>
      <c r="C1118" s="5" t="n"/>
      <c r="D1118" s="5" t="n"/>
      <c r="E1118" s="5" t="n"/>
      <c r="F1118" s="5" t="n"/>
      <c r="G1118" s="5" t="n"/>
      <c r="H1118" s="5" t="n"/>
      <c r="I1118" s="5" t="n"/>
      <c r="J1118" s="5" t="n"/>
    </row>
    <row r="1119" ht="30" customHeight="1" s="45">
      <c r="A1119" s="5" t="n"/>
      <c r="B1119" s="5" t="n"/>
      <c r="C1119" s="5" t="n"/>
      <c r="D1119" s="5" t="n"/>
      <c r="E1119" s="5" t="n"/>
      <c r="F1119" s="5" t="n"/>
      <c r="G1119" s="5" t="n"/>
      <c r="H1119" s="5" t="n"/>
      <c r="I1119" s="5" t="n"/>
      <c r="J1119" s="5" t="n"/>
    </row>
    <row r="1120" ht="30" customHeight="1" s="45">
      <c r="A1120" s="5" t="n"/>
      <c r="B1120" s="5" t="n"/>
      <c r="C1120" s="5" t="n"/>
      <c r="D1120" s="5" t="n"/>
      <c r="E1120" s="5" t="n"/>
      <c r="F1120" s="5" t="n"/>
      <c r="G1120" s="5" t="n"/>
      <c r="H1120" s="5" t="n"/>
      <c r="I1120" s="5" t="n"/>
      <c r="J1120" s="5" t="n"/>
    </row>
    <row r="1121" ht="30" customHeight="1" s="45">
      <c r="A1121" s="5" t="n"/>
      <c r="B1121" s="5" t="n"/>
      <c r="C1121" s="5" t="n"/>
      <c r="D1121" s="5" t="n"/>
      <c r="E1121" s="5" t="n"/>
      <c r="F1121" s="5" t="n"/>
      <c r="G1121" s="5" t="n"/>
      <c r="H1121" s="5" t="n"/>
      <c r="I1121" s="5" t="n"/>
      <c r="J1121" s="5" t="n"/>
    </row>
    <row r="1122" ht="30" customHeight="1" s="45">
      <c r="A1122" s="5" t="n"/>
      <c r="B1122" s="5" t="n"/>
      <c r="C1122" s="5" t="n"/>
      <c r="D1122" s="5" t="n"/>
      <c r="E1122" s="5" t="n"/>
      <c r="F1122" s="5" t="n"/>
      <c r="G1122" s="5" t="n"/>
      <c r="H1122" s="5" t="n"/>
      <c r="I1122" s="5" t="n"/>
      <c r="J1122" s="5" t="n"/>
    </row>
    <row r="1123" ht="30" customHeight="1" s="45">
      <c r="A1123" s="5" t="n"/>
      <c r="B1123" s="5" t="n"/>
      <c r="C1123" s="5" t="n"/>
      <c r="D1123" s="5" t="n"/>
      <c r="E1123" s="5" t="n"/>
      <c r="F1123" s="5" t="n"/>
      <c r="G1123" s="5" t="n"/>
      <c r="H1123" s="5" t="n"/>
      <c r="I1123" s="5" t="n"/>
      <c r="J1123" s="5" t="n"/>
    </row>
    <row r="1124" ht="30" customHeight="1" s="45">
      <c r="A1124" s="5" t="n"/>
      <c r="B1124" s="5" t="n"/>
      <c r="C1124" s="5" t="n"/>
      <c r="D1124" s="5" t="n"/>
      <c r="E1124" s="5" t="n"/>
      <c r="F1124" s="5" t="n"/>
      <c r="G1124" s="5" t="n"/>
      <c r="H1124" s="5" t="n"/>
      <c r="I1124" s="5" t="n"/>
      <c r="J1124" s="5" t="n"/>
    </row>
    <row r="1125" ht="30" customHeight="1" s="45">
      <c r="A1125" s="5" t="n"/>
      <c r="B1125" s="5" t="n"/>
      <c r="C1125" s="5" t="n"/>
      <c r="D1125" s="5" t="n"/>
      <c r="E1125" s="5" t="n"/>
      <c r="F1125" s="5" t="n"/>
      <c r="G1125" s="5" t="n"/>
      <c r="H1125" s="5" t="n"/>
      <c r="I1125" s="5" t="n"/>
      <c r="J1125" s="5" t="n"/>
    </row>
    <row r="1126" ht="30" customHeight="1" s="45">
      <c r="A1126" s="5" t="n"/>
      <c r="B1126" s="5" t="n"/>
      <c r="C1126" s="5" t="n"/>
      <c r="D1126" s="5" t="n"/>
      <c r="E1126" s="5" t="n"/>
      <c r="F1126" s="5" t="n"/>
      <c r="G1126" s="5" t="n"/>
      <c r="H1126" s="5" t="n"/>
      <c r="I1126" s="5" t="n"/>
      <c r="J1126" s="5" t="n"/>
    </row>
    <row r="1127" ht="30" customHeight="1" s="45">
      <c r="A1127" s="5" t="n"/>
      <c r="B1127" s="5" t="n"/>
      <c r="C1127" s="5" t="n"/>
      <c r="D1127" s="5" t="n"/>
      <c r="E1127" s="5" t="n"/>
      <c r="F1127" s="5" t="n"/>
      <c r="G1127" s="5" t="n"/>
      <c r="H1127" s="5" t="n"/>
      <c r="I1127" s="5" t="n"/>
      <c r="J1127" s="5" t="n"/>
    </row>
    <row r="1128" ht="30" customHeight="1" s="45">
      <c r="A1128" s="5" t="n"/>
      <c r="B1128" s="5" t="n"/>
      <c r="C1128" s="5" t="n"/>
      <c r="D1128" s="5" t="n"/>
      <c r="E1128" s="5" t="n"/>
      <c r="F1128" s="5" t="n"/>
      <c r="G1128" s="5" t="n"/>
      <c r="H1128" s="5" t="n"/>
      <c r="I1128" s="5" t="n"/>
      <c r="J1128" s="5" t="n"/>
    </row>
    <row r="1129" ht="30" customHeight="1" s="45">
      <c r="A1129" s="5" t="n"/>
      <c r="B1129" s="5" t="n"/>
      <c r="C1129" s="5" t="n"/>
      <c r="D1129" s="5" t="n"/>
      <c r="E1129" s="5" t="n"/>
      <c r="F1129" s="5" t="n"/>
      <c r="G1129" s="5" t="n"/>
      <c r="H1129" s="5" t="n"/>
      <c r="I1129" s="5" t="n"/>
      <c r="J1129" s="5" t="n"/>
    </row>
    <row r="1130" ht="30" customHeight="1" s="45">
      <c r="A1130" s="5" t="n"/>
      <c r="B1130" s="5" t="n"/>
      <c r="C1130" s="5" t="n"/>
      <c r="D1130" s="5" t="n"/>
      <c r="E1130" s="5" t="n"/>
      <c r="F1130" s="5" t="n"/>
      <c r="G1130" s="5" t="n"/>
      <c r="H1130" s="5" t="n"/>
      <c r="I1130" s="5" t="n"/>
      <c r="J1130" s="5" t="n"/>
    </row>
    <row r="1131" ht="30" customHeight="1" s="45">
      <c r="A1131" s="5" t="n"/>
      <c r="B1131" s="5" t="n"/>
      <c r="C1131" s="5" t="n"/>
      <c r="D1131" s="5" t="n"/>
      <c r="E1131" s="5" t="n"/>
      <c r="F1131" s="5" t="n"/>
      <c r="G1131" s="5" t="n"/>
      <c r="H1131" s="5" t="n"/>
      <c r="I1131" s="5" t="n"/>
      <c r="J1131" s="5" t="n"/>
    </row>
    <row r="1132" ht="30" customHeight="1" s="45">
      <c r="A1132" s="5" t="n"/>
      <c r="B1132" s="5" t="n"/>
      <c r="C1132" s="5" t="n"/>
      <c r="D1132" s="5" t="n"/>
      <c r="E1132" s="5" t="n"/>
      <c r="F1132" s="5" t="n"/>
      <c r="G1132" s="5" t="n"/>
      <c r="H1132" s="5" t="n"/>
      <c r="I1132" s="5" t="n"/>
      <c r="J1132" s="5" t="n"/>
    </row>
    <row r="1133" ht="30" customHeight="1" s="45">
      <c r="A1133" s="5" t="n"/>
      <c r="B1133" s="5" t="n"/>
      <c r="C1133" s="5" t="n"/>
      <c r="D1133" s="5" t="n"/>
      <c r="E1133" s="5" t="n"/>
      <c r="F1133" s="5" t="n"/>
      <c r="G1133" s="5" t="n"/>
      <c r="H1133" s="5" t="n"/>
      <c r="I1133" s="5" t="n"/>
      <c r="J1133" s="5" t="n"/>
    </row>
    <row r="1134" ht="30" customHeight="1" s="45">
      <c r="A1134" s="5" t="n"/>
      <c r="B1134" s="5" t="n"/>
      <c r="C1134" s="5" t="n"/>
      <c r="D1134" s="5" t="n"/>
      <c r="E1134" s="5" t="n"/>
      <c r="F1134" s="5" t="n"/>
      <c r="G1134" s="5" t="n"/>
      <c r="H1134" s="5" t="n"/>
      <c r="I1134" s="5" t="n"/>
      <c r="J1134" s="5" t="n"/>
    </row>
    <row r="1135" ht="30" customHeight="1" s="45">
      <c r="A1135" s="5" t="n"/>
      <c r="B1135" s="5" t="n"/>
      <c r="C1135" s="5" t="n"/>
      <c r="D1135" s="5" t="n"/>
      <c r="E1135" s="5" t="n"/>
      <c r="F1135" s="5" t="n"/>
      <c r="G1135" s="5" t="n"/>
      <c r="H1135" s="5" t="n"/>
      <c r="I1135" s="5" t="n"/>
      <c r="J1135" s="5" t="n"/>
    </row>
    <row r="1136" ht="30" customHeight="1" s="45">
      <c r="A1136" s="5" t="n"/>
      <c r="B1136" s="5" t="n"/>
      <c r="C1136" s="5" t="n"/>
      <c r="D1136" s="5" t="n"/>
      <c r="E1136" s="5" t="n"/>
      <c r="F1136" s="5" t="n"/>
      <c r="G1136" s="5" t="n"/>
      <c r="H1136" s="5" t="n"/>
      <c r="I1136" s="5" t="n"/>
      <c r="J1136" s="5" t="n"/>
    </row>
    <row r="1137" ht="30" customHeight="1" s="45">
      <c r="A1137" s="5" t="n"/>
      <c r="B1137" s="5" t="n"/>
      <c r="C1137" s="5" t="n"/>
      <c r="D1137" s="5" t="n"/>
      <c r="E1137" s="5" t="n"/>
      <c r="F1137" s="5" t="n"/>
      <c r="G1137" s="5" t="n"/>
      <c r="H1137" s="5" t="n"/>
      <c r="I1137" s="5" t="n"/>
      <c r="J1137" s="5" t="n"/>
    </row>
    <row r="1138" ht="30" customHeight="1" s="45">
      <c r="A1138" s="5" t="n"/>
      <c r="B1138" s="5" t="n"/>
      <c r="C1138" s="5" t="n"/>
      <c r="D1138" s="5" t="n"/>
      <c r="E1138" s="5" t="n"/>
      <c r="F1138" s="5" t="n"/>
      <c r="G1138" s="5" t="n"/>
      <c r="H1138" s="5" t="n"/>
      <c r="I1138" s="5" t="n"/>
      <c r="J1138" s="5" t="n"/>
    </row>
    <row r="1139" ht="30" customHeight="1" s="45">
      <c r="A1139" s="5" t="n"/>
      <c r="B1139" s="5" t="n"/>
      <c r="C1139" s="5" t="n"/>
      <c r="D1139" s="5" t="n"/>
      <c r="E1139" s="5" t="n"/>
      <c r="F1139" s="5" t="n"/>
      <c r="G1139" s="5" t="n"/>
      <c r="H1139" s="5" t="n"/>
      <c r="I1139" s="5" t="n"/>
      <c r="J1139" s="5" t="n"/>
    </row>
    <row r="1140" ht="30" customHeight="1" s="45">
      <c r="A1140" s="5" t="n"/>
      <c r="B1140" s="5" t="n"/>
      <c r="C1140" s="5" t="n"/>
      <c r="D1140" s="5" t="n"/>
      <c r="E1140" s="5" t="n"/>
      <c r="F1140" s="5" t="n"/>
      <c r="G1140" s="5" t="n"/>
      <c r="H1140" s="5" t="n"/>
      <c r="I1140" s="5" t="n"/>
      <c r="J1140" s="5" t="n"/>
    </row>
    <row r="1141" ht="30" customHeight="1" s="45">
      <c r="A1141" s="5" t="n"/>
      <c r="B1141" s="5" t="n"/>
      <c r="C1141" s="5" t="n"/>
      <c r="D1141" s="5" t="n"/>
      <c r="E1141" s="5" t="n"/>
      <c r="F1141" s="5" t="n"/>
      <c r="G1141" s="5" t="n"/>
      <c r="H1141" s="5" t="n"/>
      <c r="I1141" s="5" t="n"/>
      <c r="J1141" s="5" t="n"/>
    </row>
    <row r="1142" ht="30" customHeight="1" s="45">
      <c r="A1142" s="5" t="n"/>
      <c r="B1142" s="5" t="n"/>
      <c r="C1142" s="5" t="n"/>
      <c r="D1142" s="5" t="n"/>
      <c r="E1142" s="5" t="n"/>
      <c r="F1142" s="5" t="n"/>
      <c r="G1142" s="5" t="n"/>
      <c r="H1142" s="5" t="n"/>
      <c r="I1142" s="5" t="n"/>
      <c r="J1142" s="5" t="n"/>
    </row>
    <row r="1143" ht="30" customHeight="1" s="45">
      <c r="A1143" s="5" t="n"/>
      <c r="B1143" s="5" t="n"/>
      <c r="C1143" s="5" t="n"/>
      <c r="D1143" s="5" t="n"/>
      <c r="E1143" s="5" t="n"/>
      <c r="F1143" s="5" t="n"/>
      <c r="G1143" s="5" t="n"/>
      <c r="H1143" s="5" t="n"/>
      <c r="I1143" s="5" t="n"/>
      <c r="J1143" s="5" t="n"/>
    </row>
    <row r="1144" ht="30" customHeight="1" s="45">
      <c r="A1144" s="5" t="n"/>
      <c r="B1144" s="5" t="n"/>
      <c r="C1144" s="5" t="n"/>
      <c r="D1144" s="5" t="n"/>
      <c r="E1144" s="5" t="n"/>
      <c r="F1144" s="5" t="n"/>
      <c r="G1144" s="5" t="n"/>
      <c r="H1144" s="5" t="n"/>
      <c r="I1144" s="5" t="n"/>
      <c r="J1144" s="5" t="n"/>
    </row>
    <row r="1145" ht="30" customHeight="1" s="45">
      <c r="A1145" s="5" t="n"/>
      <c r="B1145" s="5" t="n"/>
      <c r="C1145" s="5" t="n"/>
      <c r="D1145" s="5" t="n"/>
      <c r="E1145" s="5" t="n"/>
      <c r="F1145" s="5" t="n"/>
      <c r="G1145" s="5" t="n"/>
      <c r="H1145" s="5" t="n"/>
      <c r="I1145" s="5" t="n"/>
      <c r="J1145" s="5" t="n"/>
    </row>
    <row r="1146" ht="30" customHeight="1" s="45">
      <c r="A1146" s="5" t="n"/>
      <c r="B1146" s="5" t="n"/>
      <c r="C1146" s="5" t="n"/>
      <c r="D1146" s="5" t="n"/>
      <c r="E1146" s="5" t="n"/>
      <c r="F1146" s="5" t="n"/>
      <c r="G1146" s="5" t="n"/>
      <c r="H1146" s="5" t="n"/>
      <c r="I1146" s="5" t="n"/>
      <c r="J1146" s="5" t="n"/>
    </row>
    <row r="1147" ht="30" customHeight="1" s="45">
      <c r="A1147" s="5" t="n"/>
      <c r="B1147" s="5" t="n"/>
      <c r="C1147" s="5" t="n"/>
      <c r="D1147" s="5" t="n"/>
      <c r="E1147" s="5" t="n"/>
      <c r="F1147" s="5" t="n"/>
      <c r="G1147" s="5" t="n"/>
      <c r="H1147" s="5" t="n"/>
      <c r="I1147" s="5" t="n"/>
      <c r="J1147" s="5" t="n"/>
    </row>
    <row r="1148" ht="30" customHeight="1" s="45">
      <c r="A1148" s="5" t="n"/>
      <c r="B1148" s="5" t="n"/>
      <c r="C1148" s="5" t="n"/>
      <c r="D1148" s="5" t="n"/>
      <c r="E1148" s="5" t="n"/>
      <c r="F1148" s="5" t="n"/>
      <c r="G1148" s="5" t="n"/>
      <c r="H1148" s="5" t="n"/>
      <c r="I1148" s="5" t="n"/>
      <c r="J1148" s="5" t="n"/>
    </row>
    <row r="1149" ht="30" customHeight="1" s="45">
      <c r="A1149" s="5" t="n"/>
      <c r="B1149" s="5" t="n"/>
      <c r="C1149" s="5" t="n"/>
      <c r="D1149" s="5" t="n"/>
      <c r="E1149" s="5" t="n"/>
      <c r="F1149" s="5" t="n"/>
      <c r="G1149" s="5" t="n"/>
      <c r="H1149" s="5" t="n"/>
      <c r="I1149" s="5" t="n"/>
      <c r="J1149" s="5" t="n"/>
    </row>
    <row r="1150" ht="30" customHeight="1" s="45">
      <c r="A1150" s="5" t="n"/>
      <c r="B1150" s="5" t="n"/>
      <c r="C1150" s="5" t="n"/>
      <c r="D1150" s="5" t="n"/>
      <c r="E1150" s="5" t="n"/>
      <c r="F1150" s="5" t="n"/>
      <c r="G1150" s="5" t="n"/>
      <c r="H1150" s="5" t="n"/>
      <c r="I1150" s="5" t="n"/>
      <c r="J1150" s="5" t="n"/>
    </row>
    <row r="1151" ht="30" customHeight="1" s="45">
      <c r="A1151" s="5" t="n"/>
      <c r="B1151" s="5" t="n"/>
      <c r="C1151" s="5" t="n"/>
      <c r="D1151" s="5" t="n"/>
      <c r="E1151" s="5" t="n"/>
      <c r="F1151" s="5" t="n"/>
      <c r="G1151" s="5" t="n"/>
      <c r="H1151" s="5" t="n"/>
      <c r="I1151" s="5" t="n"/>
      <c r="J1151" s="5" t="n"/>
    </row>
    <row r="1152" ht="30" customHeight="1" s="45">
      <c r="A1152" s="5" t="n"/>
      <c r="B1152" s="5" t="n"/>
      <c r="C1152" s="5" t="n"/>
      <c r="D1152" s="5" t="n"/>
      <c r="E1152" s="5" t="n"/>
      <c r="F1152" s="5" t="n"/>
      <c r="G1152" s="5" t="n"/>
      <c r="H1152" s="5" t="n"/>
      <c r="I1152" s="5" t="n"/>
      <c r="J1152" s="5" t="n"/>
    </row>
    <row r="1153" ht="30" customHeight="1" s="45">
      <c r="A1153" s="5" t="n"/>
      <c r="B1153" s="5" t="n"/>
      <c r="C1153" s="5" t="n"/>
      <c r="D1153" s="5" t="n"/>
      <c r="E1153" s="5" t="n"/>
      <c r="F1153" s="5" t="n"/>
      <c r="G1153" s="5" t="n"/>
      <c r="H1153" s="5" t="n"/>
      <c r="I1153" s="5" t="n"/>
      <c r="J1153" s="5" t="n"/>
    </row>
    <row r="1154" ht="30" customHeight="1" s="45">
      <c r="A1154" s="5" t="n"/>
      <c r="B1154" s="5" t="n"/>
      <c r="C1154" s="5" t="n"/>
      <c r="D1154" s="5" t="n"/>
      <c r="E1154" s="5" t="n"/>
      <c r="F1154" s="5" t="n"/>
      <c r="G1154" s="5" t="n"/>
      <c r="H1154" s="5" t="n"/>
      <c r="I1154" s="5" t="n"/>
      <c r="J1154" s="5" t="n"/>
    </row>
    <row r="1155" ht="30" customHeight="1" s="45">
      <c r="A1155" s="5" t="n"/>
      <c r="B1155" s="5" t="n"/>
      <c r="C1155" s="5" t="n"/>
      <c r="D1155" s="5" t="n"/>
      <c r="E1155" s="5" t="n"/>
      <c r="F1155" s="5" t="n"/>
      <c r="G1155" s="5" t="n"/>
      <c r="H1155" s="5" t="n"/>
      <c r="I1155" s="5" t="n"/>
      <c r="J1155" s="5" t="n"/>
    </row>
    <row r="1156" ht="30" customHeight="1" s="45">
      <c r="A1156" s="5" t="n"/>
      <c r="B1156" s="5" t="n"/>
      <c r="C1156" s="5" t="n"/>
      <c r="D1156" s="5" t="n"/>
      <c r="E1156" s="5" t="n"/>
      <c r="F1156" s="5" t="n"/>
      <c r="G1156" s="5" t="n"/>
      <c r="H1156" s="5" t="n"/>
      <c r="I1156" s="5" t="n"/>
      <c r="J1156" s="5" t="n"/>
    </row>
    <row r="1157" ht="30" customHeight="1" s="45">
      <c r="A1157" s="5" t="n"/>
      <c r="B1157" s="5" t="n"/>
      <c r="C1157" s="5" t="n"/>
      <c r="D1157" s="5" t="n"/>
      <c r="E1157" s="5" t="n"/>
      <c r="F1157" s="5" t="n"/>
      <c r="G1157" s="5" t="n"/>
      <c r="H1157" s="5" t="n"/>
      <c r="I1157" s="5" t="n"/>
      <c r="J1157" s="5" t="n"/>
    </row>
    <row r="1158" ht="30" customHeight="1" s="45">
      <c r="A1158" s="5" t="n"/>
      <c r="B1158" s="5" t="n"/>
      <c r="C1158" s="5" t="n"/>
      <c r="D1158" s="5" t="n"/>
      <c r="E1158" s="5" t="n"/>
      <c r="F1158" s="5" t="n"/>
      <c r="G1158" s="5" t="n"/>
      <c r="H1158" s="5" t="n"/>
      <c r="I1158" s="5" t="n"/>
      <c r="J1158" s="5" t="n"/>
    </row>
    <row r="1159" ht="30" customHeight="1" s="45">
      <c r="A1159" s="5" t="n"/>
      <c r="B1159" s="5" t="n"/>
      <c r="C1159" s="5" t="n"/>
      <c r="D1159" s="5" t="n"/>
      <c r="E1159" s="5" t="n"/>
      <c r="F1159" s="5" t="n"/>
      <c r="G1159" s="5" t="n"/>
      <c r="H1159" s="5" t="n"/>
      <c r="I1159" s="5" t="n"/>
      <c r="J1159" s="5" t="n"/>
    </row>
    <row r="1160" ht="30" customHeight="1" s="45">
      <c r="A1160" s="5" t="n"/>
      <c r="B1160" s="5" t="n"/>
      <c r="C1160" s="5" t="n"/>
      <c r="D1160" s="5" t="n"/>
      <c r="E1160" s="5" t="n"/>
      <c r="F1160" s="5" t="n"/>
      <c r="G1160" s="5" t="n"/>
      <c r="H1160" s="5" t="n"/>
      <c r="I1160" s="5" t="n"/>
      <c r="J1160" s="5" t="n"/>
    </row>
    <row r="1161" ht="30" customHeight="1" s="45">
      <c r="A1161" s="5" t="n"/>
      <c r="B1161" s="5" t="n"/>
      <c r="C1161" s="5" t="n"/>
      <c r="D1161" s="5" t="n"/>
      <c r="E1161" s="5" t="n"/>
      <c r="F1161" s="5" t="n"/>
      <c r="G1161" s="5" t="n"/>
      <c r="H1161" s="5" t="n"/>
      <c r="I1161" s="5" t="n"/>
      <c r="J1161" s="5" t="n"/>
    </row>
    <row r="1162" ht="30" customHeight="1" s="45">
      <c r="A1162" s="5" t="n"/>
      <c r="B1162" s="5" t="n"/>
      <c r="C1162" s="5" t="n"/>
      <c r="D1162" s="5" t="n"/>
      <c r="E1162" s="5" t="n"/>
      <c r="F1162" s="5" t="n"/>
      <c r="G1162" s="5" t="n"/>
      <c r="H1162" s="5" t="n"/>
      <c r="I1162" s="5" t="n"/>
      <c r="J1162" s="5" t="n"/>
    </row>
    <row r="1163" ht="30" customHeight="1" s="45">
      <c r="A1163" s="5" t="n"/>
      <c r="B1163" s="5" t="n"/>
      <c r="C1163" s="5" t="n"/>
      <c r="D1163" s="5" t="n"/>
      <c r="E1163" s="5" t="n"/>
      <c r="F1163" s="5" t="n"/>
      <c r="G1163" s="5" t="n"/>
      <c r="H1163" s="5" t="n"/>
      <c r="I1163" s="5" t="n"/>
      <c r="J1163" s="5" t="n"/>
    </row>
    <row r="1164" ht="30" customHeight="1" s="45">
      <c r="A1164" s="5" t="n"/>
      <c r="B1164" s="5" t="n"/>
      <c r="C1164" s="5" t="n"/>
      <c r="D1164" s="5" t="n"/>
      <c r="E1164" s="5" t="n"/>
      <c r="F1164" s="5" t="n"/>
      <c r="G1164" s="5" t="n"/>
      <c r="H1164" s="5" t="n"/>
      <c r="I1164" s="5" t="n"/>
      <c r="J1164" s="5" t="n"/>
    </row>
    <row r="1165" ht="30" customHeight="1" s="45">
      <c r="A1165" s="5" t="n"/>
      <c r="B1165" s="5" t="n"/>
      <c r="C1165" s="5" t="n"/>
      <c r="D1165" s="5" t="n"/>
      <c r="E1165" s="5" t="n"/>
      <c r="F1165" s="5" t="n"/>
      <c r="G1165" s="5" t="n"/>
      <c r="H1165" s="5" t="n"/>
      <c r="I1165" s="5" t="n"/>
      <c r="J1165" s="5" t="n"/>
    </row>
    <row r="1166" ht="30" customHeight="1" s="45">
      <c r="A1166" s="5" t="n"/>
      <c r="B1166" s="5" t="n"/>
      <c r="C1166" s="5" t="n"/>
      <c r="D1166" s="5" t="n"/>
      <c r="E1166" s="5" t="n"/>
      <c r="F1166" s="5" t="n"/>
      <c r="G1166" s="5" t="n"/>
      <c r="H1166" s="5" t="n"/>
      <c r="I1166" s="5" t="n"/>
      <c r="J1166" s="5" t="n"/>
    </row>
    <row r="1167" ht="30" customHeight="1" s="45">
      <c r="A1167" s="5" t="n"/>
      <c r="B1167" s="5" t="n"/>
      <c r="C1167" s="5" t="n"/>
      <c r="D1167" s="5" t="n"/>
      <c r="E1167" s="5" t="n"/>
      <c r="F1167" s="5" t="n"/>
      <c r="G1167" s="5" t="n"/>
      <c r="H1167" s="5" t="n"/>
      <c r="I1167" s="5" t="n"/>
      <c r="J1167" s="5" t="n"/>
    </row>
    <row r="1168" ht="30" customHeight="1" s="45">
      <c r="A1168" s="5" t="n"/>
      <c r="B1168" s="5" t="n"/>
      <c r="C1168" s="5" t="n"/>
      <c r="D1168" s="5" t="n"/>
      <c r="E1168" s="5" t="n"/>
      <c r="F1168" s="5" t="n"/>
      <c r="G1168" s="5" t="n"/>
      <c r="H1168" s="5" t="n"/>
      <c r="I1168" s="5" t="n"/>
      <c r="J1168" s="5" t="n"/>
    </row>
    <row r="1169" ht="30" customHeight="1" s="45">
      <c r="A1169" s="5" t="n"/>
      <c r="B1169" s="5" t="n"/>
      <c r="C1169" s="5" t="n"/>
      <c r="D1169" s="5" t="n"/>
      <c r="E1169" s="5" t="n"/>
      <c r="F1169" s="5" t="n"/>
      <c r="G1169" s="5" t="n"/>
      <c r="H1169" s="5" t="n"/>
      <c r="I1169" s="5" t="n"/>
      <c r="J1169" s="5" t="n"/>
    </row>
    <row r="1170" ht="30" customHeight="1" s="45">
      <c r="A1170" s="5" t="n"/>
      <c r="B1170" s="5" t="n"/>
      <c r="C1170" s="5" t="n"/>
      <c r="D1170" s="5" t="n"/>
      <c r="E1170" s="5" t="n"/>
      <c r="F1170" s="5" t="n"/>
      <c r="G1170" s="5" t="n"/>
      <c r="H1170" s="5" t="n"/>
      <c r="I1170" s="5" t="n"/>
      <c r="J1170" s="5" t="n"/>
    </row>
    <row r="1171" ht="30" customHeight="1" s="45">
      <c r="A1171" s="5" t="n"/>
      <c r="B1171" s="5" t="n"/>
      <c r="C1171" s="5" t="n"/>
      <c r="D1171" s="5" t="n"/>
      <c r="E1171" s="5" t="n"/>
      <c r="F1171" s="5" t="n"/>
      <c r="G1171" s="5" t="n"/>
      <c r="H1171" s="5" t="n"/>
      <c r="I1171" s="5" t="n"/>
      <c r="J1171" s="5" t="n"/>
    </row>
    <row r="1172" ht="30" customHeight="1" s="45">
      <c r="A1172" s="5" t="n"/>
      <c r="B1172" s="5" t="n"/>
      <c r="C1172" s="5" t="n"/>
      <c r="D1172" s="5" t="n"/>
      <c r="E1172" s="5" t="n"/>
      <c r="F1172" s="5" t="n"/>
      <c r="G1172" s="5" t="n"/>
      <c r="H1172" s="5" t="n"/>
      <c r="I1172" s="5" t="n"/>
      <c r="J1172" s="5" t="n"/>
    </row>
    <row r="1173" ht="30" customHeight="1" s="45">
      <c r="A1173" s="5" t="n"/>
      <c r="B1173" s="5" t="n"/>
      <c r="C1173" s="5" t="n"/>
      <c r="D1173" s="5" t="n"/>
      <c r="E1173" s="5" t="n"/>
      <c r="F1173" s="5" t="n"/>
      <c r="G1173" s="5" t="n"/>
      <c r="H1173" s="5" t="n"/>
      <c r="I1173" s="5" t="n"/>
      <c r="J1173" s="5" t="n"/>
    </row>
    <row r="1174" ht="30" customHeight="1" s="45">
      <c r="A1174" s="5" t="n"/>
      <c r="B1174" s="5" t="n"/>
      <c r="C1174" s="5" t="n"/>
      <c r="D1174" s="5" t="n"/>
      <c r="E1174" s="5" t="n"/>
      <c r="F1174" s="5" t="n"/>
      <c r="G1174" s="5" t="n"/>
      <c r="H1174" s="5" t="n"/>
      <c r="I1174" s="5" t="n"/>
      <c r="J1174" s="5" t="n"/>
    </row>
    <row r="1175" ht="30" customHeight="1" s="45">
      <c r="A1175" s="5" t="n"/>
      <c r="B1175" s="5" t="n"/>
      <c r="C1175" s="5" t="n"/>
      <c r="D1175" s="5" t="n"/>
      <c r="E1175" s="5" t="n"/>
      <c r="F1175" s="5" t="n"/>
      <c r="G1175" s="5" t="n"/>
      <c r="H1175" s="5" t="n"/>
      <c r="I1175" s="5" t="n"/>
      <c r="J1175" s="5" t="n"/>
    </row>
    <row r="1176" ht="30" customHeight="1" s="45">
      <c r="A1176" s="5" t="n"/>
      <c r="B1176" s="5" t="n"/>
      <c r="C1176" s="5" t="n"/>
      <c r="D1176" s="5" t="n"/>
      <c r="E1176" s="5" t="n"/>
      <c r="F1176" s="5" t="n"/>
      <c r="G1176" s="5" t="n"/>
      <c r="H1176" s="5" t="n"/>
      <c r="I1176" s="5" t="n"/>
      <c r="J1176" s="5" t="n"/>
    </row>
    <row r="1177" ht="30" customHeight="1" s="45">
      <c r="A1177" s="5" t="n"/>
      <c r="B1177" s="5" t="n"/>
      <c r="C1177" s="5" t="n"/>
      <c r="D1177" s="5" t="n"/>
      <c r="E1177" s="5" t="n"/>
      <c r="F1177" s="5" t="n"/>
      <c r="G1177" s="5" t="n"/>
      <c r="H1177" s="5" t="n"/>
      <c r="I1177" s="5" t="n"/>
      <c r="J1177" s="5" t="n"/>
    </row>
    <row r="1178" ht="30" customHeight="1" s="45">
      <c r="A1178" s="5" t="n"/>
      <c r="B1178" s="5" t="n"/>
      <c r="C1178" s="5" t="n"/>
      <c r="D1178" s="5" t="n"/>
      <c r="E1178" s="5" t="n"/>
      <c r="F1178" s="5" t="n"/>
      <c r="G1178" s="5" t="n"/>
      <c r="H1178" s="5" t="n"/>
      <c r="I1178" s="5" t="n"/>
      <c r="J1178" s="5" t="n"/>
    </row>
    <row r="1179" ht="30" customHeight="1" s="45">
      <c r="A1179" s="5" t="n"/>
      <c r="B1179" s="5" t="n"/>
      <c r="C1179" s="5" t="n"/>
      <c r="D1179" s="5" t="n"/>
      <c r="E1179" s="5" t="n"/>
      <c r="F1179" s="5" t="n"/>
      <c r="G1179" s="5" t="n"/>
      <c r="H1179" s="5" t="n"/>
      <c r="I1179" s="5" t="n"/>
      <c r="J1179" s="5" t="n"/>
    </row>
    <row r="1180" ht="30" customHeight="1" s="45">
      <c r="A1180" s="5" t="n"/>
      <c r="B1180" s="5" t="n"/>
      <c r="C1180" s="5" t="n"/>
      <c r="D1180" s="5" t="n"/>
      <c r="E1180" s="5" t="n"/>
      <c r="F1180" s="5" t="n"/>
      <c r="G1180" s="5" t="n"/>
      <c r="H1180" s="5" t="n"/>
      <c r="I1180" s="5" t="n"/>
      <c r="J1180" s="5" t="n"/>
    </row>
    <row r="1181" ht="30" customHeight="1" s="45">
      <c r="A1181" s="5" t="n"/>
      <c r="B1181" s="5" t="n"/>
      <c r="C1181" s="5" t="n"/>
      <c r="D1181" s="5" t="n"/>
      <c r="E1181" s="5" t="n"/>
      <c r="F1181" s="5" t="n"/>
      <c r="G1181" s="5" t="n"/>
      <c r="H1181" s="5" t="n"/>
      <c r="I1181" s="5" t="n"/>
      <c r="J1181" s="5" t="n"/>
    </row>
    <row r="1182" ht="30" customHeight="1" s="45">
      <c r="A1182" s="5" t="n"/>
      <c r="B1182" s="5" t="n"/>
      <c r="C1182" s="5" t="n"/>
      <c r="D1182" s="5" t="n"/>
      <c r="E1182" s="5" t="n"/>
      <c r="F1182" s="5" t="n"/>
      <c r="G1182" s="5" t="n"/>
      <c r="H1182" s="5" t="n"/>
      <c r="I1182" s="5" t="n"/>
      <c r="J1182" s="5" t="n"/>
    </row>
    <row r="1183" ht="30" customHeight="1" s="45">
      <c r="A1183" s="5" t="n"/>
      <c r="B1183" s="5" t="n"/>
      <c r="C1183" s="5" t="n"/>
      <c r="D1183" s="5" t="n"/>
      <c r="E1183" s="5" t="n"/>
      <c r="F1183" s="5" t="n"/>
      <c r="G1183" s="5" t="n"/>
      <c r="H1183" s="5" t="n"/>
      <c r="I1183" s="5" t="n"/>
      <c r="J1183" s="5" t="n"/>
    </row>
    <row r="1184" ht="30" customHeight="1" s="45">
      <c r="A1184" s="5" t="n"/>
      <c r="B1184" s="5" t="n"/>
      <c r="C1184" s="5" t="n"/>
      <c r="D1184" s="5" t="n"/>
      <c r="E1184" s="5" t="n"/>
      <c r="F1184" s="5" t="n"/>
      <c r="G1184" s="5" t="n"/>
      <c r="H1184" s="5" t="n"/>
      <c r="I1184" s="5" t="n"/>
      <c r="J1184" s="5" t="n"/>
    </row>
    <row r="1185" ht="30" customHeight="1" s="45">
      <c r="A1185" s="5" t="n"/>
      <c r="B1185" s="5" t="n"/>
      <c r="C1185" s="5" t="n"/>
      <c r="D1185" s="5" t="n"/>
      <c r="E1185" s="5" t="n"/>
      <c r="F1185" s="5" t="n"/>
      <c r="G1185" s="5" t="n"/>
      <c r="H1185" s="5" t="n"/>
      <c r="I1185" s="5" t="n"/>
      <c r="J1185" s="5" t="n"/>
    </row>
    <row r="1186" ht="30" customHeight="1" s="45">
      <c r="A1186" s="5" t="n"/>
      <c r="B1186" s="5" t="n"/>
      <c r="C1186" s="5" t="n"/>
      <c r="D1186" s="5" t="n"/>
      <c r="E1186" s="5" t="n"/>
      <c r="F1186" s="5" t="n"/>
      <c r="G1186" s="5" t="n"/>
      <c r="H1186" s="5" t="n"/>
      <c r="I1186" s="5" t="n"/>
      <c r="J1186" s="5" t="n"/>
    </row>
    <row r="1187" ht="30" customHeight="1" s="45">
      <c r="A1187" s="5" t="n"/>
      <c r="B1187" s="5" t="n"/>
      <c r="C1187" s="5" t="n"/>
      <c r="D1187" s="5" t="n"/>
      <c r="E1187" s="5" t="n"/>
      <c r="F1187" s="5" t="n"/>
      <c r="G1187" s="5" t="n"/>
      <c r="H1187" s="5" t="n"/>
      <c r="I1187" s="5" t="n"/>
      <c r="J1187" s="5" t="n"/>
    </row>
    <row r="1188" ht="30" customHeight="1" s="45">
      <c r="A1188" s="5" t="n"/>
      <c r="B1188" s="5" t="n"/>
      <c r="C1188" s="5" t="n"/>
      <c r="D1188" s="5" t="n"/>
      <c r="E1188" s="5" t="n"/>
      <c r="F1188" s="5" t="n"/>
      <c r="G1188" s="5" t="n"/>
      <c r="H1188" s="5" t="n"/>
      <c r="I1188" s="5" t="n"/>
      <c r="J1188" s="5" t="n"/>
    </row>
    <row r="1189" ht="30" customHeight="1" s="45">
      <c r="A1189" s="5" t="n"/>
      <c r="B1189" s="5" t="n"/>
      <c r="C1189" s="5" t="n"/>
      <c r="D1189" s="5" t="n"/>
      <c r="E1189" s="5" t="n"/>
      <c r="F1189" s="5" t="n"/>
      <c r="G1189" s="5" t="n"/>
      <c r="H1189" s="5" t="n"/>
      <c r="I1189" s="5" t="n"/>
      <c r="J1189" s="5" t="n"/>
    </row>
    <row r="1190" ht="30" customHeight="1" s="45">
      <c r="A1190" s="5" t="n"/>
      <c r="B1190" s="5" t="n"/>
      <c r="C1190" s="5" t="n"/>
      <c r="D1190" s="5" t="n"/>
      <c r="E1190" s="5" t="n"/>
      <c r="F1190" s="5" t="n"/>
      <c r="G1190" s="5" t="n"/>
      <c r="H1190" s="5" t="n"/>
      <c r="I1190" s="5" t="n"/>
      <c r="J1190" s="5" t="n"/>
    </row>
    <row r="1191" ht="30" customHeight="1" s="45">
      <c r="A1191" s="5" t="n"/>
      <c r="B1191" s="5" t="n"/>
      <c r="C1191" s="5" t="n"/>
      <c r="D1191" s="5" t="n"/>
      <c r="E1191" s="5" t="n"/>
      <c r="F1191" s="5" t="n"/>
      <c r="G1191" s="5" t="n"/>
      <c r="H1191" s="5" t="n"/>
      <c r="I1191" s="5" t="n"/>
      <c r="J1191" s="5" t="n"/>
    </row>
    <row r="1192" ht="30" customHeight="1" s="45">
      <c r="A1192" s="5" t="n"/>
      <c r="B1192" s="5" t="n"/>
      <c r="C1192" s="5" t="n"/>
      <c r="D1192" s="5" t="n"/>
      <c r="E1192" s="5" t="n"/>
      <c r="F1192" s="5" t="n"/>
      <c r="G1192" s="5" t="n"/>
      <c r="H1192" s="5" t="n"/>
      <c r="I1192" s="5" t="n"/>
      <c r="J1192" s="5" t="n"/>
    </row>
    <row r="1193" ht="30" customHeight="1" s="45">
      <c r="A1193" s="5" t="n"/>
      <c r="B1193" s="5" t="n"/>
      <c r="C1193" s="5" t="n"/>
      <c r="D1193" s="5" t="n"/>
      <c r="E1193" s="5" t="n"/>
      <c r="F1193" s="5" t="n"/>
      <c r="G1193" s="5" t="n"/>
      <c r="H1193" s="5" t="n"/>
      <c r="I1193" s="5" t="n"/>
      <c r="J1193" s="5" t="n"/>
    </row>
    <row r="1194" ht="30" customHeight="1" s="45">
      <c r="A1194" s="5" t="n"/>
      <c r="B1194" s="5" t="n"/>
      <c r="C1194" s="5" t="n"/>
      <c r="D1194" s="5" t="n"/>
      <c r="E1194" s="5" t="n"/>
      <c r="F1194" s="5" t="n"/>
      <c r="G1194" s="5" t="n"/>
      <c r="H1194" s="5" t="n"/>
      <c r="I1194" s="5" t="n"/>
      <c r="J1194" s="5" t="n"/>
    </row>
    <row r="1195" ht="30" customHeight="1" s="45">
      <c r="A1195" s="5" t="n"/>
      <c r="B1195" s="5" t="n"/>
      <c r="C1195" s="5" t="n"/>
      <c r="D1195" s="5" t="n"/>
      <c r="E1195" s="5" t="n"/>
      <c r="F1195" s="5" t="n"/>
      <c r="G1195" s="5" t="n"/>
      <c r="H1195" s="5" t="n"/>
      <c r="I1195" s="5" t="n"/>
      <c r="J1195" s="5" t="n"/>
    </row>
    <row r="1196" ht="30" customHeight="1" s="45">
      <c r="A1196" s="5" t="n"/>
      <c r="B1196" s="5" t="n"/>
      <c r="C1196" s="5" t="n"/>
      <c r="D1196" s="5" t="n"/>
      <c r="E1196" s="5" t="n"/>
      <c r="F1196" s="5" t="n"/>
      <c r="G1196" s="5" t="n"/>
      <c r="H1196" s="5" t="n"/>
      <c r="I1196" s="5" t="n"/>
      <c r="J1196" s="5" t="n"/>
    </row>
    <row r="1197" ht="30" customHeight="1" s="45">
      <c r="A1197" s="5" t="n"/>
      <c r="B1197" s="5" t="n"/>
      <c r="C1197" s="5" t="n"/>
      <c r="D1197" s="5" t="n"/>
      <c r="E1197" s="5" t="n"/>
      <c r="F1197" s="5" t="n"/>
      <c r="G1197" s="5" t="n"/>
      <c r="H1197" s="5" t="n"/>
      <c r="I1197" s="5" t="n"/>
      <c r="J1197" s="5" t="n"/>
    </row>
    <row r="1198" ht="30" customHeight="1" s="45">
      <c r="A1198" s="5" t="n"/>
      <c r="B1198" s="5" t="n"/>
      <c r="C1198" s="5" t="n"/>
      <c r="D1198" s="5" t="n"/>
      <c r="E1198" s="5" t="n"/>
      <c r="F1198" s="5" t="n"/>
      <c r="G1198" s="5" t="n"/>
      <c r="H1198" s="5" t="n"/>
      <c r="I1198" s="5" t="n"/>
      <c r="J1198" s="5" t="n"/>
    </row>
    <row r="1199" ht="30" customHeight="1" s="45">
      <c r="A1199" s="5" t="n"/>
      <c r="B1199" s="5" t="n"/>
      <c r="C1199" s="5" t="n"/>
      <c r="D1199" s="5" t="n"/>
      <c r="E1199" s="5" t="n"/>
      <c r="F1199" s="5" t="n"/>
      <c r="G1199" s="5" t="n"/>
      <c r="H1199" s="5" t="n"/>
      <c r="I1199" s="5" t="n"/>
      <c r="J1199" s="5" t="n"/>
    </row>
    <row r="1200" ht="30" customHeight="1" s="45">
      <c r="A1200" s="5" t="n"/>
      <c r="B1200" s="5" t="n"/>
      <c r="C1200" s="5" t="n"/>
      <c r="D1200" s="5" t="n"/>
      <c r="E1200" s="5" t="n"/>
      <c r="F1200" s="5" t="n"/>
      <c r="G1200" s="5" t="n"/>
      <c r="H1200" s="5" t="n"/>
      <c r="I1200" s="5" t="n"/>
      <c r="J1200" s="5" t="n"/>
    </row>
    <row r="1201" ht="30" customHeight="1" s="45">
      <c r="A1201" s="5" t="n"/>
      <c r="B1201" s="5" t="n"/>
      <c r="C1201" s="5" t="n"/>
      <c r="D1201" s="5" t="n"/>
      <c r="E1201" s="5" t="n"/>
      <c r="F1201" s="5" t="n"/>
      <c r="G1201" s="5" t="n"/>
      <c r="H1201" s="5" t="n"/>
      <c r="I1201" s="5" t="n"/>
      <c r="J1201" s="5" t="n"/>
    </row>
    <row r="1202" ht="30" customHeight="1" s="45">
      <c r="A1202" s="5" t="n"/>
      <c r="B1202" s="5" t="n"/>
      <c r="C1202" s="5" t="n"/>
      <c r="D1202" s="5" t="n"/>
      <c r="E1202" s="5" t="n"/>
      <c r="F1202" s="5" t="n"/>
      <c r="G1202" s="5" t="n"/>
      <c r="H1202" s="5" t="n"/>
      <c r="I1202" s="5" t="n"/>
      <c r="J1202" s="5" t="n"/>
    </row>
    <row r="1203" ht="30" customHeight="1" s="45">
      <c r="A1203" s="5" t="n"/>
      <c r="B1203" s="5" t="n"/>
      <c r="C1203" s="5" t="n"/>
      <c r="D1203" s="5" t="n"/>
      <c r="E1203" s="5" t="n"/>
      <c r="F1203" s="5" t="n"/>
      <c r="G1203" s="5" t="n"/>
      <c r="H1203" s="5" t="n"/>
      <c r="I1203" s="5" t="n"/>
      <c r="J1203" s="5" t="n"/>
    </row>
    <row r="1204" ht="30" customHeight="1" s="45">
      <c r="A1204" s="5" t="n"/>
      <c r="B1204" s="5" t="n"/>
      <c r="C1204" s="5" t="n"/>
      <c r="D1204" s="5" t="n"/>
      <c r="E1204" s="5" t="n"/>
      <c r="F1204" s="5" t="n"/>
      <c r="G1204" s="5" t="n"/>
      <c r="H1204" s="5" t="n"/>
      <c r="I1204" s="5" t="n"/>
      <c r="J1204" s="5" t="n"/>
    </row>
    <row r="1205" ht="30" customHeight="1" s="45">
      <c r="A1205" s="5" t="n"/>
      <c r="B1205" s="5" t="n"/>
      <c r="C1205" s="5" t="n"/>
      <c r="D1205" s="5" t="n"/>
      <c r="E1205" s="5" t="n"/>
      <c r="F1205" s="5" t="n"/>
      <c r="G1205" s="5" t="n"/>
      <c r="H1205" s="5" t="n"/>
      <c r="I1205" s="5" t="n"/>
      <c r="J1205" s="5" t="n"/>
    </row>
    <row r="1206" ht="30" customHeight="1" s="45">
      <c r="A1206" s="5" t="n"/>
      <c r="B1206" s="5" t="n"/>
      <c r="C1206" s="5" t="n"/>
      <c r="D1206" s="5" t="n"/>
      <c r="E1206" s="5" t="n"/>
      <c r="F1206" s="5" t="n"/>
      <c r="G1206" s="5" t="n"/>
      <c r="H1206" s="5" t="n"/>
      <c r="I1206" s="5" t="n"/>
      <c r="J1206" s="5" t="n"/>
    </row>
    <row r="1207" ht="30" customHeight="1" s="45">
      <c r="A1207" s="5" t="n"/>
      <c r="B1207" s="5" t="n"/>
      <c r="C1207" s="5" t="n"/>
      <c r="D1207" s="5" t="n"/>
      <c r="E1207" s="5" t="n"/>
      <c r="F1207" s="5" t="n"/>
      <c r="G1207" s="5" t="n"/>
      <c r="H1207" s="5" t="n"/>
      <c r="I1207" s="5" t="n"/>
      <c r="J1207" s="5" t="n"/>
    </row>
    <row r="1208" ht="30" customHeight="1" s="45">
      <c r="A1208" s="5" t="n"/>
      <c r="B1208" s="5" t="n"/>
      <c r="C1208" s="5" t="n"/>
      <c r="D1208" s="5" t="n"/>
      <c r="E1208" s="5" t="n"/>
      <c r="F1208" s="5" t="n"/>
      <c r="G1208" s="5" t="n"/>
      <c r="H1208" s="5" t="n"/>
      <c r="I1208" s="5" t="n"/>
      <c r="J1208" s="5" t="n"/>
    </row>
    <row r="1209" ht="30" customHeight="1" s="45">
      <c r="A1209" s="5" t="n"/>
      <c r="B1209" s="5" t="n"/>
      <c r="C1209" s="5" t="n"/>
      <c r="D1209" s="5" t="n"/>
      <c r="E1209" s="5" t="n"/>
      <c r="F1209" s="5" t="n"/>
      <c r="G1209" s="5" t="n"/>
      <c r="H1209" s="5" t="n"/>
      <c r="I1209" s="5" t="n"/>
      <c r="J1209" s="5" t="n"/>
    </row>
    <row r="1210" ht="30" customHeight="1" s="45">
      <c r="A1210" s="5" t="n"/>
      <c r="B1210" s="5" t="n"/>
      <c r="C1210" s="5" t="n"/>
      <c r="D1210" s="5" t="n"/>
      <c r="E1210" s="5" t="n"/>
      <c r="F1210" s="5" t="n"/>
      <c r="G1210" s="5" t="n"/>
      <c r="H1210" s="5" t="n"/>
      <c r="I1210" s="5" t="n"/>
      <c r="J1210" s="5" t="n"/>
    </row>
    <row r="1211" ht="30" customHeight="1" s="45">
      <c r="A1211" s="5" t="n"/>
      <c r="B1211" s="5" t="n"/>
      <c r="C1211" s="5" t="n"/>
      <c r="D1211" s="5" t="n"/>
      <c r="E1211" s="5" t="n"/>
      <c r="F1211" s="5" t="n"/>
      <c r="G1211" s="5" t="n"/>
      <c r="H1211" s="5" t="n"/>
      <c r="I1211" s="5" t="n"/>
      <c r="J1211" s="5" t="n"/>
    </row>
    <row r="1212" ht="30" customHeight="1" s="45">
      <c r="A1212" s="5" t="n"/>
      <c r="B1212" s="5" t="n"/>
      <c r="C1212" s="5" t="n"/>
      <c r="D1212" s="5" t="n"/>
      <c r="E1212" s="5" t="n"/>
      <c r="F1212" s="5" t="n"/>
      <c r="G1212" s="5" t="n"/>
      <c r="H1212" s="5" t="n"/>
      <c r="I1212" s="5" t="n"/>
      <c r="J1212" s="5" t="n"/>
    </row>
    <row r="1213" ht="30" customHeight="1" s="45">
      <c r="A1213" s="5" t="n"/>
      <c r="B1213" s="5" t="n"/>
      <c r="C1213" s="5" t="n"/>
      <c r="D1213" s="5" t="n"/>
      <c r="E1213" s="5" t="n"/>
      <c r="F1213" s="5" t="n"/>
      <c r="G1213" s="5" t="n"/>
      <c r="H1213" s="5" t="n"/>
      <c r="I1213" s="5" t="n"/>
      <c r="J1213" s="5" t="n"/>
    </row>
    <row r="1214" ht="30" customHeight="1" s="45">
      <c r="A1214" s="5" t="n"/>
      <c r="B1214" s="5" t="n"/>
      <c r="C1214" s="5" t="n"/>
      <c r="D1214" s="5" t="n"/>
      <c r="E1214" s="5" t="n"/>
      <c r="F1214" s="5" t="n"/>
      <c r="G1214" s="5" t="n"/>
      <c r="H1214" s="5" t="n"/>
      <c r="I1214" s="5" t="n"/>
      <c r="J1214" s="5" t="n"/>
    </row>
    <row r="1215" ht="30" customHeight="1" s="45">
      <c r="A1215" s="5" t="n"/>
      <c r="B1215" s="5" t="n"/>
      <c r="C1215" s="5" t="n"/>
      <c r="D1215" s="5" t="n"/>
      <c r="E1215" s="5" t="n"/>
      <c r="F1215" s="5" t="n"/>
      <c r="G1215" s="5" t="n"/>
      <c r="H1215" s="5" t="n"/>
      <c r="I1215" s="5" t="n"/>
      <c r="J1215" s="5" t="n"/>
    </row>
    <row r="1216" ht="30" customHeight="1" s="45">
      <c r="A1216" s="5" t="n"/>
      <c r="B1216" s="5" t="n"/>
      <c r="C1216" s="5" t="n"/>
      <c r="D1216" s="5" t="n"/>
      <c r="E1216" s="5" t="n"/>
      <c r="F1216" s="5" t="n"/>
      <c r="G1216" s="5" t="n"/>
      <c r="H1216" s="5" t="n"/>
      <c r="I1216" s="5" t="n"/>
      <c r="J1216" s="5" t="n"/>
    </row>
    <row r="1217" ht="30" customHeight="1" s="45">
      <c r="A1217" s="5" t="n"/>
      <c r="B1217" s="5" t="n"/>
      <c r="C1217" s="5" t="n"/>
      <c r="D1217" s="5" t="n"/>
      <c r="E1217" s="5" t="n"/>
      <c r="F1217" s="5" t="n"/>
      <c r="G1217" s="5" t="n"/>
      <c r="H1217" s="5" t="n"/>
      <c r="I1217" s="5" t="n"/>
      <c r="J1217" s="5" t="n"/>
    </row>
    <row r="1218" ht="30" customHeight="1" s="45">
      <c r="A1218" s="5" t="n"/>
      <c r="B1218" s="5" t="n"/>
      <c r="C1218" s="5" t="n"/>
      <c r="D1218" s="5" t="n"/>
      <c r="E1218" s="5" t="n"/>
      <c r="F1218" s="5" t="n"/>
      <c r="G1218" s="5" t="n"/>
      <c r="H1218" s="5" t="n"/>
      <c r="I1218" s="5" t="n"/>
      <c r="J1218" s="5" t="n"/>
    </row>
    <row r="1219" ht="30" customHeight="1" s="45">
      <c r="A1219" s="5" t="n"/>
      <c r="B1219" s="5" t="n"/>
      <c r="C1219" s="5" t="n"/>
      <c r="D1219" s="5" t="n"/>
      <c r="E1219" s="5" t="n"/>
      <c r="F1219" s="5" t="n"/>
      <c r="G1219" s="5" t="n"/>
      <c r="H1219" s="5" t="n"/>
      <c r="I1219" s="5" t="n"/>
      <c r="J1219" s="5" t="n"/>
    </row>
    <row r="1220" ht="30" customHeight="1" s="45">
      <c r="A1220" s="5" t="n"/>
      <c r="B1220" s="5" t="n"/>
      <c r="C1220" s="5" t="n"/>
      <c r="D1220" s="5" t="n"/>
      <c r="E1220" s="5" t="n"/>
      <c r="F1220" s="5" t="n"/>
      <c r="G1220" s="5" t="n"/>
      <c r="H1220" s="5" t="n"/>
      <c r="I1220" s="5" t="n"/>
      <c r="J1220" s="5" t="n"/>
    </row>
    <row r="1221" ht="30" customHeight="1" s="45">
      <c r="A1221" s="5" t="n"/>
      <c r="B1221" s="5" t="n"/>
      <c r="C1221" s="5" t="n"/>
      <c r="D1221" s="5" t="n"/>
      <c r="E1221" s="5" t="n"/>
      <c r="F1221" s="5" t="n"/>
      <c r="G1221" s="5" t="n"/>
      <c r="H1221" s="5" t="n"/>
      <c r="I1221" s="5" t="n"/>
      <c r="J1221" s="5" t="n"/>
    </row>
    <row r="1222" ht="30" customHeight="1" s="45">
      <c r="A1222" s="5" t="n"/>
      <c r="B1222" s="5" t="n"/>
      <c r="C1222" s="5" t="n"/>
      <c r="D1222" s="5" t="n"/>
      <c r="E1222" s="5" t="n"/>
      <c r="F1222" s="5" t="n"/>
      <c r="G1222" s="5" t="n"/>
      <c r="H1222" s="5" t="n"/>
      <c r="I1222" s="5" t="n"/>
      <c r="J1222" s="5" t="n"/>
    </row>
    <row r="1223" ht="30" customHeight="1" s="45">
      <c r="A1223" s="5" t="n"/>
      <c r="B1223" s="5" t="n"/>
      <c r="C1223" s="5" t="n"/>
      <c r="D1223" s="5" t="n"/>
      <c r="E1223" s="5" t="n"/>
      <c r="F1223" s="5" t="n"/>
      <c r="G1223" s="5" t="n"/>
      <c r="H1223" s="5" t="n"/>
      <c r="I1223" s="5" t="n"/>
      <c r="J1223" s="5" t="n"/>
    </row>
    <row r="1224" ht="30" customHeight="1" s="45">
      <c r="A1224" s="5" t="n"/>
      <c r="B1224" s="5" t="n"/>
      <c r="C1224" s="5" t="n"/>
      <c r="D1224" s="5" t="n"/>
      <c r="E1224" s="5" t="n"/>
      <c r="F1224" s="5" t="n"/>
      <c r="G1224" s="5" t="n"/>
      <c r="H1224" s="5" t="n"/>
      <c r="I1224" s="5" t="n"/>
      <c r="J1224" s="5" t="n"/>
    </row>
    <row r="1225" ht="30" customHeight="1" s="45">
      <c r="A1225" s="5" t="n"/>
      <c r="B1225" s="5" t="n"/>
      <c r="C1225" s="5" t="n"/>
      <c r="D1225" s="5" t="n"/>
      <c r="E1225" s="5" t="n"/>
      <c r="F1225" s="5" t="n"/>
      <c r="G1225" s="5" t="n"/>
      <c r="H1225" s="5" t="n"/>
      <c r="I1225" s="5" t="n"/>
      <c r="J1225" s="5" t="n"/>
    </row>
    <row r="1226" ht="30" customHeight="1" s="45">
      <c r="A1226" s="5" t="n"/>
      <c r="B1226" s="5" t="n"/>
      <c r="C1226" s="5" t="n"/>
      <c r="D1226" s="5" t="n"/>
      <c r="E1226" s="5" t="n"/>
      <c r="F1226" s="5" t="n"/>
      <c r="G1226" s="5" t="n"/>
      <c r="H1226" s="5" t="n"/>
      <c r="I1226" s="5" t="n"/>
      <c r="J1226" s="5" t="n"/>
    </row>
    <row r="1227" ht="30" customHeight="1" s="45">
      <c r="A1227" s="5" t="n"/>
      <c r="B1227" s="5" t="n"/>
      <c r="C1227" s="5" t="n"/>
      <c r="D1227" s="5" t="n"/>
      <c r="E1227" s="5" t="n"/>
      <c r="F1227" s="5" t="n"/>
      <c r="G1227" s="5" t="n"/>
      <c r="H1227" s="5" t="n"/>
      <c r="I1227" s="5" t="n"/>
      <c r="J1227" s="5" t="n"/>
    </row>
    <row r="1228" ht="30" customHeight="1" s="45">
      <c r="A1228" s="5" t="n"/>
      <c r="B1228" s="5" t="n"/>
      <c r="C1228" s="5" t="n"/>
      <c r="D1228" s="5" t="n"/>
      <c r="E1228" s="5" t="n"/>
      <c r="F1228" s="5" t="n"/>
      <c r="G1228" s="5" t="n"/>
      <c r="H1228" s="5" t="n"/>
      <c r="I1228" s="5" t="n"/>
      <c r="J1228" s="5" t="n"/>
    </row>
    <row r="1229" ht="30" customHeight="1" s="45">
      <c r="A1229" s="5" t="n"/>
      <c r="B1229" s="5" t="n"/>
      <c r="C1229" s="5" t="n"/>
      <c r="D1229" s="5" t="n"/>
      <c r="E1229" s="5" t="n"/>
      <c r="F1229" s="5" t="n"/>
      <c r="G1229" s="5" t="n"/>
      <c r="H1229" s="5" t="n"/>
      <c r="I1229" s="5" t="n"/>
      <c r="J1229" s="5" t="n"/>
    </row>
    <row r="1230" ht="30" customHeight="1" s="45">
      <c r="A1230" s="5" t="n"/>
      <c r="B1230" s="5" t="n"/>
      <c r="C1230" s="5" t="n"/>
      <c r="D1230" s="5" t="n"/>
      <c r="E1230" s="5" t="n"/>
      <c r="F1230" s="5" t="n"/>
      <c r="G1230" s="5" t="n"/>
      <c r="H1230" s="5" t="n"/>
      <c r="I1230" s="5" t="n"/>
      <c r="J1230" s="5" t="n"/>
    </row>
    <row r="1231" ht="30" customHeight="1" s="45">
      <c r="A1231" s="5" t="n"/>
      <c r="B1231" s="5" t="n"/>
      <c r="C1231" s="5" t="n"/>
      <c r="D1231" s="5" t="n"/>
      <c r="E1231" s="5" t="n"/>
      <c r="F1231" s="5" t="n"/>
      <c r="G1231" s="5" t="n"/>
      <c r="H1231" s="5" t="n"/>
      <c r="I1231" s="5" t="n"/>
      <c r="J1231" s="5" t="n"/>
    </row>
    <row r="1232" ht="30" customHeight="1" s="45">
      <c r="A1232" s="5" t="n"/>
      <c r="B1232" s="5" t="n"/>
      <c r="C1232" s="5" t="n"/>
      <c r="D1232" s="5" t="n"/>
      <c r="E1232" s="5" t="n"/>
      <c r="F1232" s="5" t="n"/>
      <c r="G1232" s="5" t="n"/>
      <c r="H1232" s="5" t="n"/>
      <c r="I1232" s="5" t="n"/>
      <c r="J1232" s="5" t="n"/>
    </row>
    <row r="1233" ht="30" customHeight="1" s="45">
      <c r="A1233" s="5" t="n"/>
      <c r="B1233" s="5" t="n"/>
      <c r="C1233" s="5" t="n"/>
      <c r="D1233" s="5" t="n"/>
      <c r="E1233" s="5" t="n"/>
      <c r="F1233" s="5" t="n"/>
      <c r="G1233" s="5" t="n"/>
      <c r="H1233" s="5" t="n"/>
      <c r="I1233" s="5" t="n"/>
      <c r="J1233" s="5" t="n"/>
    </row>
    <row r="1234" ht="30" customHeight="1" s="45">
      <c r="A1234" s="5" t="n"/>
      <c r="B1234" s="5" t="n"/>
      <c r="C1234" s="5" t="n"/>
      <c r="D1234" s="5" t="n"/>
      <c r="E1234" s="5" t="n"/>
      <c r="F1234" s="5" t="n"/>
      <c r="G1234" s="5" t="n"/>
      <c r="H1234" s="5" t="n"/>
      <c r="I1234" s="5" t="n"/>
      <c r="J1234" s="5" t="n"/>
    </row>
    <row r="1235" ht="30" customHeight="1" s="45">
      <c r="A1235" s="5" t="n"/>
      <c r="B1235" s="5" t="n"/>
      <c r="C1235" s="5" t="n"/>
      <c r="D1235" s="5" t="n"/>
      <c r="E1235" s="5" t="n"/>
      <c r="F1235" s="5" t="n"/>
      <c r="G1235" s="5" t="n"/>
      <c r="H1235" s="5" t="n"/>
      <c r="I1235" s="5" t="n"/>
      <c r="J1235" s="5" t="n"/>
    </row>
    <row r="1236" ht="30" customHeight="1" s="45">
      <c r="A1236" s="5" t="n"/>
      <c r="B1236" s="5" t="n"/>
      <c r="C1236" s="5" t="n"/>
      <c r="D1236" s="5" t="n"/>
      <c r="E1236" s="5" t="n"/>
      <c r="F1236" s="5" t="n"/>
      <c r="G1236" s="5" t="n"/>
      <c r="H1236" s="5" t="n"/>
      <c r="I1236" s="5" t="n"/>
      <c r="J1236" s="5" t="n"/>
    </row>
    <row r="1237" ht="30" customHeight="1" s="45">
      <c r="A1237" s="5" t="n"/>
      <c r="B1237" s="5" t="n"/>
      <c r="C1237" s="5" t="n"/>
      <c r="D1237" s="5" t="n"/>
      <c r="E1237" s="5" t="n"/>
      <c r="F1237" s="5" t="n"/>
      <c r="G1237" s="5" t="n"/>
      <c r="H1237" s="5" t="n"/>
      <c r="I1237" s="5" t="n"/>
      <c r="J1237" s="5" t="n"/>
    </row>
    <row r="1238" ht="30" customHeight="1" s="45">
      <c r="A1238" s="5" t="n"/>
      <c r="B1238" s="5" t="n"/>
      <c r="C1238" s="5" t="n"/>
      <c r="D1238" s="5" t="n"/>
      <c r="E1238" s="5" t="n"/>
      <c r="F1238" s="5" t="n"/>
      <c r="G1238" s="5" t="n"/>
      <c r="H1238" s="5" t="n"/>
      <c r="I1238" s="5" t="n"/>
      <c r="J1238" s="5" t="n"/>
    </row>
    <row r="1239" ht="30" customHeight="1" s="45">
      <c r="A1239" s="5" t="n"/>
      <c r="B1239" s="5" t="n"/>
      <c r="C1239" s="5" t="n"/>
      <c r="D1239" s="5" t="n"/>
      <c r="E1239" s="5" t="n"/>
      <c r="F1239" s="5" t="n"/>
      <c r="G1239" s="5" t="n"/>
      <c r="H1239" s="5" t="n"/>
      <c r="I1239" s="5" t="n"/>
      <c r="J1239" s="5" t="n"/>
    </row>
    <row r="1240" ht="30" customHeight="1" s="45">
      <c r="A1240" s="5" t="n"/>
      <c r="B1240" s="5" t="n"/>
      <c r="C1240" s="5" t="n"/>
      <c r="D1240" s="5" t="n"/>
      <c r="E1240" s="5" t="n"/>
      <c r="F1240" s="5" t="n"/>
      <c r="G1240" s="5" t="n"/>
      <c r="H1240" s="5" t="n"/>
      <c r="I1240" s="5" t="n"/>
      <c r="J1240" s="5" t="n"/>
    </row>
    <row r="1241" ht="30" customHeight="1" s="45">
      <c r="A1241" s="5" t="n"/>
      <c r="B1241" s="5" t="n"/>
      <c r="C1241" s="5" t="n"/>
      <c r="D1241" s="5" t="n"/>
      <c r="E1241" s="5" t="n"/>
      <c r="F1241" s="5" t="n"/>
      <c r="G1241" s="5" t="n"/>
      <c r="H1241" s="5" t="n"/>
      <c r="I1241" s="5" t="n"/>
      <c r="J1241" s="5" t="n"/>
    </row>
    <row r="1242" ht="30" customHeight="1" s="45">
      <c r="A1242" s="5" t="n"/>
      <c r="B1242" s="5" t="n"/>
      <c r="C1242" s="5" t="n"/>
      <c r="D1242" s="5" t="n"/>
      <c r="E1242" s="5" t="n"/>
      <c r="F1242" s="5" t="n"/>
      <c r="G1242" s="5" t="n"/>
      <c r="H1242" s="5" t="n"/>
      <c r="I1242" s="5" t="n"/>
      <c r="J1242" s="5" t="n"/>
    </row>
    <row r="1243" ht="30" customHeight="1" s="45">
      <c r="A1243" s="5" t="n"/>
      <c r="B1243" s="5" t="n"/>
      <c r="C1243" s="5" t="n"/>
      <c r="D1243" s="5" t="n"/>
      <c r="E1243" s="5" t="n"/>
      <c r="F1243" s="5" t="n"/>
      <c r="G1243" s="5" t="n"/>
      <c r="H1243" s="5" t="n"/>
      <c r="I1243" s="5" t="n"/>
      <c r="J1243" s="5" t="n"/>
    </row>
    <row r="1244" ht="30" customHeight="1" s="45">
      <c r="A1244" s="5" t="n"/>
      <c r="B1244" s="5" t="n"/>
      <c r="C1244" s="5" t="n"/>
      <c r="D1244" s="5" t="n"/>
      <c r="E1244" s="5" t="n"/>
      <c r="F1244" s="5" t="n"/>
      <c r="G1244" s="5" t="n"/>
      <c r="H1244" s="5" t="n"/>
      <c r="I1244" s="5" t="n"/>
      <c r="J1244" s="5" t="n"/>
    </row>
    <row r="1245" ht="30" customHeight="1" s="45">
      <c r="A1245" s="5" t="n"/>
      <c r="B1245" s="5" t="n"/>
      <c r="C1245" s="5" t="n"/>
      <c r="D1245" s="5" t="n"/>
      <c r="E1245" s="5" t="n"/>
      <c r="F1245" s="5" t="n"/>
      <c r="G1245" s="5" t="n"/>
      <c r="H1245" s="5" t="n"/>
      <c r="I1245" s="5" t="n"/>
      <c r="J1245" s="5" t="n"/>
    </row>
    <row r="1246" ht="30" customHeight="1" s="45">
      <c r="A1246" s="5" t="n"/>
      <c r="B1246" s="5" t="n"/>
      <c r="C1246" s="5" t="n"/>
      <c r="D1246" s="5" t="n"/>
      <c r="E1246" s="5" t="n"/>
      <c r="F1246" s="5" t="n"/>
      <c r="G1246" s="5" t="n"/>
      <c r="H1246" s="5" t="n"/>
      <c r="I1246" s="5" t="n"/>
      <c r="J1246" s="5" t="n"/>
    </row>
    <row r="1247" ht="30" customHeight="1" s="45">
      <c r="A1247" s="5" t="n"/>
      <c r="B1247" s="5" t="n"/>
      <c r="C1247" s="5" t="n"/>
      <c r="D1247" s="5" t="n"/>
      <c r="E1247" s="5" t="n"/>
      <c r="F1247" s="5" t="n"/>
      <c r="G1247" s="5" t="n"/>
      <c r="H1247" s="5" t="n"/>
      <c r="I1247" s="5" t="n"/>
      <c r="J1247" s="5" t="n"/>
    </row>
    <row r="1248" ht="30" customHeight="1" s="45">
      <c r="A1248" s="5" t="n"/>
      <c r="B1248" s="5" t="n"/>
      <c r="C1248" s="5" t="n"/>
      <c r="D1248" s="5" t="n"/>
      <c r="E1248" s="5" t="n"/>
      <c r="F1248" s="5" t="n"/>
      <c r="G1248" s="5" t="n"/>
      <c r="H1248" s="5" t="n"/>
      <c r="I1248" s="5" t="n"/>
      <c r="J1248" s="5" t="n"/>
    </row>
    <row r="1249" ht="30" customHeight="1" s="45">
      <c r="A1249" s="5" t="n"/>
      <c r="B1249" s="5" t="n"/>
      <c r="C1249" s="5" t="n"/>
      <c r="D1249" s="5" t="n"/>
      <c r="E1249" s="5" t="n"/>
      <c r="F1249" s="5" t="n"/>
      <c r="G1249" s="5" t="n"/>
      <c r="H1249" s="5" t="n"/>
      <c r="I1249" s="5" t="n"/>
      <c r="J1249" s="5" t="n"/>
    </row>
    <row r="1250" ht="30" customHeight="1" s="45">
      <c r="A1250" s="5" t="n"/>
      <c r="B1250" s="5" t="n"/>
      <c r="C1250" s="5" t="n"/>
      <c r="D1250" s="5" t="n"/>
      <c r="E1250" s="5" t="n"/>
      <c r="F1250" s="5" t="n"/>
      <c r="G1250" s="5" t="n"/>
      <c r="H1250" s="5" t="n"/>
      <c r="I1250" s="5" t="n"/>
      <c r="J1250" s="5" t="n"/>
    </row>
    <row r="1251" ht="30" customHeight="1" s="45">
      <c r="A1251" s="5" t="n"/>
      <c r="B1251" s="5" t="n"/>
      <c r="C1251" s="5" t="n"/>
      <c r="D1251" s="5" t="n"/>
      <c r="E1251" s="5" t="n"/>
      <c r="F1251" s="5" t="n"/>
      <c r="G1251" s="5" t="n"/>
      <c r="H1251" s="5" t="n"/>
      <c r="I1251" s="5" t="n"/>
      <c r="J1251" s="5" t="n"/>
    </row>
    <row r="1252" ht="30" customHeight="1" s="45">
      <c r="A1252" s="5" t="n"/>
      <c r="B1252" s="5" t="n"/>
      <c r="C1252" s="5" t="n"/>
      <c r="D1252" s="5" t="n"/>
      <c r="E1252" s="5" t="n"/>
      <c r="F1252" s="5" t="n"/>
      <c r="G1252" s="5" t="n"/>
      <c r="H1252" s="5" t="n"/>
      <c r="I1252" s="5" t="n"/>
      <c r="J1252" s="5" t="n"/>
    </row>
    <row r="1253" ht="30" customHeight="1" s="45">
      <c r="A1253" s="5" t="n"/>
      <c r="B1253" s="5" t="n"/>
      <c r="C1253" s="5" t="n"/>
      <c r="D1253" s="5" t="n"/>
      <c r="E1253" s="5" t="n"/>
      <c r="F1253" s="5" t="n"/>
      <c r="G1253" s="5" t="n"/>
      <c r="H1253" s="5" t="n"/>
      <c r="I1253" s="5" t="n"/>
      <c r="J1253" s="5" t="n"/>
    </row>
    <row r="1254" ht="30" customHeight="1" s="45">
      <c r="A1254" s="5" t="n"/>
      <c r="B1254" s="5" t="n"/>
      <c r="C1254" s="5" t="n"/>
      <c r="D1254" s="5" t="n"/>
      <c r="E1254" s="5" t="n"/>
      <c r="F1254" s="5" t="n"/>
      <c r="G1254" s="5" t="n"/>
      <c r="H1254" s="5" t="n"/>
      <c r="I1254" s="5" t="n"/>
      <c r="J1254" s="5" t="n"/>
    </row>
    <row r="1255" ht="30" customHeight="1" s="45">
      <c r="A1255" s="5" t="n"/>
      <c r="B1255" s="5" t="n"/>
      <c r="C1255" s="5" t="n"/>
      <c r="D1255" s="5" t="n"/>
      <c r="E1255" s="5" t="n"/>
      <c r="F1255" s="5" t="n"/>
      <c r="G1255" s="5" t="n"/>
      <c r="H1255" s="5" t="n"/>
      <c r="I1255" s="5" t="n"/>
      <c r="J1255" s="5" t="n"/>
    </row>
    <row r="1256" ht="30" customHeight="1" s="45">
      <c r="A1256" s="5" t="n"/>
      <c r="B1256" s="5" t="n"/>
      <c r="C1256" s="5" t="n"/>
      <c r="D1256" s="5" t="n"/>
      <c r="E1256" s="5" t="n"/>
      <c r="F1256" s="5" t="n"/>
      <c r="G1256" s="5" t="n"/>
      <c r="H1256" s="5" t="n"/>
      <c r="I1256" s="5" t="n"/>
      <c r="J1256" s="5" t="n"/>
    </row>
    <row r="1257" ht="30" customHeight="1" s="45">
      <c r="A1257" s="5" t="n"/>
      <c r="B1257" s="5" t="n"/>
      <c r="C1257" s="5" t="n"/>
      <c r="D1257" s="5" t="n"/>
      <c r="E1257" s="5" t="n"/>
      <c r="F1257" s="5" t="n"/>
      <c r="G1257" s="5" t="n"/>
      <c r="H1257" s="5" t="n"/>
      <c r="I1257" s="5" t="n"/>
      <c r="J1257" s="5" t="n"/>
    </row>
    <row r="1258" ht="30" customHeight="1" s="45">
      <c r="A1258" s="5" t="n"/>
      <c r="B1258" s="5" t="n"/>
      <c r="C1258" s="5" t="n"/>
      <c r="D1258" s="5" t="n"/>
      <c r="E1258" s="5" t="n"/>
      <c r="F1258" s="5" t="n"/>
      <c r="G1258" s="5" t="n"/>
      <c r="H1258" s="5" t="n"/>
      <c r="I1258" s="5" t="n"/>
      <c r="J1258" s="5" t="n"/>
    </row>
    <row r="1259" ht="30" customHeight="1" s="45">
      <c r="A1259" s="5" t="n"/>
      <c r="B1259" s="5" t="n"/>
      <c r="C1259" s="5" t="n"/>
      <c r="D1259" s="5" t="n"/>
      <c r="E1259" s="5" t="n"/>
      <c r="F1259" s="5" t="n"/>
      <c r="G1259" s="5" t="n"/>
      <c r="H1259" s="5" t="n"/>
      <c r="I1259" s="5" t="n"/>
      <c r="J1259" s="5" t="n"/>
    </row>
    <row r="1260" ht="30" customHeight="1" s="45">
      <c r="A1260" s="5" t="n"/>
      <c r="B1260" s="5" t="n"/>
      <c r="C1260" s="5" t="n"/>
      <c r="D1260" s="5" t="n"/>
      <c r="E1260" s="5" t="n"/>
      <c r="F1260" s="5" t="n"/>
      <c r="G1260" s="5" t="n"/>
      <c r="H1260" s="5" t="n"/>
      <c r="I1260" s="5" t="n"/>
      <c r="J1260" s="5" t="n"/>
    </row>
    <row r="1261" ht="30" customHeight="1" s="45">
      <c r="A1261" s="5" t="n"/>
      <c r="B1261" s="5" t="n"/>
      <c r="C1261" s="5" t="n"/>
      <c r="D1261" s="5" t="n"/>
      <c r="E1261" s="5" t="n"/>
      <c r="F1261" s="5" t="n"/>
      <c r="G1261" s="5" t="n"/>
      <c r="H1261" s="5" t="n"/>
      <c r="I1261" s="5" t="n"/>
      <c r="J1261" s="5" t="n"/>
    </row>
    <row r="1262" ht="30" customHeight="1" s="45">
      <c r="A1262" s="5" t="n"/>
      <c r="B1262" s="5" t="n"/>
      <c r="C1262" s="5" t="n"/>
      <c r="D1262" s="5" t="n"/>
      <c r="E1262" s="5" t="n"/>
      <c r="F1262" s="5" t="n"/>
      <c r="G1262" s="5" t="n"/>
      <c r="H1262" s="5" t="n"/>
      <c r="I1262" s="5" t="n"/>
      <c r="J1262" s="5" t="n"/>
    </row>
    <row r="1263" ht="30" customHeight="1" s="45">
      <c r="A1263" s="5" t="n"/>
      <c r="B1263" s="5" t="n"/>
      <c r="C1263" s="5" t="n"/>
      <c r="D1263" s="5" t="n"/>
      <c r="E1263" s="5" t="n"/>
      <c r="F1263" s="5" t="n"/>
      <c r="G1263" s="5" t="n"/>
      <c r="H1263" s="5" t="n"/>
      <c r="I1263" s="5" t="n"/>
      <c r="J1263" s="5" t="n"/>
    </row>
    <row r="1264" ht="30" customHeight="1" s="45">
      <c r="A1264" s="5" t="n"/>
      <c r="B1264" s="5" t="n"/>
      <c r="C1264" s="5" t="n"/>
      <c r="D1264" s="5" t="n"/>
      <c r="E1264" s="5" t="n"/>
      <c r="F1264" s="5" t="n"/>
      <c r="G1264" s="5" t="n"/>
      <c r="H1264" s="5" t="n"/>
      <c r="I1264" s="5" t="n"/>
      <c r="J1264" s="5" t="n"/>
    </row>
    <row r="1265" ht="30" customHeight="1" s="45">
      <c r="A1265" s="5" t="n"/>
      <c r="B1265" s="5" t="n"/>
      <c r="C1265" s="5" t="n"/>
      <c r="D1265" s="5" t="n"/>
      <c r="E1265" s="5" t="n"/>
      <c r="F1265" s="5" t="n"/>
      <c r="G1265" s="5" t="n"/>
      <c r="H1265" s="5" t="n"/>
      <c r="I1265" s="5" t="n"/>
      <c r="J1265" s="5" t="n"/>
    </row>
    <row r="1266" ht="30" customHeight="1" s="45">
      <c r="A1266" s="5" t="n"/>
      <c r="B1266" s="5" t="n"/>
      <c r="C1266" s="5" t="n"/>
      <c r="D1266" s="5" t="n"/>
      <c r="E1266" s="5" t="n"/>
      <c r="F1266" s="5" t="n"/>
      <c r="G1266" s="5" t="n"/>
      <c r="H1266" s="5" t="n"/>
      <c r="I1266" s="5" t="n"/>
      <c r="J1266" s="5" t="n"/>
    </row>
    <row r="1267" ht="30" customHeight="1" s="45">
      <c r="A1267" s="5" t="n"/>
      <c r="B1267" s="5" t="n"/>
      <c r="C1267" s="5" t="n"/>
      <c r="D1267" s="5" t="n"/>
      <c r="E1267" s="5" t="n"/>
      <c r="F1267" s="5" t="n"/>
      <c r="G1267" s="5" t="n"/>
      <c r="H1267" s="5" t="n"/>
      <c r="I1267" s="5" t="n"/>
      <c r="J1267" s="5" t="n"/>
    </row>
    <row r="1268" ht="30" customHeight="1" s="45">
      <c r="A1268" s="5" t="n"/>
      <c r="B1268" s="5" t="n"/>
      <c r="C1268" s="5" t="n"/>
      <c r="D1268" s="5" t="n"/>
      <c r="E1268" s="5" t="n"/>
      <c r="F1268" s="5" t="n"/>
      <c r="G1268" s="5" t="n"/>
      <c r="H1268" s="5" t="n"/>
      <c r="I1268" s="5" t="n"/>
      <c r="J1268" s="5" t="n"/>
    </row>
    <row r="1269" ht="30" customHeight="1" s="45">
      <c r="A1269" s="5" t="n"/>
      <c r="B1269" s="5" t="n"/>
      <c r="C1269" s="5" t="n"/>
      <c r="D1269" s="5" t="n"/>
      <c r="E1269" s="5" t="n"/>
      <c r="F1269" s="5" t="n"/>
      <c r="G1269" s="5" t="n"/>
      <c r="H1269" s="5" t="n"/>
      <c r="I1269" s="5" t="n"/>
      <c r="J1269" s="5" t="n"/>
    </row>
    <row r="1270" ht="30" customHeight="1" s="45">
      <c r="A1270" s="5" t="n"/>
      <c r="B1270" s="5" t="n"/>
      <c r="C1270" s="5" t="n"/>
      <c r="D1270" s="5" t="n"/>
      <c r="E1270" s="5" t="n"/>
      <c r="F1270" s="5" t="n"/>
      <c r="G1270" s="5" t="n"/>
      <c r="H1270" s="5" t="n"/>
      <c r="I1270" s="5" t="n"/>
      <c r="J1270" s="5" t="n"/>
    </row>
    <row r="1271" ht="30" customHeight="1" s="45">
      <c r="A1271" s="5" t="n"/>
      <c r="B1271" s="5" t="n"/>
      <c r="C1271" s="5" t="n"/>
      <c r="D1271" s="5" t="n"/>
      <c r="E1271" s="5" t="n"/>
      <c r="F1271" s="5" t="n"/>
      <c r="G1271" s="5" t="n"/>
      <c r="H1271" s="5" t="n"/>
      <c r="I1271" s="5" t="n"/>
      <c r="J1271" s="5" t="n"/>
    </row>
    <row r="1272" ht="30" customHeight="1" s="45">
      <c r="A1272" s="5" t="n"/>
      <c r="B1272" s="5" t="n"/>
      <c r="C1272" s="5" t="n"/>
      <c r="D1272" s="5" t="n"/>
      <c r="E1272" s="5" t="n"/>
      <c r="F1272" s="5" t="n"/>
      <c r="G1272" s="5" t="n"/>
      <c r="H1272" s="5" t="n"/>
      <c r="I1272" s="5" t="n"/>
      <c r="J1272" s="5" t="n"/>
    </row>
    <row r="1273" ht="30" customHeight="1" s="45">
      <c r="A1273" s="5" t="n"/>
      <c r="B1273" s="5" t="n"/>
      <c r="C1273" s="5" t="n"/>
      <c r="D1273" s="5" t="n"/>
      <c r="E1273" s="5" t="n"/>
      <c r="F1273" s="5" t="n"/>
      <c r="G1273" s="5" t="n"/>
      <c r="H1273" s="5" t="n"/>
      <c r="I1273" s="5" t="n"/>
      <c r="J1273" s="5" t="n"/>
    </row>
    <row r="1274" ht="30" customHeight="1" s="45">
      <c r="A1274" s="5" t="n"/>
      <c r="B1274" s="5" t="n"/>
      <c r="C1274" s="5" t="n"/>
      <c r="D1274" s="5" t="n"/>
      <c r="E1274" s="5" t="n"/>
      <c r="F1274" s="5" t="n"/>
      <c r="G1274" s="5" t="n"/>
      <c r="H1274" s="5" t="n"/>
      <c r="I1274" s="5" t="n"/>
      <c r="J1274" s="5" t="n"/>
    </row>
    <row r="1275" ht="30" customHeight="1" s="45">
      <c r="A1275" s="5" t="n"/>
      <c r="B1275" s="5" t="n"/>
      <c r="C1275" s="5" t="n"/>
      <c r="D1275" s="5" t="n"/>
      <c r="E1275" s="5" t="n"/>
      <c r="F1275" s="5" t="n"/>
      <c r="G1275" s="5" t="n"/>
      <c r="H1275" s="5" t="n"/>
      <c r="I1275" s="5" t="n"/>
      <c r="J1275" s="5" t="n"/>
    </row>
    <row r="1276" ht="30" customHeight="1" s="45">
      <c r="A1276" s="5" t="n"/>
      <c r="B1276" s="5" t="n"/>
      <c r="C1276" s="5" t="n"/>
      <c r="D1276" s="5" t="n"/>
      <c r="E1276" s="5" t="n"/>
      <c r="F1276" s="5" t="n"/>
      <c r="G1276" s="5" t="n"/>
      <c r="H1276" s="5" t="n"/>
      <c r="I1276" s="5" t="n"/>
      <c r="J1276" s="5" t="n"/>
    </row>
    <row r="1277" ht="30" customHeight="1" s="45">
      <c r="A1277" s="5" t="n"/>
      <c r="B1277" s="5" t="n"/>
      <c r="C1277" s="5" t="n"/>
      <c r="D1277" s="5" t="n"/>
      <c r="E1277" s="5" t="n"/>
      <c r="F1277" s="5" t="n"/>
      <c r="G1277" s="5" t="n"/>
      <c r="H1277" s="5" t="n"/>
      <c r="I1277" s="5" t="n"/>
      <c r="J1277" s="5" t="n"/>
    </row>
    <row r="1278" ht="30" customHeight="1" s="45">
      <c r="A1278" s="5" t="n"/>
      <c r="B1278" s="5" t="n"/>
      <c r="C1278" s="5" t="n"/>
      <c r="D1278" s="5" t="n"/>
      <c r="E1278" s="5" t="n"/>
      <c r="F1278" s="5" t="n"/>
      <c r="G1278" s="5" t="n"/>
      <c r="H1278" s="5" t="n"/>
      <c r="I1278" s="5" t="n"/>
      <c r="J1278" s="5" t="n"/>
    </row>
    <row r="1279" ht="30" customHeight="1" s="45">
      <c r="A1279" s="5" t="n"/>
      <c r="B1279" s="5" t="n"/>
      <c r="C1279" s="5" t="n"/>
      <c r="D1279" s="5" t="n"/>
      <c r="E1279" s="5" t="n"/>
      <c r="F1279" s="5" t="n"/>
      <c r="G1279" s="5" t="n"/>
      <c r="H1279" s="5" t="n"/>
      <c r="I1279" s="5" t="n"/>
      <c r="J1279" s="5" t="n"/>
    </row>
    <row r="1280" ht="30" customHeight="1" s="45">
      <c r="A1280" s="5" t="n"/>
      <c r="B1280" s="5" t="n"/>
      <c r="C1280" s="5" t="n"/>
      <c r="D1280" s="5" t="n"/>
      <c r="E1280" s="5" t="n"/>
      <c r="F1280" s="5" t="n"/>
      <c r="G1280" s="5" t="n"/>
      <c r="H1280" s="5" t="n"/>
      <c r="I1280" s="5" t="n"/>
      <c r="J1280" s="5" t="n"/>
    </row>
    <row r="1281" ht="30" customHeight="1" s="45">
      <c r="A1281" s="5" t="n"/>
      <c r="B1281" s="5" t="n"/>
      <c r="C1281" s="5" t="n"/>
      <c r="D1281" s="5" t="n"/>
      <c r="E1281" s="5" t="n"/>
      <c r="F1281" s="5" t="n"/>
      <c r="G1281" s="5" t="n"/>
      <c r="H1281" s="5" t="n"/>
      <c r="I1281" s="5" t="n"/>
      <c r="J1281" s="5" t="n"/>
    </row>
    <row r="1282" ht="30" customHeight="1" s="45">
      <c r="A1282" s="5" t="n"/>
      <c r="B1282" s="5" t="n"/>
      <c r="C1282" s="5" t="n"/>
      <c r="D1282" s="5" t="n"/>
      <c r="E1282" s="5" t="n"/>
      <c r="F1282" s="5" t="n"/>
      <c r="G1282" s="5" t="n"/>
      <c r="H1282" s="5" t="n"/>
      <c r="I1282" s="5" t="n"/>
      <c r="J1282" s="5" t="n"/>
    </row>
    <row r="1283" ht="30" customHeight="1" s="45">
      <c r="A1283" s="5" t="n"/>
      <c r="B1283" s="5" t="n"/>
      <c r="C1283" s="5" t="n"/>
      <c r="D1283" s="5" t="n"/>
      <c r="E1283" s="5" t="n"/>
      <c r="F1283" s="5" t="n"/>
      <c r="G1283" s="5" t="n"/>
      <c r="H1283" s="5" t="n"/>
      <c r="I1283" s="5" t="n"/>
      <c r="J1283" s="5" t="n"/>
    </row>
    <row r="1284" ht="30" customHeight="1" s="45">
      <c r="A1284" s="5" t="n"/>
      <c r="B1284" s="5" t="n"/>
      <c r="C1284" s="5" t="n"/>
      <c r="D1284" s="5" t="n"/>
      <c r="E1284" s="5" t="n"/>
      <c r="F1284" s="5" t="n"/>
      <c r="G1284" s="5" t="n"/>
      <c r="H1284" s="5" t="n"/>
      <c r="I1284" s="5" t="n"/>
      <c r="J1284" s="5" t="n"/>
    </row>
    <row r="1285" ht="30" customHeight="1" s="45">
      <c r="A1285" s="5" t="n"/>
      <c r="B1285" s="5" t="n"/>
      <c r="C1285" s="5" t="n"/>
      <c r="D1285" s="5" t="n"/>
      <c r="E1285" s="5" t="n"/>
      <c r="F1285" s="5" t="n"/>
      <c r="G1285" s="5" t="n"/>
      <c r="H1285" s="5" t="n"/>
      <c r="I1285" s="5" t="n"/>
      <c r="J1285" s="5" t="n"/>
    </row>
    <row r="1286" ht="30" customHeight="1" s="45">
      <c r="A1286" s="5" t="n"/>
      <c r="B1286" s="5" t="n"/>
      <c r="C1286" s="5" t="n"/>
      <c r="D1286" s="5" t="n"/>
      <c r="E1286" s="5" t="n"/>
      <c r="F1286" s="5" t="n"/>
      <c r="G1286" s="5" t="n"/>
      <c r="H1286" s="5" t="n"/>
      <c r="I1286" s="5" t="n"/>
      <c r="J1286" s="5" t="n"/>
    </row>
    <row r="1287" ht="30" customHeight="1" s="45">
      <c r="A1287" s="5" t="n"/>
      <c r="B1287" s="5" t="n"/>
      <c r="C1287" s="5" t="n"/>
      <c r="D1287" s="5" t="n"/>
      <c r="E1287" s="5" t="n"/>
      <c r="F1287" s="5" t="n"/>
      <c r="G1287" s="5" t="n"/>
      <c r="H1287" s="5" t="n"/>
      <c r="I1287" s="5" t="n"/>
      <c r="J1287" s="5" t="n"/>
    </row>
    <row r="1288" ht="30" customHeight="1" s="45">
      <c r="A1288" s="5" t="n"/>
      <c r="B1288" s="5" t="n"/>
      <c r="C1288" s="5" t="n"/>
      <c r="D1288" s="5" t="n"/>
      <c r="E1288" s="5" t="n"/>
      <c r="F1288" s="5" t="n"/>
      <c r="G1288" s="5" t="n"/>
      <c r="H1288" s="5" t="n"/>
      <c r="I1288" s="5" t="n"/>
      <c r="J1288" s="5" t="n"/>
    </row>
    <row r="1289" ht="30" customHeight="1" s="45">
      <c r="A1289" s="5" t="n"/>
      <c r="B1289" s="5" t="n"/>
      <c r="C1289" s="5" t="n"/>
      <c r="D1289" s="5" t="n"/>
      <c r="E1289" s="5" t="n"/>
      <c r="F1289" s="5" t="n"/>
      <c r="G1289" s="5" t="n"/>
      <c r="H1289" s="5" t="n"/>
      <c r="I1289" s="5" t="n"/>
      <c r="J1289" s="5" t="n"/>
    </row>
    <row r="1290" ht="30" customHeight="1" s="45">
      <c r="A1290" s="5" t="n"/>
      <c r="B1290" s="5" t="n"/>
      <c r="C1290" s="5" t="n"/>
      <c r="D1290" s="5" t="n"/>
      <c r="E1290" s="5" t="n"/>
      <c r="F1290" s="5" t="n"/>
      <c r="G1290" s="5" t="n"/>
      <c r="H1290" s="5" t="n"/>
      <c r="I1290" s="5" t="n"/>
      <c r="J1290" s="5" t="n"/>
    </row>
    <row r="1291" ht="30" customHeight="1" s="45">
      <c r="A1291" s="5" t="n"/>
      <c r="B1291" s="5" t="n"/>
      <c r="C1291" s="5" t="n"/>
      <c r="D1291" s="5" t="n"/>
      <c r="E1291" s="5" t="n"/>
      <c r="F1291" s="5" t="n"/>
      <c r="G1291" s="5" t="n"/>
      <c r="H1291" s="5" t="n"/>
      <c r="I1291" s="5" t="n"/>
      <c r="J1291" s="5" t="n"/>
    </row>
    <row r="1292" ht="30" customHeight="1" s="45">
      <c r="A1292" s="5" t="n"/>
      <c r="B1292" s="5" t="n"/>
      <c r="C1292" s="5" t="n"/>
      <c r="D1292" s="5" t="n"/>
      <c r="E1292" s="5" t="n"/>
      <c r="F1292" s="5" t="n"/>
      <c r="G1292" s="5" t="n"/>
      <c r="H1292" s="5" t="n"/>
      <c r="I1292" s="5" t="n"/>
      <c r="J1292" s="5" t="n"/>
    </row>
    <row r="1293" ht="30" customHeight="1" s="45">
      <c r="A1293" s="5" t="n"/>
      <c r="B1293" s="5" t="n"/>
      <c r="C1293" s="5" t="n"/>
      <c r="D1293" s="5" t="n"/>
      <c r="E1293" s="5" t="n"/>
      <c r="F1293" s="5" t="n"/>
      <c r="G1293" s="5" t="n"/>
      <c r="H1293" s="5" t="n"/>
      <c r="I1293" s="5" t="n"/>
      <c r="J1293" s="5" t="n"/>
    </row>
    <row r="1294" ht="30" customHeight="1" s="45">
      <c r="A1294" s="5" t="n"/>
      <c r="B1294" s="5" t="n"/>
      <c r="C1294" s="5" t="n"/>
      <c r="D1294" s="5" t="n"/>
      <c r="E1294" s="5" t="n"/>
      <c r="F1294" s="5" t="n"/>
      <c r="G1294" s="5" t="n"/>
      <c r="H1294" s="5" t="n"/>
      <c r="I1294" s="5" t="n"/>
      <c r="J1294" s="5" t="n"/>
    </row>
    <row r="1295" ht="30" customHeight="1" s="45">
      <c r="A1295" s="5" t="n"/>
      <c r="B1295" s="5" t="n"/>
      <c r="C1295" s="5" t="n"/>
      <c r="D1295" s="5" t="n"/>
      <c r="E1295" s="5" t="n"/>
      <c r="F1295" s="5" t="n"/>
      <c r="G1295" s="5" t="n"/>
      <c r="H1295" s="5" t="n"/>
      <c r="I1295" s="5" t="n"/>
      <c r="J1295" s="5" t="n"/>
    </row>
    <row r="1296" ht="30" customHeight="1" s="45">
      <c r="A1296" s="5" t="n"/>
      <c r="B1296" s="5" t="n"/>
      <c r="C1296" s="5" t="n"/>
      <c r="D1296" s="5" t="n"/>
      <c r="E1296" s="5" t="n"/>
      <c r="F1296" s="5" t="n"/>
      <c r="G1296" s="5" t="n"/>
      <c r="H1296" s="5" t="n"/>
      <c r="I1296" s="5" t="n"/>
      <c r="J1296" s="5" t="n"/>
    </row>
    <row r="1297" ht="30" customHeight="1" s="45">
      <c r="A1297" s="5" t="n"/>
      <c r="B1297" s="5" t="n"/>
      <c r="C1297" s="5" t="n"/>
      <c r="D1297" s="5" t="n"/>
      <c r="E1297" s="5" t="n"/>
      <c r="F1297" s="5" t="n"/>
      <c r="G1297" s="5" t="n"/>
      <c r="H1297" s="5" t="n"/>
      <c r="I1297" s="5" t="n"/>
      <c r="J1297" s="5" t="n"/>
    </row>
    <row r="1298" ht="30" customHeight="1" s="45">
      <c r="A1298" s="5" t="n"/>
      <c r="B1298" s="5" t="n"/>
      <c r="C1298" s="5" t="n"/>
      <c r="D1298" s="5" t="n"/>
      <c r="E1298" s="5" t="n"/>
      <c r="F1298" s="5" t="n"/>
      <c r="G1298" s="5" t="n"/>
      <c r="H1298" s="5" t="n"/>
      <c r="I1298" s="5" t="n"/>
      <c r="J1298" s="5" t="n"/>
    </row>
    <row r="1299" ht="30" customHeight="1" s="45">
      <c r="A1299" s="5" t="n"/>
      <c r="B1299" s="5" t="n"/>
      <c r="C1299" s="5" t="n"/>
      <c r="D1299" s="5" t="n"/>
      <c r="E1299" s="5" t="n"/>
      <c r="F1299" s="5" t="n"/>
      <c r="G1299" s="5" t="n"/>
      <c r="H1299" s="5" t="n"/>
      <c r="I1299" s="5" t="n"/>
      <c r="J1299" s="5" t="n"/>
    </row>
    <row r="1300" ht="30" customHeight="1" s="45">
      <c r="A1300" s="5" t="n"/>
      <c r="B1300" s="5" t="n"/>
      <c r="C1300" s="5" t="n"/>
      <c r="D1300" s="5" t="n"/>
      <c r="E1300" s="5" t="n"/>
      <c r="F1300" s="5" t="n"/>
      <c r="G1300" s="5" t="n"/>
      <c r="H1300" s="5" t="n"/>
      <c r="I1300" s="5" t="n"/>
      <c r="J1300" s="5" t="n"/>
    </row>
    <row r="1301" ht="30" customHeight="1" s="45">
      <c r="A1301" s="5" t="n"/>
      <c r="B1301" s="5" t="n"/>
      <c r="C1301" s="5" t="n"/>
      <c r="D1301" s="5" t="n"/>
      <c r="E1301" s="5" t="n"/>
      <c r="F1301" s="5" t="n"/>
      <c r="G1301" s="5" t="n"/>
      <c r="H1301" s="5" t="n"/>
      <c r="I1301" s="5" t="n"/>
      <c r="J1301" s="5" t="n"/>
    </row>
    <row r="1302" ht="30" customHeight="1" s="45">
      <c r="A1302" s="5" t="n"/>
      <c r="B1302" s="5" t="n"/>
      <c r="C1302" s="5" t="n"/>
      <c r="D1302" s="5" t="n"/>
      <c r="E1302" s="5" t="n"/>
      <c r="F1302" s="5" t="n"/>
      <c r="G1302" s="5" t="n"/>
      <c r="H1302" s="5" t="n"/>
      <c r="I1302" s="5" t="n"/>
      <c r="J1302" s="5" t="n"/>
    </row>
    <row r="1303" ht="30" customHeight="1" s="45">
      <c r="A1303" s="5" t="n"/>
      <c r="B1303" s="5" t="n"/>
      <c r="C1303" s="5" t="n"/>
      <c r="D1303" s="5" t="n"/>
      <c r="E1303" s="5" t="n"/>
      <c r="F1303" s="5" t="n"/>
      <c r="G1303" s="5" t="n"/>
      <c r="H1303" s="5" t="n"/>
      <c r="I1303" s="5" t="n"/>
      <c r="J1303" s="5" t="n"/>
    </row>
    <row r="1304" ht="30" customHeight="1" s="45">
      <c r="A1304" s="5" t="n"/>
      <c r="B1304" s="5" t="n"/>
      <c r="C1304" s="5" t="n"/>
      <c r="D1304" s="5" t="n"/>
      <c r="E1304" s="5" t="n"/>
      <c r="F1304" s="5" t="n"/>
      <c r="G1304" s="5" t="n"/>
      <c r="H1304" s="5" t="n"/>
      <c r="I1304" s="5" t="n"/>
      <c r="J1304" s="5" t="n"/>
    </row>
    <row r="1305" ht="30" customHeight="1" s="45">
      <c r="A1305" s="5" t="n"/>
      <c r="B1305" s="5" t="n"/>
      <c r="C1305" s="5" t="n"/>
      <c r="D1305" s="5" t="n"/>
      <c r="E1305" s="5" t="n"/>
      <c r="F1305" s="5" t="n"/>
      <c r="G1305" s="5" t="n"/>
      <c r="H1305" s="5" t="n"/>
      <c r="I1305" s="5" t="n"/>
      <c r="J1305" s="5" t="n"/>
    </row>
    <row r="1306" ht="30" customHeight="1" s="45">
      <c r="A1306" s="5" t="n"/>
      <c r="B1306" s="5" t="n"/>
      <c r="C1306" s="5" t="n"/>
      <c r="D1306" s="5" t="n"/>
      <c r="E1306" s="5" t="n"/>
      <c r="F1306" s="5" t="n"/>
      <c r="G1306" s="5" t="n"/>
      <c r="H1306" s="5" t="n"/>
      <c r="I1306" s="5" t="n"/>
      <c r="J1306" s="5" t="n"/>
    </row>
    <row r="1307" ht="30" customHeight="1" s="45">
      <c r="A1307" s="5" t="n"/>
      <c r="B1307" s="5" t="n"/>
      <c r="C1307" s="5" t="n"/>
      <c r="D1307" s="5" t="n"/>
      <c r="E1307" s="5" t="n"/>
      <c r="F1307" s="5" t="n"/>
      <c r="G1307" s="5" t="n"/>
      <c r="H1307" s="5" t="n"/>
      <c r="I1307" s="5" t="n"/>
      <c r="J1307" s="5" t="n"/>
    </row>
    <row r="1308" ht="30" customHeight="1" s="45">
      <c r="A1308" s="5" t="n"/>
      <c r="B1308" s="5" t="n"/>
      <c r="C1308" s="5" t="n"/>
      <c r="D1308" s="5" t="n"/>
      <c r="E1308" s="5" t="n"/>
      <c r="F1308" s="5" t="n"/>
      <c r="G1308" s="5" t="n"/>
      <c r="H1308" s="5" t="n"/>
      <c r="I1308" s="5" t="n"/>
      <c r="J1308" s="5" t="n"/>
    </row>
    <row r="1309" ht="30" customHeight="1" s="45">
      <c r="A1309" s="5" t="n"/>
      <c r="B1309" s="5" t="n"/>
      <c r="C1309" s="5" t="n"/>
      <c r="D1309" s="5" t="n"/>
      <c r="E1309" s="5" t="n"/>
      <c r="F1309" s="5" t="n"/>
      <c r="G1309" s="5" t="n"/>
      <c r="H1309" s="5" t="n"/>
      <c r="I1309" s="5" t="n"/>
      <c r="J1309" s="5" t="n"/>
    </row>
    <row r="1310" ht="30" customHeight="1" s="45">
      <c r="A1310" s="5" t="n"/>
      <c r="B1310" s="5" t="n"/>
      <c r="C1310" s="5" t="n"/>
      <c r="D1310" s="5" t="n"/>
      <c r="E1310" s="5" t="n"/>
      <c r="F1310" s="5" t="n"/>
      <c r="G1310" s="5" t="n"/>
      <c r="H1310" s="5" t="n"/>
      <c r="I1310" s="5" t="n"/>
      <c r="J1310" s="5" t="n"/>
    </row>
    <row r="1311" ht="30" customHeight="1" s="45">
      <c r="A1311" s="5" t="n"/>
      <c r="B1311" s="5" t="n"/>
      <c r="C1311" s="5" t="n"/>
      <c r="D1311" s="5" t="n"/>
      <c r="E1311" s="5" t="n"/>
      <c r="F1311" s="5" t="n"/>
      <c r="G1311" s="5" t="n"/>
      <c r="H1311" s="5" t="n"/>
      <c r="I1311" s="5" t="n"/>
      <c r="J1311" s="5" t="n"/>
    </row>
    <row r="1312" ht="30" customHeight="1" s="45">
      <c r="A1312" s="5" t="n"/>
      <c r="B1312" s="5" t="n"/>
      <c r="C1312" s="5" t="n"/>
      <c r="D1312" s="5" t="n"/>
      <c r="E1312" s="5" t="n"/>
      <c r="F1312" s="5" t="n"/>
      <c r="G1312" s="5" t="n"/>
      <c r="H1312" s="5" t="n"/>
      <c r="I1312" s="5" t="n"/>
      <c r="J1312" s="5" t="n"/>
    </row>
    <row r="1313" ht="30" customHeight="1" s="45">
      <c r="A1313" s="5" t="n"/>
      <c r="B1313" s="5" t="n"/>
      <c r="C1313" s="5" t="n"/>
      <c r="D1313" s="5" t="n"/>
      <c r="E1313" s="5" t="n"/>
      <c r="F1313" s="5" t="n"/>
      <c r="G1313" s="5" t="n"/>
      <c r="H1313" s="5" t="n"/>
      <c r="I1313" s="5" t="n"/>
      <c r="J1313" s="5" t="n"/>
    </row>
    <row r="1314" ht="30" customHeight="1" s="45">
      <c r="A1314" s="5" t="n"/>
      <c r="B1314" s="5" t="n"/>
      <c r="C1314" s="5" t="n"/>
      <c r="D1314" s="5" t="n"/>
      <c r="E1314" s="5" t="n"/>
      <c r="F1314" s="5" t="n"/>
      <c r="G1314" s="5" t="n"/>
      <c r="H1314" s="5" t="n"/>
      <c r="I1314" s="5" t="n"/>
      <c r="J1314" s="5" t="n"/>
    </row>
    <row r="1315" ht="30" customHeight="1" s="45">
      <c r="A1315" s="5" t="n"/>
      <c r="B1315" s="5" t="n"/>
      <c r="C1315" s="5" t="n"/>
      <c r="D1315" s="5" t="n"/>
      <c r="E1315" s="5" t="n"/>
      <c r="F1315" s="5" t="n"/>
      <c r="G1315" s="5" t="n"/>
      <c r="H1315" s="5" t="n"/>
      <c r="I1315" s="5" t="n"/>
      <c r="J1315" s="5" t="n"/>
    </row>
    <row r="1316" ht="30" customHeight="1" s="45">
      <c r="A1316" s="5" t="n"/>
      <c r="B1316" s="5" t="n"/>
      <c r="C1316" s="5" t="n"/>
      <c r="D1316" s="5" t="n"/>
      <c r="E1316" s="5" t="n"/>
      <c r="F1316" s="5" t="n"/>
      <c r="G1316" s="5" t="n"/>
      <c r="H1316" s="5" t="n"/>
      <c r="I1316" s="5" t="n"/>
      <c r="J1316" s="5" t="n"/>
    </row>
    <row r="1317" ht="30" customHeight="1" s="45">
      <c r="A1317" s="5" t="n"/>
      <c r="B1317" s="5" t="n"/>
      <c r="C1317" s="5" t="n"/>
      <c r="D1317" s="5" t="n"/>
      <c r="E1317" s="5" t="n"/>
      <c r="F1317" s="5" t="n"/>
      <c r="G1317" s="5" t="n"/>
      <c r="H1317" s="5" t="n"/>
      <c r="I1317" s="5" t="n"/>
      <c r="J1317" s="5" t="n"/>
    </row>
    <row r="1318" ht="30" customHeight="1" s="45">
      <c r="A1318" s="5" t="n"/>
      <c r="B1318" s="5" t="n"/>
      <c r="C1318" s="5" t="n"/>
      <c r="D1318" s="5" t="n"/>
      <c r="E1318" s="5" t="n"/>
      <c r="F1318" s="5" t="n"/>
      <c r="G1318" s="5" t="n"/>
      <c r="H1318" s="5" t="n"/>
      <c r="I1318" s="5" t="n"/>
      <c r="J1318" s="5" t="n"/>
    </row>
    <row r="1319" ht="30" customHeight="1" s="45">
      <c r="A1319" s="5" t="n"/>
      <c r="B1319" s="5" t="n"/>
      <c r="C1319" s="5" t="n"/>
      <c r="D1319" s="5" t="n"/>
      <c r="E1319" s="5" t="n"/>
      <c r="F1319" s="5" t="n"/>
      <c r="G1319" s="5" t="n"/>
      <c r="H1319" s="5" t="n"/>
      <c r="I1319" s="5" t="n"/>
      <c r="J1319" s="5" t="n"/>
    </row>
    <row r="1320" ht="30" customHeight="1" s="45">
      <c r="A1320" s="5" t="n"/>
      <c r="B1320" s="5" t="n"/>
      <c r="C1320" s="5" t="n"/>
      <c r="D1320" s="5" t="n"/>
      <c r="E1320" s="5" t="n"/>
      <c r="F1320" s="5" t="n"/>
      <c r="G1320" s="5" t="n"/>
      <c r="H1320" s="5" t="n"/>
      <c r="I1320" s="5" t="n"/>
      <c r="J1320" s="5" t="n"/>
    </row>
    <row r="1321" ht="30" customHeight="1" s="45">
      <c r="A1321" s="5" t="n"/>
      <c r="B1321" s="5" t="n"/>
      <c r="C1321" s="5" t="n"/>
      <c r="D1321" s="5" t="n"/>
      <c r="E1321" s="5" t="n"/>
      <c r="F1321" s="5" t="n"/>
      <c r="G1321" s="5" t="n"/>
      <c r="H1321" s="5" t="n"/>
      <c r="I1321" s="5" t="n"/>
      <c r="J1321" s="5" t="n"/>
    </row>
    <row r="1322" ht="30" customHeight="1" s="45">
      <c r="A1322" s="5" t="n"/>
      <c r="B1322" s="5" t="n"/>
      <c r="C1322" s="5" t="n"/>
      <c r="D1322" s="5" t="n"/>
      <c r="E1322" s="5" t="n"/>
      <c r="F1322" s="5" t="n"/>
      <c r="G1322" s="5" t="n"/>
      <c r="H1322" s="5" t="n"/>
      <c r="I1322" s="5" t="n"/>
      <c r="J1322" s="5" t="n"/>
    </row>
    <row r="1323" ht="30" customHeight="1" s="45">
      <c r="A1323" s="5" t="n"/>
      <c r="B1323" s="5" t="n"/>
      <c r="C1323" s="5" t="n"/>
      <c r="D1323" s="5" t="n"/>
      <c r="E1323" s="5" t="n"/>
      <c r="F1323" s="5" t="n"/>
      <c r="G1323" s="5" t="n"/>
      <c r="H1323" s="5" t="n"/>
      <c r="I1323" s="5" t="n"/>
      <c r="J1323" s="5" t="n"/>
    </row>
    <row r="1324" ht="30" customHeight="1" s="45">
      <c r="A1324" s="5" t="n"/>
      <c r="B1324" s="5" t="n"/>
      <c r="C1324" s="5" t="n"/>
      <c r="D1324" s="5" t="n"/>
      <c r="E1324" s="5" t="n"/>
      <c r="F1324" s="5" t="n"/>
      <c r="G1324" s="5" t="n"/>
      <c r="H1324" s="5" t="n"/>
      <c r="I1324" s="5" t="n"/>
      <c r="J1324" s="5" t="n"/>
    </row>
    <row r="1325" ht="30" customHeight="1" s="45">
      <c r="A1325" s="5" t="n"/>
      <c r="B1325" s="5" t="n"/>
      <c r="C1325" s="5" t="n"/>
      <c r="D1325" s="5" t="n"/>
      <c r="E1325" s="5" t="n"/>
      <c r="F1325" s="5" t="n"/>
      <c r="G1325" s="5" t="n"/>
      <c r="H1325" s="5" t="n"/>
      <c r="I1325" s="5" t="n"/>
      <c r="J1325" s="5" t="n"/>
    </row>
    <row r="1326" ht="30" customHeight="1" s="45">
      <c r="A1326" s="5" t="n"/>
      <c r="B1326" s="5" t="n"/>
      <c r="C1326" s="5" t="n"/>
      <c r="D1326" s="5" t="n"/>
      <c r="E1326" s="5" t="n"/>
      <c r="F1326" s="5" t="n"/>
      <c r="G1326" s="5" t="n"/>
      <c r="H1326" s="5" t="n"/>
      <c r="I1326" s="5" t="n"/>
      <c r="J1326" s="5" t="n"/>
    </row>
    <row r="1327" ht="30" customHeight="1" s="45">
      <c r="A1327" s="5" t="n"/>
      <c r="B1327" s="5" t="n"/>
      <c r="C1327" s="5" t="n"/>
      <c r="D1327" s="5" t="n"/>
      <c r="E1327" s="5" t="n"/>
      <c r="F1327" s="5" t="n"/>
      <c r="G1327" s="5" t="n"/>
      <c r="H1327" s="5" t="n"/>
      <c r="I1327" s="5" t="n"/>
      <c r="J1327" s="5" t="n"/>
    </row>
    <row r="1328" ht="30" customHeight="1" s="45">
      <c r="A1328" s="5" t="n"/>
      <c r="B1328" s="5" t="n"/>
      <c r="C1328" s="5" t="n"/>
      <c r="D1328" s="5" t="n"/>
      <c r="E1328" s="5" t="n"/>
      <c r="F1328" s="5" t="n"/>
      <c r="G1328" s="5" t="n"/>
      <c r="H1328" s="5" t="n"/>
      <c r="I1328" s="5" t="n"/>
      <c r="J1328" s="5" t="n"/>
    </row>
    <row r="1329" ht="30" customHeight="1" s="45">
      <c r="A1329" s="5" t="n"/>
      <c r="B1329" s="5" t="n"/>
      <c r="C1329" s="5" t="n"/>
      <c r="D1329" s="5" t="n"/>
      <c r="E1329" s="5" t="n"/>
      <c r="F1329" s="5" t="n"/>
      <c r="G1329" s="5" t="n"/>
      <c r="H1329" s="5" t="n"/>
      <c r="I1329" s="5" t="n"/>
      <c r="J1329" s="5" t="n"/>
    </row>
    <row r="1330" ht="30" customHeight="1" s="45">
      <c r="A1330" s="5" t="n"/>
      <c r="B1330" s="5" t="n"/>
      <c r="C1330" s="5" t="n"/>
      <c r="D1330" s="5" t="n"/>
      <c r="E1330" s="5" t="n"/>
      <c r="F1330" s="5" t="n"/>
      <c r="G1330" s="5" t="n"/>
      <c r="H1330" s="5" t="n"/>
      <c r="I1330" s="5" t="n"/>
      <c r="J1330" s="5" t="n"/>
    </row>
    <row r="1331" ht="30" customHeight="1" s="45">
      <c r="A1331" s="5" t="n"/>
      <c r="B1331" s="5" t="n"/>
      <c r="C1331" s="5" t="n"/>
      <c r="D1331" s="5" t="n"/>
      <c r="E1331" s="5" t="n"/>
      <c r="F1331" s="5" t="n"/>
      <c r="G1331" s="5" t="n"/>
      <c r="H1331" s="5" t="n"/>
      <c r="I1331" s="5" t="n"/>
      <c r="J1331" s="5" t="n"/>
    </row>
    <row r="1332" ht="30" customHeight="1" s="45">
      <c r="A1332" s="5" t="n"/>
      <c r="B1332" s="5" t="n"/>
      <c r="C1332" s="5" t="n"/>
      <c r="D1332" s="5" t="n"/>
      <c r="E1332" s="5" t="n"/>
      <c r="F1332" s="5" t="n"/>
      <c r="G1332" s="5" t="n"/>
      <c r="H1332" s="5" t="n"/>
      <c r="I1332" s="5" t="n"/>
      <c r="J1332" s="5" t="n"/>
    </row>
    <row r="1333" ht="30" customHeight="1" s="45">
      <c r="A1333" s="5" t="n"/>
      <c r="B1333" s="5" t="n"/>
      <c r="C1333" s="5" t="n"/>
      <c r="D1333" s="5" t="n"/>
      <c r="E1333" s="5" t="n"/>
      <c r="F1333" s="5" t="n"/>
      <c r="G1333" s="5" t="n"/>
      <c r="H1333" s="5" t="n"/>
      <c r="I1333" s="5" t="n"/>
      <c r="J1333" s="5" t="n"/>
    </row>
    <row r="1334" ht="30" customHeight="1" s="45">
      <c r="A1334" s="5" t="n"/>
      <c r="B1334" s="5" t="n"/>
      <c r="C1334" s="5" t="n"/>
      <c r="D1334" s="5" t="n"/>
      <c r="E1334" s="5" t="n"/>
      <c r="F1334" s="5" t="n"/>
      <c r="G1334" s="5" t="n"/>
      <c r="H1334" s="5" t="n"/>
      <c r="I1334" s="5" t="n"/>
      <c r="J1334" s="5" t="n"/>
    </row>
    <row r="1335" ht="30" customHeight="1" s="45">
      <c r="A1335" s="5" t="n"/>
      <c r="B1335" s="5" t="n"/>
      <c r="C1335" s="5" t="n"/>
      <c r="D1335" s="5" t="n"/>
      <c r="E1335" s="5" t="n"/>
      <c r="F1335" s="5" t="n"/>
      <c r="G1335" s="5" t="n"/>
      <c r="H1335" s="5" t="n"/>
      <c r="I1335" s="5" t="n"/>
      <c r="J1335" s="5" t="n"/>
    </row>
    <row r="1336" ht="30" customHeight="1" s="45">
      <c r="A1336" s="5" t="n"/>
      <c r="B1336" s="5" t="n"/>
      <c r="C1336" s="5" t="n"/>
      <c r="D1336" s="5" t="n"/>
      <c r="E1336" s="5" t="n"/>
      <c r="F1336" s="5" t="n"/>
      <c r="G1336" s="5" t="n"/>
      <c r="H1336" s="5" t="n"/>
      <c r="I1336" s="5" t="n"/>
      <c r="J1336" s="5" t="n"/>
    </row>
    <row r="1337" ht="30" customHeight="1" s="45">
      <c r="A1337" s="5" t="n"/>
      <c r="B1337" s="5" t="n"/>
      <c r="C1337" s="5" t="n"/>
      <c r="D1337" s="5" t="n"/>
      <c r="E1337" s="5" t="n"/>
      <c r="F1337" s="5" t="n"/>
      <c r="G1337" s="5" t="n"/>
      <c r="H1337" s="5" t="n"/>
      <c r="I1337" s="5" t="n"/>
      <c r="J1337" s="5" t="n"/>
    </row>
    <row r="1338" ht="30" customHeight="1" s="45">
      <c r="A1338" s="5" t="n"/>
      <c r="B1338" s="5" t="n"/>
      <c r="C1338" s="5" t="n"/>
      <c r="D1338" s="5" t="n"/>
      <c r="E1338" s="5" t="n"/>
      <c r="F1338" s="5" t="n"/>
      <c r="G1338" s="5" t="n"/>
      <c r="H1338" s="5" t="n"/>
      <c r="I1338" s="5" t="n"/>
      <c r="J1338" s="5" t="n"/>
    </row>
    <row r="1339" ht="30" customHeight="1" s="45">
      <c r="A1339" s="5" t="n"/>
      <c r="B1339" s="5" t="n"/>
      <c r="C1339" s="5" t="n"/>
      <c r="D1339" s="5" t="n"/>
      <c r="E1339" s="5" t="n"/>
      <c r="F1339" s="5" t="n"/>
      <c r="G1339" s="5" t="n"/>
      <c r="H1339" s="5" t="n"/>
      <c r="I1339" s="5" t="n"/>
      <c r="J1339" s="5" t="n"/>
    </row>
    <row r="1340" ht="30" customHeight="1" s="45">
      <c r="A1340" s="5" t="n"/>
      <c r="B1340" s="5" t="n"/>
      <c r="C1340" s="5" t="n"/>
      <c r="D1340" s="5" t="n"/>
      <c r="E1340" s="5" t="n"/>
      <c r="F1340" s="5" t="n"/>
      <c r="G1340" s="5" t="n"/>
      <c r="H1340" s="5" t="n"/>
      <c r="I1340" s="5" t="n"/>
      <c r="J1340" s="5" t="n"/>
    </row>
    <row r="1341" ht="30" customHeight="1" s="45">
      <c r="A1341" s="5" t="n"/>
      <c r="B1341" s="5" t="n"/>
      <c r="C1341" s="5" t="n"/>
      <c r="D1341" s="5" t="n"/>
      <c r="E1341" s="5" t="n"/>
      <c r="F1341" s="5" t="n"/>
      <c r="G1341" s="5" t="n"/>
      <c r="H1341" s="5" t="n"/>
      <c r="I1341" s="5" t="n"/>
      <c r="J1341" s="5" t="n"/>
    </row>
    <row r="1342" ht="30" customHeight="1" s="45">
      <c r="A1342" s="5" t="n"/>
      <c r="B1342" s="5" t="n"/>
      <c r="C1342" s="5" t="n"/>
      <c r="D1342" s="5" t="n"/>
      <c r="E1342" s="5" t="n"/>
      <c r="F1342" s="5" t="n"/>
      <c r="G1342" s="5" t="n"/>
      <c r="H1342" s="5" t="n"/>
      <c r="I1342" s="5" t="n"/>
      <c r="J1342" s="5" t="n"/>
    </row>
    <row r="1343" ht="30" customHeight="1" s="45">
      <c r="A1343" s="5" t="n"/>
      <c r="B1343" s="5" t="n"/>
      <c r="C1343" s="5" t="n"/>
      <c r="D1343" s="5" t="n"/>
      <c r="E1343" s="5" t="n"/>
      <c r="F1343" s="5" t="n"/>
      <c r="G1343" s="5" t="n"/>
      <c r="H1343" s="5" t="n"/>
      <c r="I1343" s="5" t="n"/>
      <c r="J1343" s="5" t="n"/>
    </row>
    <row r="1344" ht="30" customHeight="1" s="45">
      <c r="A1344" s="5" t="n"/>
      <c r="B1344" s="5" t="n"/>
      <c r="C1344" s="5" t="n"/>
      <c r="D1344" s="5" t="n"/>
      <c r="E1344" s="5" t="n"/>
      <c r="F1344" s="5" t="n"/>
      <c r="G1344" s="5" t="n"/>
      <c r="H1344" s="5" t="n"/>
      <c r="I1344" s="5" t="n"/>
      <c r="J1344" s="5" t="n"/>
    </row>
    <row r="1345" ht="30" customHeight="1" s="45">
      <c r="A1345" s="5" t="n"/>
      <c r="B1345" s="5" t="n"/>
      <c r="C1345" s="5" t="n"/>
      <c r="D1345" s="5" t="n"/>
      <c r="E1345" s="5" t="n"/>
      <c r="F1345" s="5" t="n"/>
      <c r="G1345" s="5" t="n"/>
      <c r="H1345" s="5" t="n"/>
      <c r="I1345" s="5" t="n"/>
      <c r="J1345" s="5" t="n"/>
    </row>
    <row r="1346" ht="30" customHeight="1" s="45">
      <c r="A1346" s="5" t="n"/>
      <c r="B1346" s="5" t="n"/>
      <c r="C1346" s="5" t="n"/>
      <c r="D1346" s="5" t="n"/>
      <c r="E1346" s="5" t="n"/>
      <c r="F1346" s="5" t="n"/>
      <c r="G1346" s="5" t="n"/>
      <c r="H1346" s="5" t="n"/>
      <c r="I1346" s="5" t="n"/>
      <c r="J1346" s="5" t="n"/>
    </row>
    <row r="1347" ht="30" customHeight="1" s="45">
      <c r="A1347" s="5" t="n"/>
      <c r="B1347" s="5" t="n"/>
      <c r="C1347" s="5" t="n"/>
      <c r="D1347" s="5" t="n"/>
      <c r="E1347" s="5" t="n"/>
      <c r="F1347" s="5" t="n"/>
      <c r="G1347" s="5" t="n"/>
      <c r="H1347" s="5" t="n"/>
      <c r="I1347" s="5" t="n"/>
      <c r="J1347" s="5" t="n"/>
    </row>
    <row r="1348" ht="30" customHeight="1" s="45">
      <c r="A1348" s="5" t="n"/>
      <c r="B1348" s="5" t="n"/>
      <c r="C1348" s="5" t="n"/>
      <c r="D1348" s="5" t="n"/>
      <c r="E1348" s="5" t="n"/>
      <c r="F1348" s="5" t="n"/>
      <c r="G1348" s="5" t="n"/>
      <c r="H1348" s="5" t="n"/>
      <c r="I1348" s="5" t="n"/>
      <c r="J1348" s="5" t="n"/>
    </row>
    <row r="1349" ht="30" customHeight="1" s="45">
      <c r="A1349" s="5" t="n"/>
      <c r="B1349" s="5" t="n"/>
      <c r="C1349" s="5" t="n"/>
      <c r="D1349" s="5" t="n"/>
      <c r="E1349" s="5" t="n"/>
      <c r="F1349" s="5" t="n"/>
      <c r="G1349" s="5" t="n"/>
      <c r="H1349" s="5" t="n"/>
      <c r="I1349" s="5" t="n"/>
      <c r="J1349" s="5" t="n"/>
    </row>
    <row r="1350" ht="30" customHeight="1" s="45">
      <c r="A1350" s="5" t="n"/>
      <c r="B1350" s="5" t="n"/>
      <c r="C1350" s="5" t="n"/>
      <c r="D1350" s="5" t="n"/>
      <c r="E1350" s="5" t="n"/>
      <c r="F1350" s="5" t="n"/>
      <c r="G1350" s="5" t="n"/>
      <c r="H1350" s="5" t="n"/>
      <c r="I1350" s="5" t="n"/>
      <c r="J1350" s="5" t="n"/>
    </row>
    <row r="1351" ht="30" customHeight="1" s="45">
      <c r="A1351" s="5" t="n"/>
      <c r="B1351" s="5" t="n"/>
      <c r="C1351" s="5" t="n"/>
      <c r="D1351" s="5" t="n"/>
      <c r="E1351" s="5" t="n"/>
      <c r="F1351" s="5" t="n"/>
      <c r="G1351" s="5" t="n"/>
      <c r="H1351" s="5" t="n"/>
      <c r="I1351" s="5" t="n"/>
      <c r="J1351" s="5" t="n"/>
    </row>
    <row r="1352" ht="30" customHeight="1" s="45">
      <c r="A1352" s="5" t="n"/>
      <c r="B1352" s="5" t="n"/>
      <c r="C1352" s="5" t="n"/>
      <c r="D1352" s="5" t="n"/>
      <c r="E1352" s="5" t="n"/>
      <c r="F1352" s="5" t="n"/>
      <c r="G1352" s="5" t="n"/>
      <c r="H1352" s="5" t="n"/>
      <c r="I1352" s="5" t="n"/>
      <c r="J1352" s="5" t="n"/>
    </row>
    <row r="1353" ht="30" customHeight="1" s="45">
      <c r="A1353" s="5" t="n"/>
      <c r="B1353" s="5" t="n"/>
      <c r="C1353" s="5" t="n"/>
      <c r="D1353" s="5" t="n"/>
      <c r="E1353" s="5" t="n"/>
      <c r="F1353" s="5" t="n"/>
      <c r="G1353" s="5" t="n"/>
      <c r="H1353" s="5" t="n"/>
      <c r="I1353" s="5" t="n"/>
      <c r="J1353" s="5" t="n"/>
    </row>
    <row r="1354" ht="30" customHeight="1" s="45">
      <c r="A1354" s="5" t="n"/>
      <c r="B1354" s="5" t="n"/>
      <c r="C1354" s="5" t="n"/>
      <c r="D1354" s="5" t="n"/>
      <c r="E1354" s="5" t="n"/>
      <c r="F1354" s="5" t="n"/>
      <c r="G1354" s="5" t="n"/>
      <c r="H1354" s="5" t="n"/>
      <c r="I1354" s="5" t="n"/>
      <c r="J1354" s="5" t="n"/>
    </row>
    <row r="1355" ht="30" customHeight="1" s="45">
      <c r="A1355" s="5" t="n"/>
      <c r="B1355" s="5" t="n"/>
      <c r="C1355" s="5" t="n"/>
      <c r="D1355" s="5" t="n"/>
      <c r="E1355" s="5" t="n"/>
      <c r="F1355" s="5" t="n"/>
      <c r="G1355" s="5" t="n"/>
      <c r="H1355" s="5" t="n"/>
      <c r="I1355" s="5" t="n"/>
      <c r="J1355" s="5" t="n"/>
    </row>
    <row r="1356" ht="30" customHeight="1" s="45">
      <c r="A1356" s="5" t="n"/>
      <c r="B1356" s="5" t="n"/>
      <c r="C1356" s="5" t="n"/>
      <c r="D1356" s="5" t="n"/>
      <c r="E1356" s="5" t="n"/>
      <c r="F1356" s="5" t="n"/>
      <c r="G1356" s="5" t="n"/>
      <c r="H1356" s="5" t="n"/>
      <c r="I1356" s="5" t="n"/>
      <c r="J1356" s="5" t="n"/>
    </row>
    <row r="1357" ht="30" customHeight="1" s="45">
      <c r="A1357" s="5" t="n"/>
      <c r="B1357" s="5" t="n"/>
      <c r="C1357" s="5" t="n"/>
      <c r="D1357" s="5" t="n"/>
      <c r="E1357" s="5" t="n"/>
      <c r="F1357" s="5" t="n"/>
      <c r="G1357" s="5" t="n"/>
      <c r="H1357" s="5" t="n"/>
      <c r="I1357" s="5" t="n"/>
      <c r="J1357" s="5" t="n"/>
    </row>
    <row r="1358" ht="30" customHeight="1" s="45">
      <c r="A1358" s="5" t="n"/>
      <c r="B1358" s="5" t="n"/>
      <c r="C1358" s="5" t="n"/>
      <c r="D1358" s="5" t="n"/>
      <c r="E1358" s="5" t="n"/>
      <c r="F1358" s="5" t="n"/>
      <c r="G1358" s="5" t="n"/>
      <c r="H1358" s="5" t="n"/>
      <c r="I1358" s="5" t="n"/>
      <c r="J1358" s="5" t="n"/>
    </row>
    <row r="1359" ht="30" customHeight="1" s="45">
      <c r="A1359" s="5" t="n"/>
      <c r="B1359" s="5" t="n"/>
      <c r="C1359" s="5" t="n"/>
      <c r="D1359" s="5" t="n"/>
      <c r="E1359" s="5" t="n"/>
      <c r="F1359" s="5" t="n"/>
      <c r="G1359" s="5" t="n"/>
      <c r="H1359" s="5" t="n"/>
      <c r="I1359" s="5" t="n"/>
      <c r="J1359" s="5" t="n"/>
    </row>
    <row r="1360" ht="30" customHeight="1" s="45">
      <c r="A1360" s="5" t="n"/>
      <c r="B1360" s="5" t="n"/>
      <c r="C1360" s="5" t="n"/>
      <c r="D1360" s="5" t="n"/>
      <c r="E1360" s="5" t="n"/>
      <c r="F1360" s="5" t="n"/>
      <c r="G1360" s="5" t="n"/>
      <c r="H1360" s="5" t="n"/>
      <c r="I1360" s="5" t="n"/>
      <c r="J1360" s="5" t="n"/>
    </row>
    <row r="1361" ht="30" customHeight="1" s="45">
      <c r="A1361" s="5" t="n"/>
      <c r="B1361" s="5" t="n"/>
      <c r="C1361" s="5" t="n"/>
      <c r="D1361" s="5" t="n"/>
      <c r="E1361" s="5" t="n"/>
      <c r="F1361" s="5" t="n"/>
      <c r="G1361" s="5" t="n"/>
      <c r="H1361" s="5" t="n"/>
      <c r="I1361" s="5" t="n"/>
      <c r="J1361" s="5" t="n"/>
    </row>
    <row r="1362" ht="30" customHeight="1" s="45">
      <c r="A1362" s="5" t="n"/>
      <c r="B1362" s="5" t="n"/>
      <c r="C1362" s="5" t="n"/>
      <c r="D1362" s="5" t="n"/>
      <c r="E1362" s="5" t="n"/>
      <c r="F1362" s="5" t="n"/>
      <c r="G1362" s="5" t="n"/>
      <c r="H1362" s="5" t="n"/>
      <c r="I1362" s="5" t="n"/>
      <c r="J1362" s="5" t="n"/>
    </row>
    <row r="1363" ht="30" customHeight="1" s="45">
      <c r="A1363" s="5" t="n"/>
      <c r="B1363" s="5" t="n"/>
      <c r="C1363" s="5" t="n"/>
      <c r="D1363" s="5" t="n"/>
      <c r="E1363" s="5" t="n"/>
      <c r="F1363" s="5" t="n"/>
      <c r="G1363" s="5" t="n"/>
      <c r="H1363" s="5" t="n"/>
      <c r="I1363" s="5" t="n"/>
      <c r="J1363" s="5" t="n"/>
    </row>
    <row r="1364" ht="30" customHeight="1" s="45">
      <c r="A1364" s="5" t="n"/>
      <c r="B1364" s="5" t="n"/>
      <c r="C1364" s="5" t="n"/>
      <c r="D1364" s="5" t="n"/>
      <c r="E1364" s="5" t="n"/>
      <c r="F1364" s="5" t="n"/>
      <c r="G1364" s="5" t="n"/>
      <c r="H1364" s="5" t="n"/>
      <c r="I1364" s="5" t="n"/>
      <c r="J1364" s="5" t="n"/>
    </row>
    <row r="1365" ht="30" customHeight="1" s="45">
      <c r="A1365" s="5" t="n"/>
      <c r="B1365" s="5" t="n"/>
      <c r="C1365" s="5" t="n"/>
      <c r="D1365" s="5" t="n"/>
      <c r="E1365" s="5" t="n"/>
      <c r="F1365" s="5" t="n"/>
      <c r="G1365" s="5" t="n"/>
      <c r="H1365" s="5" t="n"/>
      <c r="I1365" s="5" t="n"/>
      <c r="J1365" s="5" t="n"/>
    </row>
    <row r="1366" ht="30" customHeight="1" s="45">
      <c r="A1366" s="5" t="n"/>
      <c r="B1366" s="5" t="n"/>
      <c r="C1366" s="5" t="n"/>
      <c r="D1366" s="5" t="n"/>
      <c r="E1366" s="5" t="n"/>
      <c r="F1366" s="5" t="n"/>
      <c r="G1366" s="5" t="n"/>
      <c r="H1366" s="5" t="n"/>
      <c r="I1366" s="5" t="n"/>
      <c r="J1366" s="5" t="n"/>
    </row>
    <row r="1367" ht="30" customHeight="1" s="45">
      <c r="A1367" s="5" t="n"/>
      <c r="B1367" s="5" t="n"/>
      <c r="C1367" s="5" t="n"/>
      <c r="D1367" s="5" t="n"/>
      <c r="E1367" s="5" t="n"/>
      <c r="F1367" s="5" t="n"/>
      <c r="G1367" s="5" t="n"/>
      <c r="H1367" s="5" t="n"/>
      <c r="I1367" s="5" t="n"/>
      <c r="J1367" s="5" t="n"/>
    </row>
    <row r="1368" ht="30" customHeight="1" s="45">
      <c r="A1368" s="5" t="n"/>
      <c r="B1368" s="5" t="n"/>
      <c r="C1368" s="5" t="n"/>
      <c r="D1368" s="5" t="n"/>
      <c r="E1368" s="5" t="n"/>
      <c r="F1368" s="5" t="n"/>
      <c r="G1368" s="5" t="n"/>
      <c r="H1368" s="5" t="n"/>
      <c r="I1368" s="5" t="n"/>
      <c r="J1368" s="5" t="n"/>
    </row>
    <row r="1369" ht="30" customHeight="1" s="45">
      <c r="A1369" s="5" t="n"/>
      <c r="B1369" s="5" t="n"/>
      <c r="C1369" s="5" t="n"/>
      <c r="D1369" s="5" t="n"/>
      <c r="E1369" s="5" t="n"/>
      <c r="F1369" s="5" t="n"/>
      <c r="G1369" s="5" t="n"/>
      <c r="H1369" s="5" t="n"/>
      <c r="I1369" s="5" t="n"/>
      <c r="J1369" s="5" t="n"/>
    </row>
    <row r="1370" ht="30" customHeight="1" s="45">
      <c r="A1370" s="5" t="n"/>
      <c r="B1370" s="5" t="n"/>
      <c r="C1370" s="5" t="n"/>
      <c r="D1370" s="5" t="n"/>
      <c r="E1370" s="5" t="n"/>
      <c r="F1370" s="5" t="n"/>
      <c r="G1370" s="5" t="n"/>
      <c r="H1370" s="5" t="n"/>
      <c r="I1370" s="5" t="n"/>
      <c r="J1370" s="5" t="n"/>
    </row>
    <row r="1371" ht="30" customHeight="1" s="45">
      <c r="A1371" s="5" t="n"/>
      <c r="B1371" s="5" t="n"/>
      <c r="C1371" s="5" t="n"/>
      <c r="D1371" s="5" t="n"/>
      <c r="E1371" s="5" t="n"/>
      <c r="F1371" s="5" t="n"/>
      <c r="G1371" s="5" t="n"/>
      <c r="H1371" s="5" t="n"/>
      <c r="I1371" s="5" t="n"/>
      <c r="J1371" s="5" t="n"/>
    </row>
    <row r="1372" ht="30" customHeight="1" s="45">
      <c r="A1372" s="5" t="n"/>
      <c r="B1372" s="5" t="n"/>
      <c r="C1372" s="5" t="n"/>
      <c r="D1372" s="5" t="n"/>
      <c r="E1372" s="5" t="n"/>
      <c r="F1372" s="5" t="n"/>
      <c r="G1372" s="5" t="n"/>
      <c r="H1372" s="5" t="n"/>
      <c r="I1372" s="5" t="n"/>
      <c r="J1372" s="5" t="n"/>
    </row>
    <row r="1373" ht="30" customHeight="1" s="45">
      <c r="A1373" s="5" t="n"/>
      <c r="B1373" s="5" t="n"/>
      <c r="C1373" s="5" t="n"/>
      <c r="D1373" s="5" t="n"/>
      <c r="E1373" s="5" t="n"/>
      <c r="F1373" s="5" t="n"/>
      <c r="G1373" s="5" t="n"/>
      <c r="H1373" s="5" t="n"/>
      <c r="I1373" s="5" t="n"/>
      <c r="J1373" s="5" t="n"/>
    </row>
    <row r="1374" ht="30" customHeight="1" s="45">
      <c r="A1374" s="5" t="n"/>
      <c r="B1374" s="5" t="n"/>
      <c r="C1374" s="5" t="n"/>
      <c r="D1374" s="5" t="n"/>
      <c r="E1374" s="5" t="n"/>
      <c r="F1374" s="5" t="n"/>
      <c r="G1374" s="5" t="n"/>
      <c r="H1374" s="5" t="n"/>
      <c r="I1374" s="5" t="n"/>
      <c r="J1374" s="5" t="n"/>
    </row>
    <row r="1375" ht="30" customHeight="1" s="45">
      <c r="A1375" s="5" t="n"/>
      <c r="B1375" s="5" t="n"/>
      <c r="C1375" s="5" t="n"/>
      <c r="D1375" s="5" t="n"/>
      <c r="E1375" s="5" t="n"/>
      <c r="F1375" s="5" t="n"/>
      <c r="G1375" s="5" t="n"/>
      <c r="H1375" s="5" t="n"/>
      <c r="I1375" s="5" t="n"/>
      <c r="J1375" s="5" t="n"/>
    </row>
    <row r="1376" ht="30" customHeight="1" s="45">
      <c r="A1376" s="5" t="n"/>
      <c r="B1376" s="5" t="n"/>
      <c r="C1376" s="5" t="n"/>
      <c r="D1376" s="5" t="n"/>
      <c r="E1376" s="5" t="n"/>
      <c r="F1376" s="5" t="n"/>
      <c r="G1376" s="5" t="n"/>
      <c r="H1376" s="5" t="n"/>
      <c r="I1376" s="5" t="n"/>
      <c r="J1376" s="5" t="n"/>
    </row>
    <row r="1377" ht="30" customHeight="1" s="45">
      <c r="A1377" s="5" t="n"/>
      <c r="B1377" s="5" t="n"/>
      <c r="C1377" s="5" t="n"/>
      <c r="D1377" s="5" t="n"/>
      <c r="E1377" s="5" t="n"/>
      <c r="F1377" s="5" t="n"/>
      <c r="G1377" s="5" t="n"/>
      <c r="H1377" s="5" t="n"/>
      <c r="I1377" s="5" t="n"/>
      <c r="J1377" s="5" t="n"/>
    </row>
    <row r="1378" ht="30" customHeight="1" s="45">
      <c r="A1378" s="5" t="n"/>
      <c r="B1378" s="5" t="n"/>
      <c r="C1378" s="5" t="n"/>
      <c r="D1378" s="5" t="n"/>
      <c r="E1378" s="5" t="n"/>
      <c r="F1378" s="5" t="n"/>
      <c r="G1378" s="5" t="n"/>
      <c r="H1378" s="5" t="n"/>
      <c r="I1378" s="5" t="n"/>
      <c r="J1378" s="5" t="n"/>
    </row>
    <row r="1379" ht="30" customHeight="1" s="45">
      <c r="A1379" s="5" t="n"/>
      <c r="B1379" s="5" t="n"/>
      <c r="C1379" s="5" t="n"/>
      <c r="D1379" s="5" t="n"/>
      <c r="E1379" s="5" t="n"/>
      <c r="F1379" s="5" t="n"/>
      <c r="G1379" s="5" t="n"/>
      <c r="H1379" s="5" t="n"/>
      <c r="I1379" s="5" t="n"/>
      <c r="J1379" s="5" t="n"/>
    </row>
    <row r="1380" ht="30" customHeight="1" s="45">
      <c r="A1380" s="5" t="n"/>
      <c r="B1380" s="5" t="n"/>
      <c r="C1380" s="5" t="n"/>
      <c r="D1380" s="5" t="n"/>
      <c r="E1380" s="5" t="n"/>
      <c r="F1380" s="5" t="n"/>
      <c r="G1380" s="5" t="n"/>
      <c r="H1380" s="5" t="n"/>
      <c r="I1380" s="5" t="n"/>
      <c r="J1380" s="5" t="n"/>
    </row>
    <row r="1381" ht="30" customHeight="1" s="45">
      <c r="A1381" s="5" t="n"/>
      <c r="B1381" s="5" t="n"/>
      <c r="C1381" s="5" t="n"/>
      <c r="D1381" s="5" t="n"/>
      <c r="E1381" s="5" t="n"/>
      <c r="F1381" s="5" t="n"/>
      <c r="G1381" s="5" t="n"/>
      <c r="H1381" s="5" t="n"/>
      <c r="I1381" s="5" t="n"/>
      <c r="J1381" s="5" t="n"/>
    </row>
    <row r="1382" ht="30" customHeight="1" s="45">
      <c r="A1382" s="5" t="n"/>
      <c r="B1382" s="5" t="n"/>
      <c r="C1382" s="5" t="n"/>
      <c r="D1382" s="5" t="n"/>
      <c r="E1382" s="5" t="n"/>
      <c r="F1382" s="5" t="n"/>
      <c r="G1382" s="5" t="n"/>
      <c r="H1382" s="5" t="n"/>
      <c r="I1382" s="5" t="n"/>
      <c r="J1382" s="5" t="n"/>
    </row>
    <row r="1383" ht="30" customHeight="1" s="45">
      <c r="A1383" s="5" t="n"/>
      <c r="B1383" s="5" t="n"/>
      <c r="C1383" s="5" t="n"/>
      <c r="D1383" s="5" t="n"/>
      <c r="E1383" s="5" t="n"/>
      <c r="F1383" s="5" t="n"/>
      <c r="G1383" s="5" t="n"/>
      <c r="H1383" s="5" t="n"/>
      <c r="I1383" s="5" t="n"/>
      <c r="J1383" s="5" t="n"/>
    </row>
    <row r="1384" ht="30" customHeight="1" s="45">
      <c r="A1384" s="5" t="n"/>
      <c r="B1384" s="5" t="n"/>
      <c r="C1384" s="5" t="n"/>
      <c r="D1384" s="5" t="n"/>
      <c r="E1384" s="5" t="n"/>
      <c r="F1384" s="5" t="n"/>
      <c r="G1384" s="5" t="n"/>
      <c r="H1384" s="5" t="n"/>
      <c r="I1384" s="5" t="n"/>
      <c r="J1384" s="5" t="n"/>
    </row>
    <row r="1385" ht="30" customHeight="1" s="45">
      <c r="A1385" s="5" t="n"/>
      <c r="B1385" s="5" t="n"/>
      <c r="C1385" s="5" t="n"/>
      <c r="D1385" s="5" t="n"/>
      <c r="E1385" s="5" t="n"/>
      <c r="F1385" s="5" t="n"/>
      <c r="G1385" s="5" t="n"/>
      <c r="H1385" s="5" t="n"/>
      <c r="I1385" s="5" t="n"/>
      <c r="J1385" s="5" t="n"/>
    </row>
    <row r="1386" ht="30" customHeight="1" s="45">
      <c r="A1386" s="5" t="n"/>
      <c r="B1386" s="5" t="n"/>
      <c r="C1386" s="5" t="n"/>
      <c r="D1386" s="5" t="n"/>
      <c r="E1386" s="5" t="n"/>
      <c r="F1386" s="5" t="n"/>
      <c r="G1386" s="5" t="n"/>
      <c r="H1386" s="5" t="n"/>
      <c r="I1386" s="5" t="n"/>
      <c r="J1386" s="5" t="n"/>
    </row>
    <row r="1387" ht="30" customHeight="1" s="45">
      <c r="A1387" s="5" t="n"/>
      <c r="B1387" s="5" t="n"/>
      <c r="C1387" s="5" t="n"/>
      <c r="D1387" s="5" t="n"/>
      <c r="E1387" s="5" t="n"/>
      <c r="F1387" s="5" t="n"/>
      <c r="G1387" s="5" t="n"/>
      <c r="H1387" s="5" t="n"/>
      <c r="I1387" s="5" t="n"/>
      <c r="J1387" s="5" t="n"/>
    </row>
    <row r="1388" ht="30" customHeight="1" s="45">
      <c r="A1388" s="5" t="n"/>
      <c r="B1388" s="5" t="n"/>
      <c r="C1388" s="5" t="n"/>
      <c r="D1388" s="5" t="n"/>
      <c r="E1388" s="5" t="n"/>
      <c r="F1388" s="5" t="n"/>
      <c r="G1388" s="5" t="n"/>
      <c r="H1388" s="5" t="n"/>
      <c r="I1388" s="5" t="n"/>
      <c r="J1388" s="5" t="n"/>
    </row>
    <row r="1389" ht="30" customHeight="1" s="45">
      <c r="A1389" s="5" t="n"/>
      <c r="B1389" s="5" t="n"/>
      <c r="C1389" s="5" t="n"/>
      <c r="D1389" s="5" t="n"/>
      <c r="E1389" s="5" t="n"/>
      <c r="F1389" s="5" t="n"/>
      <c r="G1389" s="5" t="n"/>
      <c r="H1389" s="5" t="n"/>
      <c r="I1389" s="5" t="n"/>
      <c r="J1389" s="5" t="n"/>
    </row>
    <row r="1390" ht="30" customHeight="1" s="45">
      <c r="A1390" s="5" t="n"/>
      <c r="B1390" s="5" t="n"/>
      <c r="C1390" s="5" t="n"/>
      <c r="D1390" s="5" t="n"/>
      <c r="E1390" s="5" t="n"/>
      <c r="F1390" s="5" t="n"/>
      <c r="G1390" s="5" t="n"/>
      <c r="H1390" s="5" t="n"/>
      <c r="I1390" s="5" t="n"/>
      <c r="J1390" s="5" t="n"/>
    </row>
    <row r="1391" ht="30" customHeight="1" s="45">
      <c r="A1391" s="5" t="n"/>
      <c r="B1391" s="5" t="n"/>
      <c r="C1391" s="5" t="n"/>
      <c r="D1391" s="5" t="n"/>
      <c r="E1391" s="5" t="n"/>
      <c r="F1391" s="5" t="n"/>
      <c r="G1391" s="5" t="n"/>
      <c r="H1391" s="5" t="n"/>
      <c r="I1391" s="5" t="n"/>
      <c r="J1391" s="5" t="n"/>
    </row>
    <row r="1392" ht="30" customHeight="1" s="45">
      <c r="A1392" s="5" t="n"/>
      <c r="B1392" s="5" t="n"/>
      <c r="C1392" s="5" t="n"/>
      <c r="D1392" s="5" t="n"/>
      <c r="E1392" s="5" t="n"/>
      <c r="F1392" s="5" t="n"/>
      <c r="G1392" s="5" t="n"/>
      <c r="H1392" s="5" t="n"/>
      <c r="I1392" s="5" t="n"/>
      <c r="J1392" s="5" t="n"/>
    </row>
    <row r="1393" ht="30" customHeight="1" s="45">
      <c r="A1393" s="5" t="n"/>
      <c r="B1393" s="5" t="n"/>
      <c r="C1393" s="5" t="n"/>
      <c r="D1393" s="5" t="n"/>
      <c r="E1393" s="5" t="n"/>
      <c r="F1393" s="5" t="n"/>
      <c r="G1393" s="5" t="n"/>
      <c r="H1393" s="5" t="n"/>
      <c r="I1393" s="5" t="n"/>
      <c r="J1393" s="5" t="n"/>
    </row>
    <row r="1394" ht="30" customHeight="1" s="45">
      <c r="A1394" s="5" t="n"/>
      <c r="B1394" s="5" t="n"/>
      <c r="C1394" s="5" t="n"/>
      <c r="D1394" s="5" t="n"/>
      <c r="E1394" s="5" t="n"/>
      <c r="F1394" s="5" t="n"/>
      <c r="G1394" s="5" t="n"/>
      <c r="H1394" s="5" t="n"/>
      <c r="I1394" s="5" t="n"/>
      <c r="J1394" s="5" t="n"/>
    </row>
    <row r="1395" ht="30" customHeight="1" s="45">
      <c r="A1395" s="5" t="n"/>
      <c r="B1395" s="5" t="n"/>
      <c r="C1395" s="5" t="n"/>
      <c r="D1395" s="5" t="n"/>
      <c r="E1395" s="5" t="n"/>
      <c r="F1395" s="5" t="n"/>
      <c r="G1395" s="5" t="n"/>
      <c r="H1395" s="5" t="n"/>
      <c r="I1395" s="5" t="n"/>
      <c r="J1395" s="5" t="n"/>
    </row>
    <row r="1396" ht="30" customHeight="1" s="45">
      <c r="A1396" s="5" t="n"/>
      <c r="B1396" s="5" t="n"/>
      <c r="C1396" s="5" t="n"/>
      <c r="D1396" s="5" t="n"/>
      <c r="E1396" s="5" t="n"/>
      <c r="F1396" s="5" t="n"/>
      <c r="G1396" s="5" t="n"/>
      <c r="H1396" s="5" t="n"/>
      <c r="I1396" s="5" t="n"/>
      <c r="J1396" s="5" t="n"/>
    </row>
    <row r="1397" ht="30" customHeight="1" s="45">
      <c r="A1397" s="5" t="n"/>
      <c r="B1397" s="5" t="n"/>
      <c r="C1397" s="5" t="n"/>
      <c r="D1397" s="5" t="n"/>
      <c r="E1397" s="5" t="n"/>
      <c r="F1397" s="5" t="n"/>
      <c r="G1397" s="5" t="n"/>
      <c r="H1397" s="5" t="n"/>
      <c r="I1397" s="5" t="n"/>
      <c r="J1397" s="5" t="n"/>
    </row>
    <row r="1398" ht="30" customHeight="1" s="45">
      <c r="A1398" s="5" t="n"/>
      <c r="B1398" s="5" t="n"/>
      <c r="C1398" s="5" t="n"/>
      <c r="D1398" s="5" t="n"/>
      <c r="E1398" s="5" t="n"/>
      <c r="F1398" s="5" t="n"/>
      <c r="G1398" s="5" t="n"/>
      <c r="H1398" s="5" t="n"/>
      <c r="I1398" s="5" t="n"/>
      <c r="J1398" s="5" t="n"/>
    </row>
    <row r="1399" ht="30" customHeight="1" s="45">
      <c r="A1399" s="5" t="n"/>
      <c r="B1399" s="5" t="n"/>
      <c r="C1399" s="5" t="n"/>
      <c r="D1399" s="5" t="n"/>
      <c r="E1399" s="5" t="n"/>
      <c r="F1399" s="5" t="n"/>
      <c r="G1399" s="5" t="n"/>
      <c r="H1399" s="5" t="n"/>
      <c r="I1399" s="5" t="n"/>
      <c r="J1399" s="5" t="n"/>
    </row>
    <row r="1400" ht="30" customHeight="1" s="45">
      <c r="A1400" s="5" t="n"/>
      <c r="B1400" s="5" t="n"/>
      <c r="C1400" s="5" t="n"/>
      <c r="D1400" s="5" t="n"/>
      <c r="E1400" s="5" t="n"/>
      <c r="F1400" s="5" t="n"/>
      <c r="G1400" s="5" t="n"/>
      <c r="H1400" s="5" t="n"/>
      <c r="I1400" s="5" t="n"/>
      <c r="J1400" s="5" t="n"/>
    </row>
    <row r="1401" ht="30" customHeight="1" s="45">
      <c r="A1401" s="5" t="n"/>
      <c r="B1401" s="5" t="n"/>
      <c r="C1401" s="5" t="n"/>
      <c r="D1401" s="5" t="n"/>
      <c r="E1401" s="5" t="n"/>
      <c r="F1401" s="5" t="n"/>
      <c r="G1401" s="5" t="n"/>
      <c r="H1401" s="5" t="n"/>
      <c r="I1401" s="5" t="n"/>
      <c r="J1401" s="5" t="n"/>
    </row>
    <row r="1402" ht="30" customHeight="1" s="45">
      <c r="A1402" s="5" t="n"/>
      <c r="B1402" s="5" t="n"/>
      <c r="C1402" s="5" t="n"/>
      <c r="D1402" s="5" t="n"/>
      <c r="E1402" s="5" t="n"/>
      <c r="F1402" s="5" t="n"/>
      <c r="G1402" s="5" t="n"/>
      <c r="H1402" s="5" t="n"/>
      <c r="I1402" s="5" t="n"/>
      <c r="J1402" s="5" t="n"/>
    </row>
    <row r="1403" ht="30" customHeight="1" s="45">
      <c r="A1403" s="5" t="n"/>
      <c r="B1403" s="5" t="n"/>
      <c r="C1403" s="5" t="n"/>
      <c r="D1403" s="5" t="n"/>
      <c r="E1403" s="5" t="n"/>
      <c r="F1403" s="5" t="n"/>
      <c r="G1403" s="5" t="n"/>
      <c r="H1403" s="5" t="n"/>
      <c r="I1403" s="5" t="n"/>
      <c r="J1403" s="5" t="n"/>
    </row>
    <row r="1404" ht="30" customHeight="1" s="45">
      <c r="A1404" s="5" t="n"/>
      <c r="B1404" s="5" t="n"/>
      <c r="C1404" s="5" t="n"/>
      <c r="D1404" s="5" t="n"/>
      <c r="E1404" s="5" t="n"/>
      <c r="F1404" s="5" t="n"/>
      <c r="G1404" s="5" t="n"/>
      <c r="H1404" s="5" t="n"/>
      <c r="I1404" s="5" t="n"/>
      <c r="J1404" s="5" t="n"/>
    </row>
    <row r="1405" ht="30" customHeight="1" s="45">
      <c r="A1405" s="5" t="n"/>
      <c r="B1405" s="5" t="n"/>
      <c r="C1405" s="5" t="n"/>
      <c r="D1405" s="5" t="n"/>
      <c r="E1405" s="5" t="n"/>
      <c r="F1405" s="5" t="n"/>
      <c r="G1405" s="5" t="n"/>
      <c r="H1405" s="5" t="n"/>
      <c r="I1405" s="5" t="n"/>
      <c r="J1405" s="5" t="n"/>
    </row>
    <row r="1406" ht="30" customHeight="1" s="45">
      <c r="A1406" s="5" t="n"/>
      <c r="B1406" s="5" t="n"/>
      <c r="C1406" s="5" t="n"/>
      <c r="D1406" s="5" t="n"/>
      <c r="E1406" s="5" t="n"/>
      <c r="F1406" s="5" t="n"/>
      <c r="G1406" s="5" t="n"/>
      <c r="H1406" s="5" t="n"/>
      <c r="I1406" s="5" t="n"/>
      <c r="J1406" s="5" t="n"/>
    </row>
    <row r="1407" ht="30" customHeight="1" s="45">
      <c r="A1407" s="5" t="n"/>
      <c r="B1407" s="5" t="n"/>
      <c r="C1407" s="5" t="n"/>
      <c r="D1407" s="5" t="n"/>
      <c r="E1407" s="5" t="n"/>
      <c r="F1407" s="5" t="n"/>
      <c r="G1407" s="5" t="n"/>
      <c r="H1407" s="5" t="n"/>
      <c r="I1407" s="5" t="n"/>
      <c r="J1407" s="5" t="n"/>
    </row>
    <row r="1408" ht="30" customHeight="1" s="45">
      <c r="A1408" s="5" t="n"/>
      <c r="B1408" s="5" t="n"/>
      <c r="C1408" s="5" t="n"/>
      <c r="D1408" s="5" t="n"/>
      <c r="E1408" s="5" t="n"/>
      <c r="F1408" s="5" t="n"/>
      <c r="G1408" s="5" t="n"/>
      <c r="H1408" s="5" t="n"/>
      <c r="I1408" s="5" t="n"/>
      <c r="J1408" s="5" t="n"/>
    </row>
    <row r="1409" ht="30" customHeight="1" s="45">
      <c r="A1409" s="5" t="n"/>
      <c r="B1409" s="5" t="n"/>
      <c r="C1409" s="5" t="n"/>
      <c r="D1409" s="5" t="n"/>
      <c r="E1409" s="5" t="n"/>
      <c r="F1409" s="5" t="n"/>
      <c r="G1409" s="5" t="n"/>
      <c r="H1409" s="5" t="n"/>
      <c r="I1409" s="5" t="n"/>
      <c r="J1409" s="5" t="n"/>
    </row>
    <row r="1410" ht="30" customHeight="1" s="45">
      <c r="A1410" s="5" t="n"/>
      <c r="B1410" s="5" t="n"/>
      <c r="C1410" s="5" t="n"/>
      <c r="D1410" s="5" t="n"/>
      <c r="E1410" s="5" t="n"/>
      <c r="F1410" s="5" t="n"/>
      <c r="G1410" s="5" t="n"/>
      <c r="H1410" s="5" t="n"/>
      <c r="I1410" s="5" t="n"/>
      <c r="J1410" s="5" t="n"/>
    </row>
    <row r="1411" ht="30" customHeight="1" s="45">
      <c r="A1411" s="5" t="n"/>
      <c r="B1411" s="5" t="n"/>
      <c r="C1411" s="5" t="n"/>
      <c r="D1411" s="5" t="n"/>
      <c r="E1411" s="5" t="n"/>
      <c r="F1411" s="5" t="n"/>
      <c r="G1411" s="5" t="n"/>
      <c r="H1411" s="5" t="n"/>
      <c r="I1411" s="5" t="n"/>
      <c r="J1411" s="5" t="n"/>
    </row>
    <row r="1412" ht="30" customHeight="1" s="45">
      <c r="A1412" s="5" t="n"/>
      <c r="B1412" s="5" t="n"/>
      <c r="C1412" s="5" t="n"/>
      <c r="D1412" s="5" t="n"/>
      <c r="E1412" s="5" t="n"/>
      <c r="F1412" s="5" t="n"/>
      <c r="G1412" s="5" t="n"/>
      <c r="H1412" s="5" t="n"/>
      <c r="I1412" s="5" t="n"/>
      <c r="J1412" s="5" t="n"/>
    </row>
    <row r="1413" ht="30" customHeight="1" s="45">
      <c r="A1413" s="5" t="n"/>
      <c r="B1413" s="5" t="n"/>
      <c r="C1413" s="5" t="n"/>
      <c r="D1413" s="5" t="n"/>
      <c r="E1413" s="5" t="n"/>
      <c r="F1413" s="5" t="n"/>
      <c r="G1413" s="5" t="n"/>
      <c r="H1413" s="5" t="n"/>
      <c r="I1413" s="5" t="n"/>
      <c r="J1413" s="5" t="n"/>
    </row>
    <row r="1414" ht="30" customHeight="1" s="45">
      <c r="A1414" s="5" t="n"/>
      <c r="B1414" s="5" t="n"/>
      <c r="C1414" s="5" t="n"/>
      <c r="D1414" s="5" t="n"/>
      <c r="E1414" s="5" t="n"/>
      <c r="F1414" s="5" t="n"/>
      <c r="G1414" s="5" t="n"/>
      <c r="H1414" s="5" t="n"/>
      <c r="I1414" s="5" t="n"/>
      <c r="J1414" s="5" t="n"/>
    </row>
    <row r="1415" ht="30" customHeight="1" s="45">
      <c r="A1415" s="5" t="n"/>
      <c r="B1415" s="5" t="n"/>
      <c r="C1415" s="5" t="n"/>
      <c r="D1415" s="5" t="n"/>
      <c r="E1415" s="5" t="n"/>
      <c r="F1415" s="5" t="n"/>
      <c r="G1415" s="5" t="n"/>
      <c r="H1415" s="5" t="n"/>
      <c r="I1415" s="5" t="n"/>
      <c r="J1415" s="5" t="n"/>
    </row>
    <row r="1416" ht="30" customHeight="1" s="45">
      <c r="A1416" s="5" t="n"/>
      <c r="B1416" s="5" t="n"/>
      <c r="C1416" s="5" t="n"/>
      <c r="D1416" s="5" t="n"/>
      <c r="E1416" s="5" t="n"/>
      <c r="F1416" s="5" t="n"/>
      <c r="G1416" s="5" t="n"/>
      <c r="H1416" s="5" t="n"/>
      <c r="I1416" s="5" t="n"/>
      <c r="J1416" s="5" t="n"/>
    </row>
    <row r="1417" ht="30" customHeight="1" s="45">
      <c r="A1417" s="5" t="n"/>
      <c r="B1417" s="5" t="n"/>
      <c r="C1417" s="5" t="n"/>
      <c r="D1417" s="5" t="n"/>
      <c r="E1417" s="5" t="n"/>
      <c r="F1417" s="5" t="n"/>
      <c r="G1417" s="5" t="n"/>
      <c r="H1417" s="5" t="n"/>
      <c r="I1417" s="5" t="n"/>
      <c r="J1417" s="5" t="n"/>
    </row>
    <row r="1418" ht="30" customHeight="1" s="45">
      <c r="A1418" s="5" t="n"/>
      <c r="B1418" s="5" t="n"/>
      <c r="C1418" s="5" t="n"/>
      <c r="D1418" s="5" t="n"/>
      <c r="E1418" s="5" t="n"/>
      <c r="F1418" s="5" t="n"/>
      <c r="G1418" s="5" t="n"/>
      <c r="H1418" s="5" t="n"/>
      <c r="I1418" s="5" t="n"/>
      <c r="J1418" s="5" t="n"/>
    </row>
    <row r="1419" ht="30" customHeight="1" s="45">
      <c r="A1419" s="5" t="n"/>
      <c r="B1419" s="5" t="n"/>
      <c r="C1419" s="5" t="n"/>
      <c r="D1419" s="5" t="n"/>
      <c r="E1419" s="5" t="n"/>
      <c r="F1419" s="5" t="n"/>
      <c r="G1419" s="5" t="n"/>
      <c r="H1419" s="5" t="n"/>
      <c r="I1419" s="5" t="n"/>
      <c r="J1419" s="5" t="n"/>
    </row>
    <row r="1420" ht="30" customHeight="1" s="45">
      <c r="A1420" s="5" t="n"/>
      <c r="B1420" s="5" t="n"/>
      <c r="C1420" s="5" t="n"/>
      <c r="D1420" s="5" t="n"/>
      <c r="E1420" s="5" t="n"/>
      <c r="F1420" s="5" t="n"/>
      <c r="G1420" s="5" t="n"/>
      <c r="H1420" s="5" t="n"/>
      <c r="I1420" s="5" t="n"/>
      <c r="J1420" s="5" t="n"/>
    </row>
    <row r="1421" ht="30" customHeight="1" s="45">
      <c r="A1421" s="5" t="n"/>
      <c r="B1421" s="5" t="n"/>
      <c r="C1421" s="5" t="n"/>
      <c r="D1421" s="5" t="n"/>
      <c r="E1421" s="5" t="n"/>
      <c r="F1421" s="5" t="n"/>
      <c r="G1421" s="5" t="n"/>
      <c r="H1421" s="5" t="n"/>
      <c r="I1421" s="5" t="n"/>
      <c r="J1421" s="5" t="n"/>
    </row>
    <row r="1422" ht="30" customHeight="1" s="45">
      <c r="A1422" s="5" t="n"/>
      <c r="B1422" s="5" t="n"/>
      <c r="C1422" s="5" t="n"/>
      <c r="D1422" s="5" t="n"/>
      <c r="E1422" s="5" t="n"/>
      <c r="F1422" s="5" t="n"/>
      <c r="G1422" s="5" t="n"/>
      <c r="H1422" s="5" t="n"/>
      <c r="I1422" s="5" t="n"/>
      <c r="J1422" s="5" t="n"/>
    </row>
    <row r="1423" ht="30" customHeight="1" s="45">
      <c r="A1423" s="5" t="n"/>
      <c r="B1423" s="5" t="n"/>
      <c r="C1423" s="5" t="n"/>
      <c r="D1423" s="5" t="n"/>
      <c r="E1423" s="5" t="n"/>
      <c r="F1423" s="5" t="n"/>
      <c r="G1423" s="5" t="n"/>
      <c r="H1423" s="5" t="n"/>
      <c r="I1423" s="5" t="n"/>
      <c r="J1423" s="5" t="n"/>
    </row>
    <row r="1424" ht="30" customHeight="1" s="45">
      <c r="A1424" s="5" t="n"/>
      <c r="B1424" s="5" t="n"/>
      <c r="C1424" s="5" t="n"/>
      <c r="D1424" s="5" t="n"/>
      <c r="E1424" s="5" t="n"/>
      <c r="F1424" s="5" t="n"/>
      <c r="G1424" s="5" t="n"/>
      <c r="H1424" s="5" t="n"/>
      <c r="I1424" s="5" t="n"/>
      <c r="J1424" s="5" t="n"/>
    </row>
    <row r="1425" ht="30" customHeight="1" s="45">
      <c r="A1425" s="5" t="n"/>
      <c r="B1425" s="5" t="n"/>
      <c r="C1425" s="5" t="n"/>
      <c r="D1425" s="5" t="n"/>
      <c r="E1425" s="5" t="n"/>
      <c r="F1425" s="5" t="n"/>
      <c r="G1425" s="5" t="n"/>
      <c r="H1425" s="5" t="n"/>
      <c r="I1425" s="5" t="n"/>
      <c r="J1425" s="5" t="n"/>
    </row>
    <row r="1426" ht="30" customHeight="1" s="45">
      <c r="A1426" s="5" t="n"/>
      <c r="B1426" s="5" t="n"/>
      <c r="C1426" s="5" t="n"/>
      <c r="D1426" s="5" t="n"/>
      <c r="E1426" s="5" t="n"/>
      <c r="F1426" s="5" t="n"/>
      <c r="G1426" s="5" t="n"/>
      <c r="H1426" s="5" t="n"/>
      <c r="I1426" s="5" t="n"/>
      <c r="J1426" s="5" t="n"/>
    </row>
    <row r="1427" ht="30" customHeight="1" s="45">
      <c r="A1427" s="5" t="n"/>
      <c r="B1427" s="5" t="n"/>
      <c r="C1427" s="5" t="n"/>
      <c r="D1427" s="5" t="n"/>
      <c r="E1427" s="5" t="n"/>
      <c r="F1427" s="5" t="n"/>
      <c r="G1427" s="5" t="n"/>
      <c r="H1427" s="5" t="n"/>
      <c r="I1427" s="5" t="n"/>
      <c r="J1427" s="5" t="n"/>
    </row>
    <row r="1428" ht="30" customHeight="1" s="45">
      <c r="A1428" s="5" t="n"/>
      <c r="B1428" s="5" t="n"/>
      <c r="C1428" s="5" t="n"/>
      <c r="D1428" s="5" t="n"/>
      <c r="E1428" s="5" t="n"/>
      <c r="F1428" s="5" t="n"/>
      <c r="G1428" s="5" t="n"/>
      <c r="H1428" s="5" t="n"/>
      <c r="I1428" s="5" t="n"/>
      <c r="J1428" s="5" t="n"/>
    </row>
    <row r="1429" ht="30" customHeight="1" s="45">
      <c r="A1429" s="5" t="n"/>
      <c r="B1429" s="5" t="n"/>
      <c r="C1429" s="5" t="n"/>
      <c r="D1429" s="5" t="n"/>
      <c r="E1429" s="5" t="n"/>
      <c r="F1429" s="5" t="n"/>
      <c r="G1429" s="5" t="n"/>
      <c r="H1429" s="5" t="n"/>
      <c r="I1429" s="5" t="n"/>
      <c r="J1429" s="5" t="n"/>
    </row>
    <row r="1430" ht="30" customHeight="1" s="45">
      <c r="A1430" s="5" t="n"/>
      <c r="B1430" s="5" t="n"/>
      <c r="C1430" s="5" t="n"/>
      <c r="D1430" s="5" t="n"/>
      <c r="E1430" s="5" t="n"/>
      <c r="F1430" s="5" t="n"/>
      <c r="G1430" s="5" t="n"/>
      <c r="H1430" s="5" t="n"/>
      <c r="I1430" s="5" t="n"/>
      <c r="J1430" s="5" t="n"/>
    </row>
    <row r="1431" ht="30" customHeight="1" s="45">
      <c r="A1431" s="5" t="n"/>
      <c r="B1431" s="5" t="n"/>
      <c r="C1431" s="5" t="n"/>
      <c r="D1431" s="5" t="n"/>
      <c r="E1431" s="5" t="n"/>
      <c r="F1431" s="5" t="n"/>
      <c r="G1431" s="5" t="n"/>
      <c r="H1431" s="5" t="n"/>
      <c r="I1431" s="5" t="n"/>
      <c r="J1431" s="5" t="n"/>
    </row>
    <row r="1432" ht="30" customHeight="1" s="45">
      <c r="A1432" s="5" t="n"/>
      <c r="B1432" s="5" t="n"/>
      <c r="C1432" s="5" t="n"/>
      <c r="D1432" s="5" t="n"/>
      <c r="E1432" s="5" t="n"/>
      <c r="F1432" s="5" t="n"/>
      <c r="G1432" s="5" t="n"/>
      <c r="H1432" s="5" t="n"/>
      <c r="I1432" s="5" t="n"/>
      <c r="J1432" s="5" t="n"/>
    </row>
    <row r="1433" ht="30" customHeight="1" s="45">
      <c r="A1433" s="5" t="n"/>
      <c r="B1433" s="5" t="n"/>
      <c r="C1433" s="5" t="n"/>
      <c r="D1433" s="5" t="n"/>
      <c r="E1433" s="5" t="n"/>
      <c r="F1433" s="5" t="n"/>
      <c r="G1433" s="5" t="n"/>
      <c r="H1433" s="5" t="n"/>
      <c r="I1433" s="5" t="n"/>
      <c r="J1433" s="5" t="n"/>
    </row>
    <row r="1434" ht="30" customHeight="1" s="45">
      <c r="A1434" s="5" t="n"/>
      <c r="B1434" s="5" t="n"/>
      <c r="C1434" s="5" t="n"/>
      <c r="D1434" s="5" t="n"/>
      <c r="E1434" s="5" t="n"/>
      <c r="F1434" s="5" t="n"/>
      <c r="G1434" s="5" t="n"/>
      <c r="H1434" s="5" t="n"/>
      <c r="I1434" s="5" t="n"/>
      <c r="J1434" s="5" t="n"/>
    </row>
    <row r="1435" ht="30" customHeight="1" s="45">
      <c r="A1435" s="5" t="n"/>
      <c r="B1435" s="5" t="n"/>
      <c r="C1435" s="5" t="n"/>
      <c r="D1435" s="5" t="n"/>
      <c r="E1435" s="5" t="n"/>
      <c r="F1435" s="5" t="n"/>
      <c r="G1435" s="5" t="n"/>
      <c r="H1435" s="5" t="n"/>
      <c r="I1435" s="5" t="n"/>
      <c r="J1435" s="5" t="n"/>
    </row>
    <row r="1436" ht="30" customHeight="1" s="45">
      <c r="A1436" s="5" t="n"/>
      <c r="B1436" s="5" t="n"/>
      <c r="C1436" s="5" t="n"/>
      <c r="D1436" s="5" t="n"/>
      <c r="E1436" s="5" t="n"/>
      <c r="F1436" s="5" t="n"/>
      <c r="G1436" s="5" t="n"/>
      <c r="H1436" s="5" t="n"/>
      <c r="I1436" s="5" t="n"/>
      <c r="J1436" s="5" t="n"/>
    </row>
    <row r="1437" ht="30" customHeight="1" s="45">
      <c r="A1437" s="5" t="n"/>
      <c r="B1437" s="5" t="n"/>
      <c r="C1437" s="5" t="n"/>
      <c r="D1437" s="5" t="n"/>
      <c r="E1437" s="5" t="n"/>
      <c r="F1437" s="5" t="n"/>
      <c r="G1437" s="5" t="n"/>
      <c r="H1437" s="5" t="n"/>
      <c r="I1437" s="5" t="n"/>
      <c r="J1437" s="5" t="n"/>
    </row>
    <row r="1438" ht="30" customHeight="1" s="45">
      <c r="A1438" s="5" t="n"/>
      <c r="B1438" s="5" t="n"/>
      <c r="C1438" s="5" t="n"/>
      <c r="D1438" s="5" t="n"/>
      <c r="E1438" s="5" t="n"/>
      <c r="F1438" s="5" t="n"/>
      <c r="G1438" s="5" t="n"/>
      <c r="H1438" s="5" t="n"/>
      <c r="I1438" s="5" t="n"/>
      <c r="J1438" s="5" t="n"/>
    </row>
    <row r="1439" ht="30" customHeight="1" s="45">
      <c r="A1439" s="5" t="n"/>
      <c r="B1439" s="5" t="n"/>
      <c r="C1439" s="5" t="n"/>
      <c r="D1439" s="5" t="n"/>
      <c r="E1439" s="5" t="n"/>
      <c r="F1439" s="5" t="n"/>
      <c r="G1439" s="5" t="n"/>
      <c r="H1439" s="5" t="n"/>
      <c r="I1439" s="5" t="n"/>
      <c r="J1439" s="5" t="n"/>
    </row>
    <row r="1440" ht="30" customHeight="1" s="45">
      <c r="A1440" s="5" t="n"/>
      <c r="B1440" s="5" t="n"/>
      <c r="C1440" s="5" t="n"/>
      <c r="D1440" s="5" t="n"/>
      <c r="E1440" s="5" t="n"/>
      <c r="F1440" s="5" t="n"/>
      <c r="G1440" s="5" t="n"/>
      <c r="H1440" s="5" t="n"/>
      <c r="I1440" s="5" t="n"/>
      <c r="J1440" s="5" t="n"/>
    </row>
    <row r="1441" ht="30" customHeight="1" s="45">
      <c r="A1441" s="5" t="n"/>
      <c r="B1441" s="5" t="n"/>
      <c r="C1441" s="5" t="n"/>
      <c r="D1441" s="5" t="n"/>
      <c r="E1441" s="5" t="n"/>
      <c r="F1441" s="5" t="n"/>
      <c r="G1441" s="5" t="n"/>
      <c r="H1441" s="5" t="n"/>
      <c r="I1441" s="5" t="n"/>
      <c r="J1441" s="5" t="n"/>
    </row>
    <row r="1442" ht="30" customHeight="1" s="45">
      <c r="A1442" s="5" t="n"/>
      <c r="B1442" s="5" t="n"/>
      <c r="C1442" s="5" t="n"/>
      <c r="D1442" s="5" t="n"/>
      <c r="E1442" s="5" t="n"/>
      <c r="F1442" s="5" t="n"/>
      <c r="G1442" s="5" t="n"/>
      <c r="H1442" s="5" t="n"/>
      <c r="I1442" s="5" t="n"/>
      <c r="J1442" s="5" t="n"/>
    </row>
    <row r="1443" ht="30" customHeight="1" s="45">
      <c r="A1443" s="5" t="n"/>
      <c r="B1443" s="5" t="n"/>
      <c r="C1443" s="5" t="n"/>
      <c r="D1443" s="5" t="n"/>
      <c r="E1443" s="5" t="n"/>
      <c r="F1443" s="5" t="n"/>
      <c r="G1443" s="5" t="n"/>
      <c r="H1443" s="5" t="n"/>
      <c r="I1443" s="5" t="n"/>
      <c r="J1443" s="5" t="n"/>
    </row>
    <row r="1444" ht="30" customHeight="1" s="45">
      <c r="A1444" s="5" t="n"/>
      <c r="B1444" s="5" t="n"/>
      <c r="C1444" s="5" t="n"/>
      <c r="D1444" s="5" t="n"/>
      <c r="E1444" s="5" t="n"/>
      <c r="F1444" s="5" t="n"/>
      <c r="G1444" s="5" t="n"/>
      <c r="H1444" s="5" t="n"/>
      <c r="I1444" s="5" t="n"/>
      <c r="J1444" s="5" t="n"/>
    </row>
    <row r="1445" ht="30" customHeight="1" s="45">
      <c r="A1445" s="5" t="n"/>
      <c r="B1445" s="5" t="n"/>
      <c r="C1445" s="5" t="n"/>
      <c r="D1445" s="5" t="n"/>
      <c r="E1445" s="5" t="n"/>
      <c r="F1445" s="5" t="n"/>
      <c r="G1445" s="5" t="n"/>
      <c r="H1445" s="5" t="n"/>
      <c r="I1445" s="5" t="n"/>
      <c r="J1445" s="5" t="n"/>
    </row>
    <row r="1446" ht="30" customHeight="1" s="45">
      <c r="A1446" s="5" t="n"/>
      <c r="B1446" s="5" t="n"/>
      <c r="C1446" s="5" t="n"/>
      <c r="D1446" s="5" t="n"/>
      <c r="E1446" s="5" t="n"/>
      <c r="F1446" s="5" t="n"/>
      <c r="G1446" s="5" t="n"/>
      <c r="H1446" s="5" t="n"/>
      <c r="I1446" s="5" t="n"/>
      <c r="J1446" s="5" t="n"/>
    </row>
    <row r="1447" ht="30" customHeight="1" s="45">
      <c r="A1447" s="5" t="n"/>
      <c r="B1447" s="5" t="n"/>
      <c r="C1447" s="5" t="n"/>
      <c r="D1447" s="5" t="n"/>
      <c r="E1447" s="5" t="n"/>
      <c r="F1447" s="5" t="n"/>
      <c r="G1447" s="5" t="n"/>
      <c r="H1447" s="5" t="n"/>
      <c r="I1447" s="5" t="n"/>
      <c r="J1447" s="5" t="n"/>
    </row>
    <row r="1448" ht="30" customHeight="1" s="45">
      <c r="A1448" s="5" t="n"/>
      <c r="B1448" s="5" t="n"/>
      <c r="C1448" s="5" t="n"/>
      <c r="D1448" s="5" t="n"/>
      <c r="E1448" s="5" t="n"/>
      <c r="F1448" s="5" t="n"/>
      <c r="G1448" s="5" t="n"/>
      <c r="H1448" s="5" t="n"/>
      <c r="I1448" s="5" t="n"/>
      <c r="J1448" s="5" t="n"/>
    </row>
    <row r="1449" ht="30" customHeight="1" s="45">
      <c r="A1449" s="5" t="n"/>
      <c r="B1449" s="5" t="n"/>
      <c r="C1449" s="5" t="n"/>
      <c r="D1449" s="5" t="n"/>
      <c r="E1449" s="5" t="n"/>
      <c r="F1449" s="5" t="n"/>
      <c r="G1449" s="5" t="n"/>
      <c r="H1449" s="5" t="n"/>
      <c r="I1449" s="5" t="n"/>
      <c r="J1449" s="5" t="n"/>
    </row>
    <row r="1450" ht="30" customHeight="1" s="45">
      <c r="A1450" s="5" t="n"/>
      <c r="B1450" s="5" t="n"/>
      <c r="C1450" s="5" t="n"/>
      <c r="D1450" s="5" t="n"/>
      <c r="E1450" s="5" t="n"/>
      <c r="F1450" s="5" t="n"/>
      <c r="G1450" s="5" t="n"/>
      <c r="H1450" s="5" t="n"/>
      <c r="I1450" s="5" t="n"/>
      <c r="J1450" s="5" t="n"/>
    </row>
    <row r="1451" ht="30" customHeight="1" s="45">
      <c r="A1451" s="5" t="n"/>
      <c r="B1451" s="5" t="n"/>
      <c r="C1451" s="5" t="n"/>
      <c r="D1451" s="5" t="n"/>
      <c r="E1451" s="5" t="n"/>
      <c r="F1451" s="5" t="n"/>
      <c r="G1451" s="5" t="n"/>
      <c r="H1451" s="5" t="n"/>
      <c r="I1451" s="5" t="n"/>
      <c r="J1451" s="5" t="n"/>
    </row>
    <row r="1452" ht="30" customHeight="1" s="45">
      <c r="A1452" s="5" t="n"/>
      <c r="B1452" s="5" t="n"/>
      <c r="C1452" s="5" t="n"/>
      <c r="D1452" s="5" t="n"/>
      <c r="E1452" s="5" t="n"/>
      <c r="F1452" s="5" t="n"/>
      <c r="G1452" s="5" t="n"/>
      <c r="H1452" s="5" t="n"/>
      <c r="I1452" s="5" t="n"/>
      <c r="J1452" s="5" t="n"/>
    </row>
    <row r="1453" ht="30" customHeight="1" s="45">
      <c r="A1453" s="5" t="n"/>
      <c r="B1453" s="5" t="n"/>
      <c r="C1453" s="5" t="n"/>
      <c r="D1453" s="5" t="n"/>
      <c r="E1453" s="5" t="n"/>
      <c r="F1453" s="5" t="n"/>
      <c r="G1453" s="5" t="n"/>
      <c r="H1453" s="5" t="n"/>
      <c r="I1453" s="5" t="n"/>
      <c r="J1453" s="5" t="n"/>
    </row>
    <row r="1454" ht="30" customHeight="1" s="45">
      <c r="A1454" s="5" t="n"/>
      <c r="B1454" s="5" t="n"/>
      <c r="C1454" s="5" t="n"/>
      <c r="D1454" s="5" t="n"/>
      <c r="E1454" s="5" t="n"/>
      <c r="F1454" s="5" t="n"/>
      <c r="G1454" s="5" t="n"/>
      <c r="H1454" s="5" t="n"/>
      <c r="I1454" s="5" t="n"/>
      <c r="J1454" s="5" t="n"/>
    </row>
    <row r="1455" ht="30" customHeight="1" s="45">
      <c r="A1455" s="5" t="n"/>
      <c r="B1455" s="5" t="n"/>
      <c r="C1455" s="5" t="n"/>
      <c r="D1455" s="5" t="n"/>
      <c r="E1455" s="5" t="n"/>
      <c r="F1455" s="5" t="n"/>
      <c r="G1455" s="5" t="n"/>
      <c r="H1455" s="5" t="n"/>
      <c r="I1455" s="5" t="n"/>
      <c r="J1455" s="5" t="n"/>
    </row>
    <row r="1456" ht="30" customHeight="1" s="45">
      <c r="A1456" s="5" t="n"/>
      <c r="B1456" s="5" t="n"/>
      <c r="C1456" s="5" t="n"/>
      <c r="D1456" s="5" t="n"/>
      <c r="E1456" s="5" t="n"/>
      <c r="F1456" s="5" t="n"/>
      <c r="G1456" s="5" t="n"/>
      <c r="H1456" s="5" t="n"/>
      <c r="I1456" s="5" t="n"/>
      <c r="J1456" s="5" t="n"/>
    </row>
    <row r="1457" ht="30" customHeight="1" s="45">
      <c r="A1457" s="5" t="n"/>
      <c r="B1457" s="5" t="n"/>
      <c r="C1457" s="5" t="n"/>
      <c r="D1457" s="5" t="n"/>
      <c r="E1457" s="5" t="n"/>
      <c r="F1457" s="5" t="n"/>
      <c r="G1457" s="5" t="n"/>
      <c r="H1457" s="5" t="n"/>
      <c r="I1457" s="5" t="n"/>
      <c r="J1457" s="5" t="n"/>
    </row>
    <row r="1458" ht="30" customHeight="1" s="45">
      <c r="A1458" s="5" t="n"/>
      <c r="B1458" s="5" t="n"/>
      <c r="C1458" s="5" t="n"/>
      <c r="D1458" s="5" t="n"/>
      <c r="E1458" s="5" t="n"/>
      <c r="F1458" s="5" t="n"/>
      <c r="G1458" s="5" t="n"/>
      <c r="H1458" s="5" t="n"/>
      <c r="I1458" s="5" t="n"/>
      <c r="J1458" s="5" t="n"/>
    </row>
    <row r="1459" ht="30" customHeight="1" s="45">
      <c r="A1459" s="5" t="n"/>
      <c r="B1459" s="5" t="n"/>
      <c r="C1459" s="5" t="n"/>
      <c r="D1459" s="5" t="n"/>
      <c r="E1459" s="5" t="n"/>
      <c r="F1459" s="5" t="n"/>
      <c r="G1459" s="5" t="n"/>
      <c r="H1459" s="5" t="n"/>
      <c r="I1459" s="5" t="n"/>
      <c r="J1459" s="5" t="n"/>
    </row>
    <row r="1460" ht="30" customHeight="1" s="45">
      <c r="A1460" s="5" t="n"/>
      <c r="B1460" s="5" t="n"/>
      <c r="C1460" s="5" t="n"/>
      <c r="D1460" s="5" t="n"/>
      <c r="E1460" s="5" t="n"/>
      <c r="F1460" s="5" t="n"/>
      <c r="G1460" s="5" t="n"/>
      <c r="H1460" s="5" t="n"/>
      <c r="I1460" s="5" t="n"/>
      <c r="J1460" s="5" t="n"/>
    </row>
    <row r="1461" ht="30" customHeight="1" s="45">
      <c r="A1461" s="5" t="n"/>
      <c r="B1461" s="5" t="n"/>
      <c r="C1461" s="5" t="n"/>
      <c r="D1461" s="5" t="n"/>
      <c r="E1461" s="5" t="n"/>
      <c r="F1461" s="5" t="n"/>
      <c r="G1461" s="5" t="n"/>
      <c r="H1461" s="5" t="n"/>
      <c r="I1461" s="5" t="n"/>
      <c r="J1461" s="5" t="n"/>
    </row>
    <row r="1462" ht="30" customHeight="1" s="45">
      <c r="A1462" s="5" t="n"/>
      <c r="B1462" s="5" t="n"/>
      <c r="C1462" s="5" t="n"/>
      <c r="D1462" s="5" t="n"/>
      <c r="E1462" s="5" t="n"/>
      <c r="F1462" s="5" t="n"/>
      <c r="G1462" s="5" t="n"/>
      <c r="H1462" s="5" t="n"/>
      <c r="I1462" s="5" t="n"/>
      <c r="J1462" s="5" t="n"/>
    </row>
    <row r="1463" ht="30" customHeight="1" s="45">
      <c r="A1463" s="5" t="n"/>
      <c r="B1463" s="5" t="n"/>
      <c r="C1463" s="5" t="n"/>
      <c r="D1463" s="5" t="n"/>
      <c r="E1463" s="5" t="n"/>
      <c r="F1463" s="5" t="n"/>
      <c r="G1463" s="5" t="n"/>
      <c r="H1463" s="5" t="n"/>
      <c r="I1463" s="5" t="n"/>
      <c r="J1463" s="5" t="n"/>
    </row>
    <row r="1464" ht="30" customHeight="1" s="45">
      <c r="A1464" s="5" t="n"/>
      <c r="B1464" s="5" t="n"/>
      <c r="C1464" s="5" t="n"/>
      <c r="D1464" s="5" t="n"/>
      <c r="E1464" s="5" t="n"/>
      <c r="F1464" s="5" t="n"/>
      <c r="G1464" s="5" t="n"/>
      <c r="H1464" s="5" t="n"/>
      <c r="I1464" s="5" t="n"/>
      <c r="J1464" s="5" t="n"/>
    </row>
    <row r="1465" ht="30" customHeight="1" s="45">
      <c r="A1465" s="5" t="n"/>
      <c r="B1465" s="5" t="n"/>
      <c r="C1465" s="5" t="n"/>
      <c r="D1465" s="5" t="n"/>
      <c r="E1465" s="5" t="n"/>
      <c r="F1465" s="5" t="n"/>
      <c r="G1465" s="5" t="n"/>
      <c r="H1465" s="5" t="n"/>
      <c r="I1465" s="5" t="n"/>
      <c r="J1465" s="5" t="n"/>
    </row>
    <row r="1466" ht="30" customHeight="1" s="45">
      <c r="A1466" s="5" t="n"/>
      <c r="B1466" s="5" t="n"/>
      <c r="C1466" s="5" t="n"/>
      <c r="D1466" s="5" t="n"/>
      <c r="E1466" s="5" t="n"/>
      <c r="F1466" s="5" t="n"/>
      <c r="G1466" s="5" t="n"/>
      <c r="H1466" s="5" t="n"/>
      <c r="I1466" s="5" t="n"/>
      <c r="J1466" s="5" t="n"/>
    </row>
    <row r="1467" ht="30" customHeight="1" s="45">
      <c r="A1467" s="5" t="n"/>
      <c r="B1467" s="5" t="n"/>
      <c r="C1467" s="5" t="n"/>
      <c r="D1467" s="5" t="n"/>
      <c r="E1467" s="5" t="n"/>
      <c r="F1467" s="5" t="n"/>
      <c r="G1467" s="5" t="n"/>
      <c r="H1467" s="5" t="n"/>
      <c r="I1467" s="5" t="n"/>
      <c r="J1467" s="5" t="n"/>
    </row>
    <row r="1468" ht="30" customHeight="1" s="45">
      <c r="A1468" s="5" t="n"/>
      <c r="B1468" s="5" t="n"/>
      <c r="C1468" s="5" t="n"/>
      <c r="D1468" s="5" t="n"/>
      <c r="E1468" s="5" t="n"/>
      <c r="F1468" s="5" t="n"/>
      <c r="G1468" s="5" t="n"/>
      <c r="H1468" s="5" t="n"/>
      <c r="I1468" s="5" t="n"/>
      <c r="J1468" s="5" t="n"/>
    </row>
    <row r="1469" ht="30" customHeight="1" s="45">
      <c r="A1469" s="5" t="n"/>
      <c r="B1469" s="5" t="n"/>
      <c r="C1469" s="5" t="n"/>
      <c r="D1469" s="5" t="n"/>
      <c r="E1469" s="5" t="n"/>
      <c r="F1469" s="5" t="n"/>
      <c r="G1469" s="5" t="n"/>
      <c r="H1469" s="5" t="n"/>
      <c r="I1469" s="5" t="n"/>
      <c r="J1469" s="5" t="n"/>
    </row>
    <row r="1470" ht="30" customHeight="1" s="45">
      <c r="A1470" s="5" t="n"/>
      <c r="B1470" s="5" t="n"/>
      <c r="C1470" s="5" t="n"/>
      <c r="D1470" s="5" t="n"/>
      <c r="E1470" s="5" t="n"/>
      <c r="F1470" s="5" t="n"/>
      <c r="G1470" s="5" t="n"/>
      <c r="H1470" s="5" t="n"/>
      <c r="I1470" s="5" t="n"/>
      <c r="J1470" s="5" t="n"/>
    </row>
    <row r="1471" ht="30" customHeight="1" s="45">
      <c r="A1471" s="5" t="n"/>
      <c r="B1471" s="5" t="n"/>
      <c r="C1471" s="5" t="n"/>
      <c r="D1471" s="5" t="n"/>
      <c r="E1471" s="5" t="n"/>
      <c r="F1471" s="5" t="n"/>
      <c r="G1471" s="5" t="n"/>
      <c r="H1471" s="5" t="n"/>
      <c r="I1471" s="5" t="n"/>
      <c r="J1471" s="5" t="n"/>
    </row>
    <row r="1472" ht="30" customHeight="1" s="45">
      <c r="A1472" s="5" t="n"/>
      <c r="B1472" s="5" t="n"/>
      <c r="C1472" s="5" t="n"/>
      <c r="D1472" s="5" t="n"/>
      <c r="E1472" s="5" t="n"/>
      <c r="F1472" s="5" t="n"/>
      <c r="G1472" s="5" t="n"/>
      <c r="H1472" s="5" t="n"/>
      <c r="I1472" s="5" t="n"/>
      <c r="J1472" s="5" t="n"/>
    </row>
    <row r="1473" ht="30" customHeight="1" s="45">
      <c r="A1473" s="5" t="n"/>
      <c r="B1473" s="5" t="n"/>
      <c r="C1473" s="5" t="n"/>
      <c r="D1473" s="5" t="n"/>
      <c r="E1473" s="5" t="n"/>
      <c r="F1473" s="5" t="n"/>
      <c r="G1473" s="5" t="n"/>
      <c r="H1473" s="5" t="n"/>
      <c r="I1473" s="5" t="n"/>
      <c r="J1473" s="5" t="n"/>
    </row>
    <row r="1474" ht="30" customHeight="1" s="45">
      <c r="A1474" s="5" t="n"/>
      <c r="B1474" s="5" t="n"/>
      <c r="C1474" s="5" t="n"/>
      <c r="D1474" s="5" t="n"/>
      <c r="E1474" s="5" t="n"/>
      <c r="F1474" s="5" t="n"/>
      <c r="G1474" s="5" t="n"/>
      <c r="H1474" s="5" t="n"/>
      <c r="I1474" s="5" t="n"/>
      <c r="J1474" s="5" t="n"/>
    </row>
    <row r="1475" ht="30" customHeight="1" s="45">
      <c r="A1475" s="5" t="n"/>
      <c r="B1475" s="5" t="n"/>
      <c r="C1475" s="5" t="n"/>
      <c r="D1475" s="5" t="n"/>
      <c r="E1475" s="5" t="n"/>
      <c r="F1475" s="5" t="n"/>
      <c r="G1475" s="5" t="n"/>
      <c r="H1475" s="5" t="n"/>
      <c r="I1475" s="5" t="n"/>
      <c r="J1475" s="5" t="n"/>
    </row>
    <row r="1476" ht="30" customHeight="1" s="45">
      <c r="A1476" s="5" t="n"/>
      <c r="B1476" s="5" t="n"/>
      <c r="C1476" s="5" t="n"/>
      <c r="D1476" s="5" t="n"/>
      <c r="E1476" s="5" t="n"/>
      <c r="F1476" s="5" t="n"/>
      <c r="G1476" s="5" t="n"/>
      <c r="H1476" s="5" t="n"/>
      <c r="I1476" s="5" t="n"/>
      <c r="J1476" s="5" t="n"/>
    </row>
    <row r="1477" ht="30" customHeight="1" s="45">
      <c r="A1477" s="5" t="n"/>
      <c r="B1477" s="5" t="n"/>
      <c r="C1477" s="5" t="n"/>
      <c r="D1477" s="5" t="n"/>
      <c r="E1477" s="5" t="n"/>
      <c r="F1477" s="5" t="n"/>
      <c r="G1477" s="5" t="n"/>
      <c r="H1477" s="5" t="n"/>
      <c r="I1477" s="5" t="n"/>
      <c r="J1477" s="5" t="n"/>
    </row>
    <row r="1478" ht="30" customHeight="1" s="45">
      <c r="A1478" s="5" t="n"/>
      <c r="B1478" s="5" t="n"/>
      <c r="C1478" s="5" t="n"/>
      <c r="D1478" s="5" t="n"/>
      <c r="E1478" s="5" t="n"/>
      <c r="F1478" s="5" t="n"/>
      <c r="G1478" s="5" t="n"/>
      <c r="H1478" s="5" t="n"/>
      <c r="I1478" s="5" t="n"/>
      <c r="J1478" s="5" t="n"/>
    </row>
    <row r="1479" ht="30" customHeight="1" s="45">
      <c r="A1479" s="5" t="n"/>
      <c r="B1479" s="5" t="n"/>
      <c r="C1479" s="5" t="n"/>
      <c r="D1479" s="5" t="n"/>
      <c r="E1479" s="5" t="n"/>
      <c r="F1479" s="5" t="n"/>
      <c r="G1479" s="5" t="n"/>
      <c r="H1479" s="5" t="n"/>
      <c r="I1479" s="5" t="n"/>
      <c r="J1479" s="5" t="n"/>
    </row>
    <row r="1480" ht="30" customHeight="1" s="45">
      <c r="A1480" s="5" t="n"/>
      <c r="B1480" s="5" t="n"/>
      <c r="C1480" s="5" t="n"/>
      <c r="D1480" s="5" t="n"/>
      <c r="E1480" s="5" t="n"/>
      <c r="F1480" s="5" t="n"/>
      <c r="G1480" s="5" t="n"/>
      <c r="H1480" s="5" t="n"/>
      <c r="I1480" s="5" t="n"/>
      <c r="J1480" s="5" t="n"/>
    </row>
    <row r="1481" ht="30" customHeight="1" s="45">
      <c r="A1481" s="5" t="n"/>
      <c r="B1481" s="5" t="n"/>
      <c r="C1481" s="5" t="n"/>
      <c r="D1481" s="5" t="n"/>
      <c r="E1481" s="5" t="n"/>
      <c r="F1481" s="5" t="n"/>
      <c r="G1481" s="5" t="n"/>
      <c r="H1481" s="5" t="n"/>
      <c r="I1481" s="5" t="n"/>
      <c r="J1481" s="5" t="n"/>
    </row>
    <row r="1482" ht="30" customHeight="1" s="45">
      <c r="A1482" s="5" t="n"/>
      <c r="B1482" s="5" t="n"/>
      <c r="C1482" s="5" t="n"/>
      <c r="D1482" s="5" t="n"/>
      <c r="E1482" s="5" t="n"/>
      <c r="F1482" s="5" t="n"/>
      <c r="G1482" s="5" t="n"/>
      <c r="H1482" s="5" t="n"/>
      <c r="I1482" s="5" t="n"/>
      <c r="J1482" s="5" t="n"/>
    </row>
    <row r="1483" ht="30" customHeight="1" s="45">
      <c r="A1483" s="5" t="n"/>
      <c r="B1483" s="5" t="n"/>
      <c r="C1483" s="5" t="n"/>
      <c r="D1483" s="5" t="n"/>
      <c r="E1483" s="5" t="n"/>
      <c r="F1483" s="5" t="n"/>
      <c r="G1483" s="5" t="n"/>
      <c r="H1483" s="5" t="n"/>
      <c r="I1483" s="5" t="n"/>
      <c r="J1483" s="5" t="n"/>
    </row>
    <row r="1484" ht="30" customHeight="1" s="45">
      <c r="A1484" s="5" t="n"/>
      <c r="B1484" s="5" t="n"/>
      <c r="C1484" s="5" t="n"/>
      <c r="D1484" s="5" t="n"/>
      <c r="E1484" s="5" t="n"/>
      <c r="F1484" s="5" t="n"/>
      <c r="G1484" s="5" t="n"/>
      <c r="H1484" s="5" t="n"/>
      <c r="I1484" s="5" t="n"/>
      <c r="J1484" s="5" t="n"/>
    </row>
    <row r="1485" ht="30" customHeight="1" s="45">
      <c r="A1485" s="5" t="n"/>
      <c r="B1485" s="5" t="n"/>
      <c r="C1485" s="5" t="n"/>
      <c r="D1485" s="5" t="n"/>
      <c r="E1485" s="5" t="n"/>
      <c r="F1485" s="5" t="n"/>
      <c r="G1485" s="5" t="n"/>
      <c r="H1485" s="5" t="n"/>
      <c r="I1485" s="5" t="n"/>
      <c r="J1485" s="5" t="n"/>
    </row>
    <row r="1486" ht="30" customHeight="1" s="45">
      <c r="A1486" s="5" t="n"/>
      <c r="B1486" s="5" t="n"/>
      <c r="C1486" s="5" t="n"/>
      <c r="D1486" s="5" t="n"/>
      <c r="E1486" s="5" t="n"/>
      <c r="F1486" s="5" t="n"/>
      <c r="G1486" s="5" t="n"/>
      <c r="H1486" s="5" t="n"/>
      <c r="I1486" s="5" t="n"/>
      <c r="J1486" s="5" t="n"/>
    </row>
    <row r="1487" ht="30" customHeight="1" s="45">
      <c r="A1487" s="5" t="n"/>
      <c r="B1487" s="5" t="n"/>
      <c r="C1487" s="5" t="n"/>
      <c r="D1487" s="5" t="n"/>
      <c r="E1487" s="5" t="n"/>
      <c r="F1487" s="5" t="n"/>
      <c r="G1487" s="5" t="n"/>
      <c r="H1487" s="5" t="n"/>
      <c r="I1487" s="5" t="n"/>
      <c r="J1487" s="5" t="n"/>
    </row>
    <row r="1488" ht="30" customHeight="1" s="45">
      <c r="A1488" s="5" t="n"/>
      <c r="B1488" s="5" t="n"/>
      <c r="C1488" s="5" t="n"/>
      <c r="D1488" s="5" t="n"/>
      <c r="E1488" s="5" t="n"/>
      <c r="F1488" s="5" t="n"/>
      <c r="G1488" s="5" t="n"/>
      <c r="H1488" s="5" t="n"/>
      <c r="I1488" s="5" t="n"/>
      <c r="J1488" s="5" t="n"/>
    </row>
    <row r="1489" ht="30" customHeight="1" s="45">
      <c r="A1489" s="5" t="n"/>
      <c r="B1489" s="5" t="n"/>
      <c r="C1489" s="5" t="n"/>
      <c r="D1489" s="5" t="n"/>
      <c r="E1489" s="5" t="n"/>
      <c r="F1489" s="5" t="n"/>
      <c r="G1489" s="5" t="n"/>
      <c r="H1489" s="5" t="n"/>
      <c r="I1489" s="5" t="n"/>
      <c r="J1489" s="5" t="n"/>
    </row>
    <row r="1490" ht="30" customHeight="1" s="45">
      <c r="A1490" s="5" t="n"/>
      <c r="B1490" s="5" t="n"/>
      <c r="C1490" s="5" t="n"/>
      <c r="D1490" s="5" t="n"/>
      <c r="E1490" s="5" t="n"/>
      <c r="F1490" s="5" t="n"/>
      <c r="G1490" s="5" t="n"/>
      <c r="H1490" s="5" t="n"/>
      <c r="I1490" s="5" t="n"/>
      <c r="J1490" s="5" t="n"/>
    </row>
    <row r="1491" ht="30" customHeight="1" s="45">
      <c r="A1491" s="5" t="n"/>
      <c r="B1491" s="5" t="n"/>
      <c r="C1491" s="5" t="n"/>
      <c r="D1491" s="5" t="n"/>
      <c r="E1491" s="5" t="n"/>
      <c r="F1491" s="5" t="n"/>
      <c r="G1491" s="5" t="n"/>
      <c r="H1491" s="5" t="n"/>
      <c r="I1491" s="5" t="n"/>
      <c r="J1491" s="5" t="n"/>
    </row>
    <row r="1492" ht="30" customHeight="1" s="45">
      <c r="A1492" s="5" t="n"/>
      <c r="B1492" s="5" t="n"/>
      <c r="C1492" s="5" t="n"/>
      <c r="D1492" s="5" t="n"/>
      <c r="E1492" s="5" t="n"/>
      <c r="F1492" s="5" t="n"/>
      <c r="G1492" s="5" t="n"/>
      <c r="H1492" s="5" t="n"/>
      <c r="I1492" s="5" t="n"/>
      <c r="J1492" s="5" t="n"/>
    </row>
    <row r="1493" ht="30" customHeight="1" s="45">
      <c r="A1493" s="5" t="n"/>
      <c r="B1493" s="5" t="n"/>
      <c r="C1493" s="5" t="n"/>
      <c r="D1493" s="5" t="n"/>
      <c r="E1493" s="5" t="n"/>
      <c r="F1493" s="5" t="n"/>
      <c r="G1493" s="5" t="n"/>
      <c r="H1493" s="5" t="n"/>
      <c r="I1493" s="5" t="n"/>
      <c r="J1493" s="5" t="n"/>
    </row>
    <row r="1494" ht="30" customHeight="1" s="45">
      <c r="A1494" s="5" t="n"/>
      <c r="B1494" s="5" t="n"/>
      <c r="C1494" s="5" t="n"/>
      <c r="D1494" s="5" t="n"/>
      <c r="E1494" s="5" t="n"/>
      <c r="F1494" s="5" t="n"/>
      <c r="G1494" s="5" t="n"/>
      <c r="H1494" s="5" t="n"/>
      <c r="I1494" s="5" t="n"/>
      <c r="J1494" s="5" t="n"/>
    </row>
    <row r="1495" ht="30" customHeight="1" s="45">
      <c r="A1495" s="5" t="n"/>
      <c r="B1495" s="5" t="n"/>
      <c r="C1495" s="5" t="n"/>
      <c r="D1495" s="5" t="n"/>
      <c r="E1495" s="5" t="n"/>
      <c r="F1495" s="5" t="n"/>
      <c r="G1495" s="5" t="n"/>
      <c r="H1495" s="5" t="n"/>
      <c r="I1495" s="5" t="n"/>
      <c r="J1495" s="5" t="n"/>
    </row>
    <row r="1496" ht="30" customHeight="1" s="45">
      <c r="A1496" s="5" t="n"/>
      <c r="B1496" s="5" t="n"/>
      <c r="C1496" s="5" t="n"/>
      <c r="D1496" s="5" t="n"/>
      <c r="E1496" s="5" t="n"/>
      <c r="F1496" s="5" t="n"/>
      <c r="G1496" s="5" t="n"/>
      <c r="H1496" s="5" t="n"/>
      <c r="I1496" s="5" t="n"/>
      <c r="J1496" s="5" t="n"/>
    </row>
    <row r="1497" ht="30" customHeight="1" s="45">
      <c r="A1497" s="5" t="n"/>
      <c r="B1497" s="5" t="n"/>
      <c r="C1497" s="5" t="n"/>
      <c r="D1497" s="5" t="n"/>
      <c r="E1497" s="5" t="n"/>
      <c r="F1497" s="5" t="n"/>
      <c r="G1497" s="5" t="n"/>
      <c r="H1497" s="5" t="n"/>
      <c r="I1497" s="5" t="n"/>
      <c r="J1497" s="5" t="n"/>
    </row>
    <row r="1498" ht="30" customHeight="1" s="45">
      <c r="A1498" s="5" t="n"/>
      <c r="B1498" s="5" t="n"/>
      <c r="C1498" s="5" t="n"/>
      <c r="D1498" s="5" t="n"/>
      <c r="E1498" s="5" t="n"/>
      <c r="F1498" s="5" t="n"/>
      <c r="G1498" s="5" t="n"/>
      <c r="H1498" s="5" t="n"/>
      <c r="I1498" s="5" t="n"/>
      <c r="J1498" s="5" t="n"/>
    </row>
    <row r="1499" ht="30" customHeight="1" s="45">
      <c r="A1499" s="5" t="n"/>
      <c r="B1499" s="5" t="n"/>
      <c r="C1499" s="5" t="n"/>
      <c r="D1499" s="5" t="n"/>
      <c r="E1499" s="5" t="n"/>
      <c r="F1499" s="5" t="n"/>
      <c r="G1499" s="5" t="n"/>
      <c r="H1499" s="5" t="n"/>
      <c r="I1499" s="5" t="n"/>
      <c r="J1499" s="5" t="n"/>
    </row>
    <row r="1500" ht="30" customHeight="1" s="45">
      <c r="A1500" s="5" t="n"/>
      <c r="B1500" s="5" t="n"/>
      <c r="C1500" s="5" t="n"/>
      <c r="D1500" s="5" t="n"/>
      <c r="E1500" s="5" t="n"/>
      <c r="F1500" s="5" t="n"/>
      <c r="G1500" s="5" t="n"/>
      <c r="H1500" s="5" t="n"/>
      <c r="I1500" s="5" t="n"/>
      <c r="J1500" s="5" t="n"/>
    </row>
    <row r="1501" ht="30" customHeight="1" s="45">
      <c r="A1501" s="5" t="n"/>
      <c r="B1501" s="5" t="n"/>
      <c r="C1501" s="5" t="n"/>
      <c r="D1501" s="5" t="n"/>
      <c r="E1501" s="5" t="n"/>
      <c r="F1501" s="5" t="n"/>
      <c r="G1501" s="5" t="n"/>
      <c r="H1501" s="5" t="n"/>
      <c r="I1501" s="5" t="n"/>
      <c r="J1501" s="5" t="n"/>
    </row>
    <row r="1502" ht="30" customHeight="1" s="45">
      <c r="A1502" s="5" t="n"/>
      <c r="B1502" s="5" t="n"/>
      <c r="C1502" s="5" t="n"/>
      <c r="D1502" s="5" t="n"/>
      <c r="E1502" s="5" t="n"/>
      <c r="F1502" s="5" t="n"/>
      <c r="G1502" s="5" t="n"/>
      <c r="H1502" s="5" t="n"/>
      <c r="I1502" s="5" t="n"/>
      <c r="J1502" s="5" t="n"/>
    </row>
    <row r="1503" ht="30" customHeight="1" s="45">
      <c r="A1503" s="5" t="n"/>
      <c r="B1503" s="5" t="n"/>
      <c r="C1503" s="5" t="n"/>
      <c r="D1503" s="5" t="n"/>
      <c r="E1503" s="5" t="n"/>
      <c r="F1503" s="5" t="n"/>
      <c r="G1503" s="5" t="n"/>
      <c r="H1503" s="5" t="n"/>
      <c r="I1503" s="5" t="n"/>
      <c r="J1503" s="5" t="n"/>
    </row>
    <row r="1504" ht="30" customHeight="1" s="45">
      <c r="A1504" s="5" t="n"/>
      <c r="B1504" s="5" t="n"/>
      <c r="C1504" s="5" t="n"/>
      <c r="D1504" s="5" t="n"/>
      <c r="E1504" s="5" t="n"/>
      <c r="F1504" s="5" t="n"/>
      <c r="G1504" s="5" t="n"/>
      <c r="H1504" s="5" t="n"/>
      <c r="I1504" s="5" t="n"/>
      <c r="J1504" s="5" t="n"/>
    </row>
    <row r="1505" ht="30" customHeight="1" s="45">
      <c r="A1505" s="5" t="n"/>
      <c r="B1505" s="5" t="n"/>
      <c r="C1505" s="5" t="n"/>
      <c r="D1505" s="5" t="n"/>
      <c r="E1505" s="5" t="n"/>
      <c r="F1505" s="5" t="n"/>
      <c r="G1505" s="5" t="n"/>
      <c r="H1505" s="5" t="n"/>
      <c r="I1505" s="5" t="n"/>
      <c r="J1505" s="5" t="n"/>
    </row>
    <row r="1506" ht="30" customHeight="1" s="45">
      <c r="A1506" s="5" t="n"/>
      <c r="B1506" s="5" t="n"/>
      <c r="C1506" s="5" t="n"/>
      <c r="D1506" s="5" t="n"/>
      <c r="E1506" s="5" t="n"/>
      <c r="F1506" s="5" t="n"/>
      <c r="G1506" s="5" t="n"/>
      <c r="H1506" s="5" t="n"/>
      <c r="I1506" s="5" t="n"/>
      <c r="J1506" s="5" t="n"/>
    </row>
    <row r="1507" ht="30" customHeight="1" s="45">
      <c r="A1507" s="5" t="n"/>
      <c r="B1507" s="5" t="n"/>
      <c r="C1507" s="5" t="n"/>
      <c r="D1507" s="5" t="n"/>
      <c r="E1507" s="5" t="n"/>
      <c r="F1507" s="5" t="n"/>
      <c r="G1507" s="5" t="n"/>
      <c r="H1507" s="5" t="n"/>
      <c r="I1507" s="5" t="n"/>
      <c r="J1507" s="5" t="n"/>
    </row>
    <row r="1508" ht="30" customHeight="1" s="45">
      <c r="A1508" s="5" t="n"/>
      <c r="B1508" s="5" t="n"/>
      <c r="C1508" s="5" t="n"/>
      <c r="D1508" s="5" t="n"/>
      <c r="E1508" s="5" t="n"/>
      <c r="F1508" s="5" t="n"/>
      <c r="G1508" s="5" t="n"/>
      <c r="H1508" s="5" t="n"/>
      <c r="I1508" s="5" t="n"/>
      <c r="J1508" s="5" t="n"/>
    </row>
    <row r="1509" ht="30" customHeight="1" s="45">
      <c r="A1509" s="5" t="n"/>
      <c r="B1509" s="5" t="n"/>
      <c r="C1509" s="5" t="n"/>
      <c r="D1509" s="5" t="n"/>
      <c r="E1509" s="5" t="n"/>
      <c r="F1509" s="5" t="n"/>
      <c r="G1509" s="5" t="n"/>
      <c r="H1509" s="5" t="n"/>
      <c r="I1509" s="5" t="n"/>
      <c r="J1509" s="5" t="n"/>
    </row>
    <row r="1510" ht="30" customHeight="1" s="45">
      <c r="A1510" s="5" t="n"/>
      <c r="B1510" s="5" t="n"/>
      <c r="C1510" s="5" t="n"/>
      <c r="D1510" s="5" t="n"/>
      <c r="E1510" s="5" t="n"/>
      <c r="F1510" s="5" t="n"/>
      <c r="G1510" s="5" t="n"/>
      <c r="H1510" s="5" t="n"/>
      <c r="I1510" s="5" t="n"/>
      <c r="J1510" s="5" t="n"/>
    </row>
    <row r="1511" ht="30" customHeight="1" s="45">
      <c r="A1511" s="5" t="n"/>
      <c r="B1511" s="5" t="n"/>
      <c r="C1511" s="5" t="n"/>
      <c r="D1511" s="5" t="n"/>
      <c r="E1511" s="5" t="n"/>
      <c r="F1511" s="5" t="n"/>
      <c r="G1511" s="5" t="n"/>
      <c r="H1511" s="5" t="n"/>
      <c r="I1511" s="5" t="n"/>
      <c r="J1511" s="5" t="n"/>
    </row>
    <row r="1512" ht="30" customHeight="1" s="45">
      <c r="A1512" s="5" t="n"/>
      <c r="B1512" s="5" t="n"/>
      <c r="C1512" s="5" t="n"/>
      <c r="D1512" s="5" t="n"/>
      <c r="E1512" s="5" t="n"/>
      <c r="F1512" s="5" t="n"/>
      <c r="G1512" s="5" t="n"/>
      <c r="H1512" s="5" t="n"/>
      <c r="I1512" s="5" t="n"/>
      <c r="J1512" s="5" t="n"/>
    </row>
    <row r="1513" ht="30" customHeight="1" s="45">
      <c r="A1513" s="5" t="n"/>
      <c r="B1513" s="5" t="n"/>
      <c r="C1513" s="5" t="n"/>
      <c r="D1513" s="5" t="n"/>
      <c r="E1513" s="5" t="n"/>
      <c r="F1513" s="5" t="n"/>
      <c r="G1513" s="5" t="n"/>
      <c r="H1513" s="5" t="n"/>
      <c r="I1513" s="5" t="n"/>
      <c r="J1513" s="5" t="n"/>
    </row>
    <row r="1514" ht="30" customHeight="1" s="45">
      <c r="A1514" s="5" t="n"/>
      <c r="B1514" s="5" t="n"/>
      <c r="C1514" s="5" t="n"/>
      <c r="D1514" s="5" t="n"/>
      <c r="E1514" s="5" t="n"/>
      <c r="F1514" s="5" t="n"/>
      <c r="G1514" s="5" t="n"/>
      <c r="H1514" s="5" t="n"/>
      <c r="I1514" s="5" t="n"/>
      <c r="J1514" s="5" t="n"/>
    </row>
    <row r="1515" ht="30" customHeight="1" s="45">
      <c r="A1515" s="5" t="n"/>
      <c r="B1515" s="5" t="n"/>
      <c r="C1515" s="5" t="n"/>
      <c r="D1515" s="5" t="n"/>
      <c r="E1515" s="5" t="n"/>
      <c r="F1515" s="5" t="n"/>
      <c r="G1515" s="5" t="n"/>
      <c r="H1515" s="5" t="n"/>
      <c r="I1515" s="5" t="n"/>
      <c r="J1515" s="5" t="n"/>
    </row>
    <row r="1516" ht="30" customHeight="1" s="45">
      <c r="A1516" s="5" t="n"/>
      <c r="B1516" s="5" t="n"/>
      <c r="C1516" s="5" t="n"/>
      <c r="D1516" s="5" t="n"/>
      <c r="E1516" s="5" t="n"/>
      <c r="F1516" s="5" t="n"/>
      <c r="G1516" s="5" t="n"/>
      <c r="H1516" s="5" t="n"/>
      <c r="I1516" s="5" t="n"/>
      <c r="J1516" s="5" t="n"/>
    </row>
    <row r="1517" ht="30" customHeight="1" s="45">
      <c r="A1517" s="5" t="n"/>
      <c r="B1517" s="5" t="n"/>
      <c r="C1517" s="5" t="n"/>
      <c r="D1517" s="5" t="n"/>
      <c r="E1517" s="5" t="n"/>
      <c r="F1517" s="5" t="n"/>
      <c r="G1517" s="5" t="n"/>
      <c r="H1517" s="5" t="n"/>
      <c r="I1517" s="5" t="n"/>
      <c r="J1517" s="5" t="n"/>
    </row>
    <row r="1518" ht="30" customHeight="1" s="45">
      <c r="A1518" s="5" t="n"/>
      <c r="B1518" s="5" t="n"/>
      <c r="C1518" s="5" t="n"/>
      <c r="D1518" s="5" t="n"/>
      <c r="E1518" s="5" t="n"/>
      <c r="F1518" s="5" t="n"/>
      <c r="G1518" s="5" t="n"/>
      <c r="H1518" s="5" t="n"/>
      <c r="I1518" s="5" t="n"/>
      <c r="J1518" s="5" t="n"/>
    </row>
    <row r="1519" ht="30" customHeight="1" s="45">
      <c r="A1519" s="5" t="n"/>
      <c r="B1519" s="5" t="n"/>
      <c r="C1519" s="5" t="n"/>
      <c r="D1519" s="5" t="n"/>
      <c r="E1519" s="5" t="n"/>
      <c r="F1519" s="5" t="n"/>
      <c r="G1519" s="5" t="n"/>
      <c r="H1519" s="5" t="n"/>
      <c r="I1519" s="5" t="n"/>
      <c r="J1519" s="5" t="n"/>
    </row>
    <row r="1520" ht="30" customHeight="1" s="45">
      <c r="A1520" s="5" t="n"/>
      <c r="B1520" s="5" t="n"/>
      <c r="C1520" s="5" t="n"/>
      <c r="D1520" s="5" t="n"/>
      <c r="E1520" s="5" t="n"/>
      <c r="F1520" s="5" t="n"/>
      <c r="G1520" s="5" t="n"/>
      <c r="H1520" s="5" t="n"/>
      <c r="I1520" s="5" t="n"/>
      <c r="J1520" s="5" t="n"/>
    </row>
    <row r="1521" ht="30" customHeight="1" s="45">
      <c r="A1521" s="5" t="n"/>
      <c r="B1521" s="5" t="n"/>
      <c r="C1521" s="5" t="n"/>
      <c r="D1521" s="5" t="n"/>
      <c r="E1521" s="5" t="n"/>
      <c r="F1521" s="5" t="n"/>
      <c r="G1521" s="5" t="n"/>
      <c r="H1521" s="5" t="n"/>
      <c r="I1521" s="5" t="n"/>
      <c r="J1521" s="5" t="n"/>
    </row>
    <row r="1522" ht="30" customHeight="1" s="45">
      <c r="A1522" s="5" t="n"/>
      <c r="B1522" s="5" t="n"/>
      <c r="C1522" s="5" t="n"/>
      <c r="D1522" s="5" t="n"/>
      <c r="E1522" s="5" t="n"/>
      <c r="F1522" s="5" t="n"/>
      <c r="G1522" s="5" t="n"/>
      <c r="H1522" s="5" t="n"/>
      <c r="I1522" s="5" t="n"/>
      <c r="J1522" s="5" t="n"/>
    </row>
    <row r="1523" ht="30" customHeight="1" s="45">
      <c r="A1523" s="5" t="n"/>
      <c r="B1523" s="5" t="n"/>
      <c r="C1523" s="5" t="n"/>
      <c r="D1523" s="5" t="n"/>
      <c r="E1523" s="5" t="n"/>
      <c r="F1523" s="5" t="n"/>
      <c r="G1523" s="5" t="n"/>
      <c r="H1523" s="5" t="n"/>
      <c r="I1523" s="5" t="n"/>
      <c r="J1523" s="5" t="n"/>
    </row>
    <row r="1524" ht="30" customHeight="1" s="45">
      <c r="A1524" s="5" t="n"/>
      <c r="B1524" s="5" t="n"/>
      <c r="C1524" s="5" t="n"/>
      <c r="D1524" s="5" t="n"/>
      <c r="E1524" s="5" t="n"/>
      <c r="F1524" s="5" t="n"/>
      <c r="G1524" s="5" t="n"/>
      <c r="H1524" s="5" t="n"/>
      <c r="I1524" s="5" t="n"/>
      <c r="J1524" s="5" t="n"/>
    </row>
    <row r="1525" ht="30" customHeight="1" s="45">
      <c r="A1525" s="5" t="n"/>
      <c r="B1525" s="5" t="n"/>
      <c r="C1525" s="5" t="n"/>
      <c r="D1525" s="5" t="n"/>
      <c r="E1525" s="5" t="n"/>
      <c r="F1525" s="5" t="n"/>
      <c r="G1525" s="5" t="n"/>
      <c r="H1525" s="5" t="n"/>
      <c r="I1525" s="5" t="n"/>
      <c r="J1525" s="5" t="n"/>
    </row>
    <row r="1526" ht="30" customHeight="1" s="45">
      <c r="A1526" s="5" t="n"/>
      <c r="B1526" s="5" t="n"/>
      <c r="C1526" s="5" t="n"/>
      <c r="D1526" s="5" t="n"/>
      <c r="E1526" s="5" t="n"/>
      <c r="F1526" s="5" t="n"/>
      <c r="G1526" s="5" t="n"/>
      <c r="H1526" s="5" t="n"/>
      <c r="I1526" s="5" t="n"/>
      <c r="J1526" s="5" t="n"/>
    </row>
    <row r="1527" ht="30" customHeight="1" s="45">
      <c r="A1527" s="5" t="n"/>
      <c r="B1527" s="5" t="n"/>
      <c r="C1527" s="5" t="n"/>
      <c r="D1527" s="5" t="n"/>
      <c r="E1527" s="5" t="n"/>
      <c r="F1527" s="5" t="n"/>
      <c r="G1527" s="5" t="n"/>
      <c r="H1527" s="5" t="n"/>
      <c r="I1527" s="5" t="n"/>
      <c r="J1527" s="5" t="n"/>
    </row>
    <row r="1528" ht="30" customHeight="1" s="45">
      <c r="A1528" s="5" t="n"/>
      <c r="B1528" s="5" t="n"/>
      <c r="C1528" s="5" t="n"/>
      <c r="D1528" s="5" t="n"/>
      <c r="E1528" s="5" t="n"/>
      <c r="F1528" s="5" t="n"/>
      <c r="G1528" s="5" t="n"/>
      <c r="H1528" s="5" t="n"/>
      <c r="I1528" s="5" t="n"/>
      <c r="J1528" s="5" t="n"/>
    </row>
    <row r="1529" ht="30" customHeight="1" s="45">
      <c r="A1529" s="5" t="n"/>
      <c r="B1529" s="5" t="n"/>
      <c r="C1529" s="5" t="n"/>
      <c r="D1529" s="5" t="n"/>
      <c r="E1529" s="5" t="n"/>
      <c r="F1529" s="5" t="n"/>
      <c r="G1529" s="5" t="n"/>
      <c r="H1529" s="5" t="n"/>
      <c r="I1529" s="5" t="n"/>
      <c r="J1529" s="5" t="n"/>
    </row>
    <row r="1530" ht="30" customHeight="1" s="45">
      <c r="A1530" s="5" t="n"/>
      <c r="B1530" s="5" t="n"/>
      <c r="C1530" s="5" t="n"/>
      <c r="D1530" s="5" t="n"/>
      <c r="E1530" s="5" t="n"/>
      <c r="F1530" s="5" t="n"/>
      <c r="G1530" s="5" t="n"/>
      <c r="H1530" s="5" t="n"/>
      <c r="I1530" s="5" t="n"/>
      <c r="J1530" s="5" t="n"/>
    </row>
    <row r="1531" ht="30" customHeight="1" s="45">
      <c r="A1531" s="5" t="n"/>
      <c r="B1531" s="5" t="n"/>
      <c r="C1531" s="5" t="n"/>
      <c r="D1531" s="5" t="n"/>
      <c r="E1531" s="5" t="n"/>
      <c r="F1531" s="5" t="n"/>
      <c r="G1531" s="5" t="n"/>
      <c r="H1531" s="5" t="n"/>
      <c r="I1531" s="5" t="n"/>
      <c r="J1531" s="5" t="n"/>
    </row>
    <row r="1532" ht="30" customHeight="1" s="45">
      <c r="A1532" s="5" t="n"/>
      <c r="B1532" s="5" t="n"/>
      <c r="C1532" s="5" t="n"/>
      <c r="D1532" s="5" t="n"/>
      <c r="E1532" s="5" t="n"/>
      <c r="F1532" s="5" t="n"/>
      <c r="G1532" s="5" t="n"/>
      <c r="H1532" s="5" t="n"/>
      <c r="I1532" s="5" t="n"/>
      <c r="J1532" s="5" t="n"/>
    </row>
    <row r="1533" ht="30" customHeight="1" s="45">
      <c r="A1533" s="5" t="n"/>
      <c r="B1533" s="5" t="n"/>
      <c r="C1533" s="5" t="n"/>
      <c r="D1533" s="5" t="n"/>
      <c r="E1533" s="5" t="n"/>
      <c r="F1533" s="5" t="n"/>
      <c r="G1533" s="5" t="n"/>
      <c r="H1533" s="5" t="n"/>
      <c r="I1533" s="5" t="n"/>
      <c r="J1533" s="5" t="n"/>
    </row>
    <row r="1534" ht="30" customHeight="1" s="45">
      <c r="A1534" s="5" t="n"/>
      <c r="B1534" s="5" t="n"/>
      <c r="C1534" s="5" t="n"/>
      <c r="D1534" s="5" t="n"/>
      <c r="E1534" s="5" t="n"/>
      <c r="F1534" s="5" t="n"/>
      <c r="G1534" s="5" t="n"/>
      <c r="H1534" s="5" t="n"/>
      <c r="I1534" s="5" t="n"/>
      <c r="J1534" s="5" t="n"/>
    </row>
    <row r="1535" ht="30" customHeight="1" s="45">
      <c r="A1535" s="5" t="n"/>
      <c r="B1535" s="5" t="n"/>
      <c r="C1535" s="5" t="n"/>
      <c r="D1535" s="5" t="n"/>
      <c r="E1535" s="5" t="n"/>
      <c r="F1535" s="5" t="n"/>
      <c r="G1535" s="5" t="n"/>
      <c r="H1535" s="5" t="n"/>
      <c r="I1535" s="5" t="n"/>
      <c r="J1535" s="5" t="n"/>
    </row>
    <row r="1536" ht="30" customHeight="1" s="45">
      <c r="A1536" s="5" t="n"/>
      <c r="B1536" s="5" t="n"/>
      <c r="C1536" s="5" t="n"/>
      <c r="D1536" s="5" t="n"/>
      <c r="E1536" s="5" t="n"/>
      <c r="F1536" s="5" t="n"/>
      <c r="G1536" s="5" t="n"/>
      <c r="H1536" s="5" t="n"/>
      <c r="I1536" s="5" t="n"/>
      <c r="J1536" s="5" t="n"/>
    </row>
    <row r="1537" ht="30" customHeight="1" s="45">
      <c r="A1537" s="5" t="n"/>
      <c r="B1537" s="5" t="n"/>
      <c r="C1537" s="5" t="n"/>
      <c r="D1537" s="5" t="n"/>
      <c r="E1537" s="5" t="n"/>
      <c r="F1537" s="5" t="n"/>
      <c r="G1537" s="5" t="n"/>
      <c r="H1537" s="5" t="n"/>
      <c r="I1537" s="5" t="n"/>
      <c r="J1537" s="5" t="n"/>
    </row>
    <row r="1538" ht="30" customHeight="1" s="45">
      <c r="A1538" s="5" t="n"/>
      <c r="B1538" s="5" t="n"/>
      <c r="C1538" s="5" t="n"/>
      <c r="D1538" s="5" t="n"/>
      <c r="E1538" s="5" t="n"/>
      <c r="F1538" s="5" t="n"/>
      <c r="G1538" s="5" t="n"/>
      <c r="H1538" s="5" t="n"/>
      <c r="I1538" s="5" t="n"/>
      <c r="J1538" s="5" t="n"/>
    </row>
    <row r="1539" ht="30" customHeight="1" s="45">
      <c r="A1539" s="5" t="n"/>
      <c r="B1539" s="5" t="n"/>
      <c r="C1539" s="5" t="n"/>
      <c r="D1539" s="5" t="n"/>
      <c r="E1539" s="5" t="n"/>
      <c r="F1539" s="5" t="n"/>
      <c r="G1539" s="5" t="n"/>
      <c r="H1539" s="5" t="n"/>
      <c r="I1539" s="5" t="n"/>
      <c r="J1539" s="5" t="n"/>
    </row>
    <row r="1540" ht="30" customHeight="1" s="45">
      <c r="A1540" s="5" t="n"/>
      <c r="B1540" s="5" t="n"/>
      <c r="C1540" s="5" t="n"/>
      <c r="D1540" s="5" t="n"/>
      <c r="E1540" s="5" t="n"/>
      <c r="F1540" s="5" t="n"/>
      <c r="G1540" s="5" t="n"/>
      <c r="H1540" s="5" t="n"/>
      <c r="I1540" s="5" t="n"/>
      <c r="J1540" s="5" t="n"/>
    </row>
    <row r="1541" ht="30" customHeight="1" s="45">
      <c r="A1541" s="5" t="n"/>
      <c r="B1541" s="5" t="n"/>
      <c r="C1541" s="5" t="n"/>
      <c r="D1541" s="5" t="n"/>
      <c r="E1541" s="5" t="n"/>
      <c r="F1541" s="5" t="n"/>
      <c r="G1541" s="5" t="n"/>
      <c r="H1541" s="5" t="n"/>
      <c r="I1541" s="5" t="n"/>
      <c r="J1541" s="5" t="n"/>
    </row>
    <row r="1542" ht="30" customHeight="1" s="45">
      <c r="A1542" s="5" t="n"/>
      <c r="B1542" s="5" t="n"/>
      <c r="C1542" s="5" t="n"/>
      <c r="D1542" s="5" t="n"/>
      <c r="E1542" s="5" t="n"/>
      <c r="F1542" s="5" t="n"/>
      <c r="G1542" s="5" t="n"/>
      <c r="H1542" s="5" t="n"/>
      <c r="I1542" s="5" t="n"/>
      <c r="J1542" s="5" t="n"/>
    </row>
    <row r="1543" ht="30" customHeight="1" s="45">
      <c r="A1543" s="5" t="n"/>
      <c r="B1543" s="5" t="n"/>
      <c r="C1543" s="5" t="n"/>
      <c r="D1543" s="5" t="n"/>
      <c r="E1543" s="5" t="n"/>
      <c r="F1543" s="5" t="n"/>
      <c r="G1543" s="5" t="n"/>
      <c r="H1543" s="5" t="n"/>
      <c r="I1543" s="5" t="n"/>
      <c r="J1543" s="5" t="n"/>
    </row>
    <row r="1544" ht="30" customHeight="1" s="45">
      <c r="A1544" s="5" t="n"/>
      <c r="B1544" s="5" t="n"/>
      <c r="C1544" s="5" t="n"/>
      <c r="D1544" s="5" t="n"/>
      <c r="E1544" s="5" t="n"/>
      <c r="F1544" s="5" t="n"/>
      <c r="G1544" s="5" t="n"/>
      <c r="H1544" s="5" t="n"/>
      <c r="I1544" s="5" t="n"/>
      <c r="J1544" s="5" t="n"/>
    </row>
    <row r="1545" ht="30" customHeight="1" s="45">
      <c r="A1545" s="5" t="n"/>
      <c r="B1545" s="5" t="n"/>
      <c r="C1545" s="5" t="n"/>
      <c r="D1545" s="5" t="n"/>
      <c r="E1545" s="5" t="n"/>
      <c r="F1545" s="5" t="n"/>
      <c r="G1545" s="5" t="n"/>
      <c r="H1545" s="5" t="n"/>
      <c r="I1545" s="5" t="n"/>
      <c r="J1545" s="5" t="n"/>
    </row>
    <row r="1546" ht="30" customHeight="1" s="45">
      <c r="A1546" s="5" t="n"/>
      <c r="B1546" s="5" t="n"/>
      <c r="C1546" s="5" t="n"/>
      <c r="D1546" s="5" t="n"/>
      <c r="E1546" s="5" t="n"/>
      <c r="F1546" s="5" t="n"/>
      <c r="G1546" s="5" t="n"/>
      <c r="H1546" s="5" t="n"/>
      <c r="I1546" s="5" t="n"/>
      <c r="J1546" s="5" t="n"/>
    </row>
    <row r="1547" ht="30" customHeight="1" s="45">
      <c r="A1547" s="5" t="n"/>
      <c r="B1547" s="5" t="n"/>
      <c r="C1547" s="5" t="n"/>
      <c r="D1547" s="5" t="n"/>
      <c r="E1547" s="5" t="n"/>
      <c r="F1547" s="5" t="n"/>
      <c r="G1547" s="5" t="n"/>
      <c r="H1547" s="5" t="n"/>
      <c r="I1547" s="5" t="n"/>
      <c r="J1547" s="5" t="n"/>
    </row>
    <row r="1548" ht="30" customHeight="1" s="45">
      <c r="A1548" s="5" t="n"/>
      <c r="B1548" s="5" t="n"/>
      <c r="C1548" s="5" t="n"/>
      <c r="D1548" s="5" t="n"/>
      <c r="E1548" s="5" t="n"/>
      <c r="F1548" s="5" t="n"/>
      <c r="G1548" s="5" t="n"/>
      <c r="H1548" s="5" t="n"/>
      <c r="I1548" s="5" t="n"/>
      <c r="J1548" s="5" t="n"/>
    </row>
    <row r="1549" ht="30" customHeight="1" s="45">
      <c r="A1549" s="5" t="n"/>
      <c r="B1549" s="5" t="n"/>
      <c r="C1549" s="5" t="n"/>
      <c r="D1549" s="5" t="n"/>
      <c r="E1549" s="5" t="n"/>
      <c r="F1549" s="5" t="n"/>
      <c r="G1549" s="5" t="n"/>
      <c r="H1549" s="5" t="n"/>
      <c r="I1549" s="5" t="n"/>
      <c r="J1549" s="5" t="n"/>
    </row>
    <row r="1550" ht="30" customHeight="1" s="45">
      <c r="A1550" s="5" t="n"/>
      <c r="B1550" s="5" t="n"/>
      <c r="C1550" s="5" t="n"/>
      <c r="D1550" s="5" t="n"/>
      <c r="E1550" s="5" t="n"/>
      <c r="F1550" s="5" t="n"/>
      <c r="G1550" s="5" t="n"/>
      <c r="H1550" s="5" t="n"/>
      <c r="I1550" s="5" t="n"/>
      <c r="J1550" s="5" t="n"/>
    </row>
    <row r="1551" ht="30" customHeight="1" s="45">
      <c r="A1551" s="5" t="n"/>
      <c r="B1551" s="5" t="n"/>
      <c r="C1551" s="5" t="n"/>
      <c r="D1551" s="5" t="n"/>
      <c r="E1551" s="5" t="n"/>
      <c r="F1551" s="5" t="n"/>
      <c r="G1551" s="5" t="n"/>
      <c r="H1551" s="5" t="n"/>
      <c r="I1551" s="5" t="n"/>
      <c r="J1551" s="5" t="n"/>
    </row>
    <row r="1552" ht="30" customHeight="1" s="45">
      <c r="A1552" s="5" t="n"/>
      <c r="B1552" s="5" t="n"/>
      <c r="C1552" s="5" t="n"/>
      <c r="D1552" s="5" t="n"/>
      <c r="E1552" s="5" t="n"/>
      <c r="F1552" s="5" t="n"/>
      <c r="G1552" s="5" t="n"/>
      <c r="H1552" s="5" t="n"/>
      <c r="I1552" s="5" t="n"/>
      <c r="J1552" s="5" t="n"/>
    </row>
    <row r="1553" ht="30" customHeight="1" s="45">
      <c r="A1553" s="5" t="n"/>
      <c r="B1553" s="5" t="n"/>
      <c r="C1553" s="5" t="n"/>
      <c r="D1553" s="5" t="n"/>
      <c r="E1553" s="5" t="n"/>
      <c r="F1553" s="5" t="n"/>
      <c r="G1553" s="5" t="n"/>
      <c r="H1553" s="5" t="n"/>
      <c r="I1553" s="5" t="n"/>
      <c r="J1553" s="5" t="n"/>
    </row>
    <row r="1554" ht="30" customHeight="1" s="45">
      <c r="A1554" s="5" t="n"/>
      <c r="B1554" s="5" t="n"/>
      <c r="C1554" s="5" t="n"/>
      <c r="D1554" s="5" t="n"/>
      <c r="E1554" s="5" t="n"/>
      <c r="F1554" s="5" t="n"/>
      <c r="G1554" s="5" t="n"/>
      <c r="H1554" s="5" t="n"/>
      <c r="I1554" s="5" t="n"/>
      <c r="J1554" s="5" t="n"/>
    </row>
    <row r="1555" ht="30" customHeight="1" s="45">
      <c r="A1555" s="5" t="n"/>
      <c r="B1555" s="5" t="n"/>
      <c r="C1555" s="5" t="n"/>
      <c r="D1555" s="5" t="n"/>
      <c r="E1555" s="5" t="n"/>
      <c r="F1555" s="5" t="n"/>
      <c r="G1555" s="5" t="n"/>
      <c r="H1555" s="5" t="n"/>
      <c r="I1555" s="5" t="n"/>
      <c r="J1555" s="5" t="n"/>
    </row>
    <row r="1556" ht="30" customHeight="1" s="45">
      <c r="A1556" s="5" t="n"/>
      <c r="B1556" s="5" t="n"/>
      <c r="C1556" s="5" t="n"/>
      <c r="D1556" s="5" t="n"/>
      <c r="E1556" s="5" t="n"/>
      <c r="F1556" s="5" t="n"/>
      <c r="G1556" s="5" t="n"/>
      <c r="H1556" s="5" t="n"/>
      <c r="I1556" s="5" t="n"/>
      <c r="J1556" s="5" t="n"/>
    </row>
    <row r="1557" ht="30" customHeight="1" s="45">
      <c r="A1557" s="5" t="n"/>
      <c r="B1557" s="5" t="n"/>
      <c r="C1557" s="5" t="n"/>
      <c r="D1557" s="5" t="n"/>
      <c r="E1557" s="5" t="n"/>
      <c r="F1557" s="5" t="n"/>
      <c r="G1557" s="5" t="n"/>
      <c r="H1557" s="5" t="n"/>
      <c r="I1557" s="5" t="n"/>
      <c r="J1557" s="5" t="n"/>
    </row>
    <row r="1558" ht="30" customHeight="1" s="45">
      <c r="A1558" s="5" t="n"/>
      <c r="B1558" s="5" t="n"/>
      <c r="C1558" s="5" t="n"/>
      <c r="D1558" s="5" t="n"/>
      <c r="E1558" s="5" t="n"/>
      <c r="F1558" s="5" t="n"/>
      <c r="G1558" s="5" t="n"/>
      <c r="H1558" s="5" t="n"/>
      <c r="I1558" s="5" t="n"/>
      <c r="J1558" s="5" t="n"/>
    </row>
    <row r="1559" ht="30" customHeight="1" s="45">
      <c r="A1559" s="5" t="n"/>
      <c r="B1559" s="5" t="n"/>
      <c r="C1559" s="5" t="n"/>
      <c r="D1559" s="5" t="n"/>
      <c r="E1559" s="5" t="n"/>
      <c r="F1559" s="5" t="n"/>
      <c r="G1559" s="5" t="n"/>
      <c r="H1559" s="5" t="n"/>
      <c r="I1559" s="5" t="n"/>
      <c r="J1559" s="5" t="n"/>
    </row>
    <row r="1560" ht="30" customHeight="1" s="45">
      <c r="A1560" s="5" t="n"/>
      <c r="B1560" s="5" t="n"/>
      <c r="C1560" s="5" t="n"/>
      <c r="D1560" s="5" t="n"/>
      <c r="E1560" s="5" t="n"/>
      <c r="F1560" s="5" t="n"/>
      <c r="G1560" s="5" t="n"/>
      <c r="H1560" s="5" t="n"/>
      <c r="I1560" s="5" t="n"/>
      <c r="J1560" s="5" t="n"/>
    </row>
    <row r="1561" ht="30" customHeight="1" s="45">
      <c r="A1561" s="5" t="n"/>
      <c r="B1561" s="5" t="n"/>
      <c r="C1561" s="5" t="n"/>
      <c r="D1561" s="5" t="n"/>
      <c r="E1561" s="5" t="n"/>
      <c r="F1561" s="5" t="n"/>
      <c r="G1561" s="5" t="n"/>
      <c r="H1561" s="5" t="n"/>
      <c r="I1561" s="5" t="n"/>
      <c r="J1561" s="5" t="n"/>
    </row>
    <row r="1562" ht="30" customHeight="1" s="45">
      <c r="A1562" s="5" t="n"/>
      <c r="B1562" s="5" t="n"/>
      <c r="C1562" s="5" t="n"/>
      <c r="D1562" s="5" t="n"/>
      <c r="E1562" s="5" t="n"/>
      <c r="F1562" s="5" t="n"/>
      <c r="G1562" s="5" t="n"/>
      <c r="H1562" s="5" t="n"/>
      <c r="I1562" s="5" t="n"/>
      <c r="J1562" s="5" t="n"/>
    </row>
    <row r="1563" ht="30" customHeight="1" s="45">
      <c r="A1563" s="5" t="n"/>
      <c r="B1563" s="5" t="n"/>
      <c r="C1563" s="5" t="n"/>
      <c r="D1563" s="5" t="n"/>
      <c r="E1563" s="5" t="n"/>
      <c r="F1563" s="5" t="n"/>
      <c r="G1563" s="5" t="n"/>
      <c r="H1563" s="5" t="n"/>
      <c r="I1563" s="5" t="n"/>
      <c r="J1563" s="5" t="n"/>
    </row>
    <row r="1564" ht="30" customHeight="1" s="45">
      <c r="A1564" s="5" t="n"/>
      <c r="B1564" s="5" t="n"/>
      <c r="C1564" s="5" t="n"/>
      <c r="D1564" s="5" t="n"/>
      <c r="E1564" s="5" t="n"/>
      <c r="F1564" s="5" t="n"/>
      <c r="G1564" s="5" t="n"/>
      <c r="H1564" s="5" t="n"/>
      <c r="I1564" s="5" t="n"/>
      <c r="J1564" s="5" t="n"/>
    </row>
    <row r="1565" ht="30" customHeight="1" s="45">
      <c r="A1565" s="5" t="n"/>
      <c r="B1565" s="5" t="n"/>
      <c r="C1565" s="5" t="n"/>
      <c r="D1565" s="5" t="n"/>
      <c r="E1565" s="5" t="n"/>
      <c r="F1565" s="5" t="n"/>
      <c r="G1565" s="5" t="n"/>
      <c r="H1565" s="5" t="n"/>
      <c r="I1565" s="5" t="n"/>
      <c r="J1565" s="5" t="n"/>
    </row>
    <row r="1566" ht="30" customHeight="1" s="45">
      <c r="A1566" s="5" t="n"/>
      <c r="B1566" s="5" t="n"/>
      <c r="C1566" s="5" t="n"/>
      <c r="D1566" s="5" t="n"/>
      <c r="E1566" s="5" t="n"/>
      <c r="F1566" s="5" t="n"/>
      <c r="G1566" s="5" t="n"/>
      <c r="H1566" s="5" t="n"/>
      <c r="I1566" s="5" t="n"/>
      <c r="J1566" s="5" t="n"/>
    </row>
    <row r="1567" ht="30" customHeight="1" s="45">
      <c r="A1567" s="5" t="n"/>
      <c r="B1567" s="5" t="n"/>
      <c r="C1567" s="5" t="n"/>
      <c r="D1567" s="5" t="n"/>
      <c r="E1567" s="5" t="n"/>
      <c r="F1567" s="5" t="n"/>
      <c r="G1567" s="5" t="n"/>
      <c r="H1567" s="5" t="n"/>
      <c r="I1567" s="5" t="n"/>
      <c r="J1567" s="5" t="n"/>
    </row>
    <row r="1568" ht="30" customHeight="1" s="45">
      <c r="A1568" s="5" t="n"/>
      <c r="B1568" s="5" t="n"/>
      <c r="C1568" s="5" t="n"/>
      <c r="D1568" s="5" t="n"/>
      <c r="E1568" s="5" t="n"/>
      <c r="F1568" s="5" t="n"/>
      <c r="G1568" s="5" t="n"/>
      <c r="H1568" s="5" t="n"/>
      <c r="I1568" s="5" t="n"/>
      <c r="J1568" s="5" t="n"/>
    </row>
    <row r="1569" ht="30" customHeight="1" s="45">
      <c r="A1569" s="5" t="n"/>
      <c r="B1569" s="5" t="n"/>
      <c r="C1569" s="5" t="n"/>
      <c r="D1569" s="5" t="n"/>
      <c r="E1569" s="5" t="n"/>
      <c r="F1569" s="5" t="n"/>
      <c r="G1569" s="5" t="n"/>
      <c r="H1569" s="5" t="n"/>
      <c r="I1569" s="5" t="n"/>
      <c r="J1569" s="5" t="n"/>
    </row>
    <row r="1570" ht="30" customHeight="1" s="45">
      <c r="A1570" s="5" t="n"/>
      <c r="B1570" s="5" t="n"/>
      <c r="C1570" s="5" t="n"/>
      <c r="D1570" s="5" t="n"/>
      <c r="E1570" s="5" t="n"/>
      <c r="F1570" s="5" t="n"/>
      <c r="G1570" s="5" t="n"/>
      <c r="H1570" s="5" t="n"/>
      <c r="I1570" s="5" t="n"/>
      <c r="J1570" s="5" t="n"/>
    </row>
    <row r="1571" ht="30" customHeight="1" s="45">
      <c r="A1571" s="5" t="n"/>
      <c r="B1571" s="5" t="n"/>
      <c r="C1571" s="5" t="n"/>
      <c r="D1571" s="5" t="n"/>
      <c r="E1571" s="5" t="n"/>
      <c r="F1571" s="5" t="n"/>
      <c r="G1571" s="5" t="n"/>
      <c r="H1571" s="5" t="n"/>
      <c r="I1571" s="5" t="n"/>
      <c r="J1571" s="5" t="n"/>
    </row>
    <row r="1572" ht="30" customHeight="1" s="45">
      <c r="A1572" s="5" t="n"/>
      <c r="B1572" s="5" t="n"/>
      <c r="C1572" s="5" t="n"/>
      <c r="D1572" s="5" t="n"/>
      <c r="E1572" s="5" t="n"/>
      <c r="F1572" s="5" t="n"/>
      <c r="G1572" s="5" t="n"/>
      <c r="H1572" s="5" t="n"/>
      <c r="I1572" s="5" t="n"/>
      <c r="J1572" s="5" t="n"/>
    </row>
    <row r="1573" ht="30" customHeight="1" s="45">
      <c r="A1573" s="5" t="n"/>
      <c r="B1573" s="5" t="n"/>
      <c r="C1573" s="5" t="n"/>
      <c r="D1573" s="5" t="n"/>
      <c r="E1573" s="5" t="n"/>
      <c r="F1573" s="5" t="n"/>
      <c r="G1573" s="5" t="n"/>
      <c r="H1573" s="5" t="n"/>
      <c r="I1573" s="5" t="n"/>
      <c r="J1573" s="5" t="n"/>
    </row>
    <row r="1574" ht="30" customHeight="1" s="45">
      <c r="A1574" s="5" t="n"/>
      <c r="B1574" s="5" t="n"/>
      <c r="C1574" s="5" t="n"/>
      <c r="D1574" s="5" t="n"/>
      <c r="E1574" s="5" t="n"/>
      <c r="F1574" s="5" t="n"/>
      <c r="G1574" s="5" t="n"/>
      <c r="H1574" s="5" t="n"/>
      <c r="I1574" s="5" t="n"/>
      <c r="J1574" s="5" t="n"/>
    </row>
    <row r="1575" ht="30" customHeight="1" s="45">
      <c r="A1575" s="5" t="n"/>
      <c r="B1575" s="5" t="n"/>
      <c r="C1575" s="5" t="n"/>
      <c r="D1575" s="5" t="n"/>
      <c r="E1575" s="5" t="n"/>
      <c r="F1575" s="5" t="n"/>
      <c r="G1575" s="5" t="n"/>
      <c r="H1575" s="5" t="n"/>
      <c r="I1575" s="5" t="n"/>
      <c r="J1575" s="5" t="n"/>
    </row>
    <row r="1576" ht="30" customHeight="1" s="45">
      <c r="A1576" s="5" t="n"/>
      <c r="B1576" s="5" t="n"/>
      <c r="C1576" s="5" t="n"/>
      <c r="D1576" s="5" t="n"/>
      <c r="E1576" s="5" t="n"/>
      <c r="F1576" s="5" t="n"/>
      <c r="G1576" s="5" t="n"/>
      <c r="H1576" s="5" t="n"/>
      <c r="I1576" s="5" t="n"/>
      <c r="J1576" s="5" t="n"/>
    </row>
    <row r="1577" ht="30" customHeight="1" s="45">
      <c r="A1577" s="5" t="n"/>
      <c r="B1577" s="5" t="n"/>
      <c r="C1577" s="5" t="n"/>
      <c r="D1577" s="5" t="n"/>
      <c r="E1577" s="5" t="n"/>
      <c r="F1577" s="5" t="n"/>
      <c r="G1577" s="5" t="n"/>
      <c r="H1577" s="5" t="n"/>
      <c r="I1577" s="5" t="n"/>
      <c r="J1577" s="5" t="n"/>
    </row>
    <row r="1578" ht="30" customHeight="1" s="45">
      <c r="A1578" s="5" t="n"/>
      <c r="B1578" s="5" t="n"/>
      <c r="C1578" s="5" t="n"/>
      <c r="D1578" s="5" t="n"/>
      <c r="E1578" s="5" t="n"/>
      <c r="F1578" s="5" t="n"/>
      <c r="G1578" s="5" t="n"/>
      <c r="H1578" s="5" t="n"/>
      <c r="I1578" s="5" t="n"/>
      <c r="J1578" s="5" t="n"/>
    </row>
    <row r="1579" ht="30" customHeight="1" s="45">
      <c r="A1579" s="5" t="n"/>
      <c r="B1579" s="5" t="n"/>
      <c r="C1579" s="5" t="n"/>
      <c r="D1579" s="5" t="n"/>
      <c r="E1579" s="5" t="n"/>
      <c r="F1579" s="5" t="n"/>
      <c r="G1579" s="5" t="n"/>
      <c r="H1579" s="5" t="n"/>
      <c r="I1579" s="5" t="n"/>
      <c r="J1579" s="5" t="n"/>
    </row>
    <row r="1580" ht="30" customHeight="1" s="45">
      <c r="A1580" s="5" t="n"/>
      <c r="B1580" s="5" t="n"/>
      <c r="C1580" s="5" t="n"/>
      <c r="D1580" s="5" t="n"/>
      <c r="E1580" s="5" t="n"/>
      <c r="F1580" s="5" t="n"/>
      <c r="G1580" s="5" t="n"/>
      <c r="H1580" s="5" t="n"/>
      <c r="I1580" s="5" t="n"/>
      <c r="J1580" s="5" t="n"/>
    </row>
    <row r="1581" ht="30" customHeight="1" s="45">
      <c r="A1581" s="5" t="n"/>
      <c r="B1581" s="5" t="n"/>
      <c r="C1581" s="5" t="n"/>
      <c r="D1581" s="5" t="n"/>
      <c r="E1581" s="5" t="n"/>
      <c r="F1581" s="5" t="n"/>
      <c r="G1581" s="5" t="n"/>
      <c r="H1581" s="5" t="n"/>
      <c r="I1581" s="5" t="n"/>
      <c r="J1581" s="5" t="n"/>
    </row>
    <row r="1582" ht="30" customHeight="1" s="45">
      <c r="A1582" s="5" t="n"/>
      <c r="B1582" s="5" t="n"/>
      <c r="C1582" s="5" t="n"/>
      <c r="D1582" s="5" t="n"/>
      <c r="E1582" s="5" t="n"/>
      <c r="F1582" s="5" t="n"/>
      <c r="G1582" s="5" t="n"/>
      <c r="H1582" s="5" t="n"/>
      <c r="I1582" s="5" t="n"/>
      <c r="J1582" s="5" t="n"/>
    </row>
    <row r="1583" ht="30" customHeight="1" s="45">
      <c r="A1583" s="5" t="n"/>
      <c r="B1583" s="5" t="n"/>
      <c r="C1583" s="5" t="n"/>
      <c r="D1583" s="5" t="n"/>
      <c r="E1583" s="5" t="n"/>
      <c r="F1583" s="5" t="n"/>
      <c r="G1583" s="5" t="n"/>
      <c r="H1583" s="5" t="n"/>
      <c r="I1583" s="5" t="n"/>
      <c r="J1583" s="5" t="n"/>
    </row>
    <row r="1584" ht="30" customHeight="1" s="45">
      <c r="A1584" s="5" t="n"/>
      <c r="B1584" s="5" t="n"/>
      <c r="C1584" s="5" t="n"/>
      <c r="D1584" s="5" t="n"/>
      <c r="E1584" s="5" t="n"/>
      <c r="F1584" s="5" t="n"/>
      <c r="G1584" s="5" t="n"/>
      <c r="H1584" s="5" t="n"/>
      <c r="I1584" s="5" t="n"/>
      <c r="J1584" s="5" t="n"/>
    </row>
    <row r="1585" ht="30" customHeight="1" s="45">
      <c r="A1585" s="5" t="n"/>
      <c r="B1585" s="5" t="n"/>
      <c r="C1585" s="5" t="n"/>
      <c r="D1585" s="5" t="n"/>
      <c r="E1585" s="5" t="n"/>
      <c r="F1585" s="5" t="n"/>
      <c r="G1585" s="5" t="n"/>
      <c r="H1585" s="5" t="n"/>
      <c r="I1585" s="5" t="n"/>
      <c r="J1585" s="5" t="n"/>
    </row>
    <row r="1586" ht="30" customHeight="1" s="45">
      <c r="A1586" s="5" t="n"/>
      <c r="B1586" s="5" t="n"/>
      <c r="C1586" s="5" t="n"/>
      <c r="D1586" s="5" t="n"/>
      <c r="E1586" s="5" t="n"/>
      <c r="F1586" s="5" t="n"/>
      <c r="G1586" s="5" t="n"/>
      <c r="H1586" s="5" t="n"/>
      <c r="I1586" s="5" t="n"/>
      <c r="J1586" s="5" t="n"/>
    </row>
    <row r="1587" ht="30" customHeight="1" s="45">
      <c r="A1587" s="5" t="n"/>
      <c r="B1587" s="5" t="n"/>
      <c r="C1587" s="5" t="n"/>
      <c r="D1587" s="5" t="n"/>
      <c r="E1587" s="5" t="n"/>
      <c r="F1587" s="5" t="n"/>
      <c r="G1587" s="5" t="n"/>
      <c r="H1587" s="5" t="n"/>
      <c r="I1587" s="5" t="n"/>
      <c r="J1587" s="5" t="n"/>
    </row>
    <row r="1588" ht="30" customHeight="1" s="45">
      <c r="A1588" s="5" t="n"/>
      <c r="B1588" s="5" t="n"/>
      <c r="C1588" s="5" t="n"/>
      <c r="D1588" s="5" t="n"/>
      <c r="E1588" s="5" t="n"/>
      <c r="F1588" s="5" t="n"/>
      <c r="G1588" s="5" t="n"/>
      <c r="H1588" s="5" t="n"/>
      <c r="I1588" s="5" t="n"/>
      <c r="J1588" s="5" t="n"/>
    </row>
    <row r="1589" ht="30" customHeight="1" s="45">
      <c r="A1589" s="5" t="n"/>
      <c r="B1589" s="5" t="n"/>
      <c r="C1589" s="5" t="n"/>
      <c r="D1589" s="5" t="n"/>
      <c r="E1589" s="5" t="n"/>
      <c r="F1589" s="5" t="n"/>
      <c r="G1589" s="5" t="n"/>
      <c r="H1589" s="5" t="n"/>
      <c r="I1589" s="5" t="n"/>
      <c r="J1589" s="5" t="n"/>
    </row>
    <row r="1590" ht="30" customHeight="1" s="45">
      <c r="A1590" s="5" t="n"/>
      <c r="B1590" s="5" t="n"/>
      <c r="C1590" s="5" t="n"/>
      <c r="D1590" s="5" t="n"/>
      <c r="E1590" s="5" t="n"/>
      <c r="F1590" s="5" t="n"/>
      <c r="G1590" s="5" t="n"/>
      <c r="H1590" s="5" t="n"/>
      <c r="I1590" s="5" t="n"/>
      <c r="J1590" s="5" t="n"/>
    </row>
    <row r="1591" ht="30" customHeight="1" s="45">
      <c r="A1591" s="5" t="n"/>
      <c r="B1591" s="5" t="n"/>
      <c r="C1591" s="5" t="n"/>
      <c r="D1591" s="5" t="n"/>
      <c r="E1591" s="5" t="n"/>
      <c r="F1591" s="5" t="n"/>
      <c r="G1591" s="5" t="n"/>
      <c r="H1591" s="5" t="n"/>
      <c r="I1591" s="5" t="n"/>
      <c r="J1591" s="5" t="n"/>
    </row>
    <row r="1592" ht="30" customHeight="1" s="45">
      <c r="A1592" s="5" t="n"/>
      <c r="B1592" s="5" t="n"/>
      <c r="C1592" s="5" t="n"/>
      <c r="D1592" s="5" t="n"/>
      <c r="E1592" s="5" t="n"/>
      <c r="F1592" s="5" t="n"/>
      <c r="G1592" s="5" t="n"/>
      <c r="H1592" s="5" t="n"/>
      <c r="I1592" s="5" t="n"/>
      <c r="J1592" s="5" t="n"/>
    </row>
    <row r="1593" ht="30" customHeight="1" s="45">
      <c r="A1593" s="5" t="n"/>
      <c r="B1593" s="5" t="n"/>
      <c r="C1593" s="5" t="n"/>
      <c r="D1593" s="5" t="n"/>
      <c r="E1593" s="5" t="n"/>
      <c r="F1593" s="5" t="n"/>
      <c r="G1593" s="5" t="n"/>
      <c r="H1593" s="5" t="n"/>
      <c r="I1593" s="5" t="n"/>
      <c r="J1593" s="5" t="n"/>
    </row>
    <row r="1594" ht="30" customHeight="1" s="45">
      <c r="A1594" s="5" t="n"/>
      <c r="B1594" s="5" t="n"/>
      <c r="C1594" s="5" t="n"/>
      <c r="D1594" s="5" t="n"/>
      <c r="E1594" s="5" t="n"/>
      <c r="F1594" s="5" t="n"/>
      <c r="G1594" s="5" t="n"/>
      <c r="H1594" s="5" t="n"/>
      <c r="I1594" s="5" t="n"/>
      <c r="J1594" s="5" t="n"/>
    </row>
    <row r="1595" ht="30" customHeight="1" s="45">
      <c r="A1595" s="5" t="n"/>
      <c r="B1595" s="5" t="n"/>
      <c r="C1595" s="5" t="n"/>
      <c r="D1595" s="5" t="n"/>
      <c r="E1595" s="5" t="n"/>
      <c r="F1595" s="5" t="n"/>
      <c r="G1595" s="5" t="n"/>
      <c r="H1595" s="5" t="n"/>
      <c r="I1595" s="5" t="n"/>
      <c r="J1595" s="5" t="n"/>
    </row>
    <row r="1596" ht="30" customHeight="1" s="45">
      <c r="A1596" s="5" t="n"/>
      <c r="B1596" s="5" t="n"/>
      <c r="C1596" s="5" t="n"/>
      <c r="D1596" s="5" t="n"/>
      <c r="E1596" s="5" t="n"/>
      <c r="F1596" s="5" t="n"/>
      <c r="G1596" s="5" t="n"/>
      <c r="H1596" s="5" t="n"/>
      <c r="I1596" s="5" t="n"/>
      <c r="J1596" s="5" t="n"/>
    </row>
    <row r="1597" ht="30" customHeight="1" s="45">
      <c r="A1597" s="5" t="n"/>
      <c r="B1597" s="5" t="n"/>
      <c r="C1597" s="5" t="n"/>
      <c r="D1597" s="5" t="n"/>
      <c r="E1597" s="5" t="n"/>
      <c r="F1597" s="5" t="n"/>
      <c r="G1597" s="5" t="n"/>
      <c r="H1597" s="5" t="n"/>
      <c r="I1597" s="5" t="n"/>
      <c r="J1597" s="5" t="n"/>
    </row>
    <row r="1598" ht="30" customHeight="1" s="45">
      <c r="A1598" s="5" t="n"/>
      <c r="B1598" s="5" t="n"/>
      <c r="C1598" s="5" t="n"/>
      <c r="D1598" s="5" t="n"/>
      <c r="E1598" s="5" t="n"/>
      <c r="F1598" s="5" t="n"/>
      <c r="G1598" s="5" t="n"/>
      <c r="H1598" s="5" t="n"/>
      <c r="I1598" s="5" t="n"/>
      <c r="J1598" s="5" t="n"/>
    </row>
    <row r="1599" ht="30" customHeight="1" s="45">
      <c r="A1599" s="5" t="n"/>
      <c r="B1599" s="5" t="n"/>
      <c r="C1599" s="5" t="n"/>
      <c r="D1599" s="5" t="n"/>
      <c r="E1599" s="5" t="n"/>
      <c r="F1599" s="5" t="n"/>
      <c r="G1599" s="5" t="n"/>
      <c r="H1599" s="5" t="n"/>
      <c r="I1599" s="5" t="n"/>
      <c r="J1599" s="5" t="n"/>
    </row>
    <row r="1600" ht="30" customHeight="1" s="45">
      <c r="A1600" s="5" t="n"/>
      <c r="B1600" s="5" t="n"/>
      <c r="C1600" s="5" t="n"/>
      <c r="D1600" s="5" t="n"/>
      <c r="E1600" s="5" t="n"/>
      <c r="F1600" s="5" t="n"/>
      <c r="G1600" s="5" t="n"/>
      <c r="H1600" s="5" t="n"/>
      <c r="I1600" s="5" t="n"/>
      <c r="J1600" s="5" t="n"/>
    </row>
    <row r="1601" ht="30" customHeight="1" s="45">
      <c r="A1601" s="5" t="n"/>
      <c r="B1601" s="5" t="n"/>
      <c r="C1601" s="5" t="n"/>
      <c r="D1601" s="5" t="n"/>
      <c r="E1601" s="5" t="n"/>
      <c r="F1601" s="5" t="n"/>
      <c r="G1601" s="5" t="n"/>
      <c r="H1601" s="5" t="n"/>
      <c r="I1601" s="5" t="n"/>
      <c r="J1601" s="5" t="n"/>
    </row>
    <row r="1602" ht="30" customHeight="1" s="45">
      <c r="A1602" s="5" t="n"/>
      <c r="B1602" s="5" t="n"/>
      <c r="C1602" s="5" t="n"/>
      <c r="D1602" s="5" t="n"/>
      <c r="E1602" s="5" t="n"/>
      <c r="F1602" s="5" t="n"/>
      <c r="G1602" s="5" t="n"/>
      <c r="H1602" s="5" t="n"/>
      <c r="I1602" s="5" t="n"/>
      <c r="J1602" s="5" t="n"/>
    </row>
    <row r="1603" ht="30" customHeight="1" s="45">
      <c r="A1603" s="5" t="n"/>
      <c r="B1603" s="5" t="n"/>
      <c r="C1603" s="5" t="n"/>
      <c r="D1603" s="5" t="n"/>
      <c r="E1603" s="5" t="n"/>
      <c r="F1603" s="5" t="n"/>
      <c r="G1603" s="5" t="n"/>
      <c r="H1603" s="5" t="n"/>
      <c r="I1603" s="5" t="n"/>
      <c r="J1603" s="5" t="n"/>
    </row>
    <row r="1604" ht="30" customHeight="1" s="45">
      <c r="A1604" s="5" t="n"/>
      <c r="B1604" s="5" t="n"/>
      <c r="C1604" s="5" t="n"/>
      <c r="D1604" s="5" t="n"/>
      <c r="E1604" s="5" t="n"/>
      <c r="F1604" s="5" t="n"/>
      <c r="G1604" s="5" t="n"/>
      <c r="H1604" s="5" t="n"/>
      <c r="I1604" s="5" t="n"/>
      <c r="J1604" s="5" t="n"/>
    </row>
    <row r="1605" ht="30" customHeight="1" s="45">
      <c r="A1605" s="5" t="n"/>
      <c r="B1605" s="5" t="n"/>
      <c r="C1605" s="5" t="n"/>
      <c r="D1605" s="5" t="n"/>
      <c r="E1605" s="5" t="n"/>
      <c r="F1605" s="5" t="n"/>
      <c r="G1605" s="5" t="n"/>
      <c r="H1605" s="5" t="n"/>
      <c r="I1605" s="5" t="n"/>
      <c r="J1605" s="5" t="n"/>
    </row>
    <row r="1606" ht="30" customHeight="1" s="45">
      <c r="A1606" s="5" t="n"/>
      <c r="B1606" s="5" t="n"/>
      <c r="C1606" s="5" t="n"/>
      <c r="D1606" s="5" t="n"/>
      <c r="E1606" s="5" t="n"/>
      <c r="F1606" s="5" t="n"/>
      <c r="G1606" s="5" t="n"/>
      <c r="H1606" s="5" t="n"/>
      <c r="I1606" s="5" t="n"/>
      <c r="J1606" s="5" t="n"/>
    </row>
    <row r="1607" ht="30" customHeight="1" s="45">
      <c r="A1607" s="5" t="n"/>
      <c r="B1607" s="5" t="n"/>
      <c r="C1607" s="5" t="n"/>
      <c r="D1607" s="5" t="n"/>
      <c r="E1607" s="5" t="n"/>
      <c r="F1607" s="5" t="n"/>
      <c r="G1607" s="5" t="n"/>
      <c r="H1607" s="5" t="n"/>
      <c r="I1607" s="5" t="n"/>
      <c r="J1607" s="5" t="n"/>
    </row>
    <row r="1608" ht="30" customHeight="1" s="45">
      <c r="A1608" s="5" t="n"/>
      <c r="B1608" s="5" t="n"/>
      <c r="C1608" s="5" t="n"/>
      <c r="D1608" s="5" t="n"/>
      <c r="E1608" s="5" t="n"/>
      <c r="F1608" s="5" t="n"/>
      <c r="G1608" s="5" t="n"/>
      <c r="H1608" s="5" t="n"/>
      <c r="I1608" s="5" t="n"/>
      <c r="J1608" s="5" t="n"/>
    </row>
    <row r="1609" ht="30" customHeight="1" s="45">
      <c r="A1609" s="5" t="n"/>
      <c r="B1609" s="5" t="n"/>
      <c r="C1609" s="5" t="n"/>
      <c r="D1609" s="5" t="n"/>
      <c r="E1609" s="5" t="n"/>
      <c r="F1609" s="5" t="n"/>
      <c r="G1609" s="5" t="n"/>
      <c r="H1609" s="5" t="n"/>
      <c r="I1609" s="5" t="n"/>
      <c r="J1609" s="5" t="n"/>
    </row>
    <row r="1610" ht="30" customHeight="1" s="45">
      <c r="A1610" s="5" t="n"/>
      <c r="B1610" s="5" t="n"/>
      <c r="C1610" s="5" t="n"/>
      <c r="D1610" s="5" t="n"/>
      <c r="E1610" s="5" t="n"/>
      <c r="F1610" s="5" t="n"/>
      <c r="G1610" s="5" t="n"/>
      <c r="H1610" s="5" t="n"/>
      <c r="I1610" s="5" t="n"/>
      <c r="J1610" s="5" t="n"/>
    </row>
    <row r="1611" ht="30" customHeight="1" s="45">
      <c r="A1611" s="5" t="n"/>
      <c r="B1611" s="5" t="n"/>
      <c r="C1611" s="5" t="n"/>
      <c r="D1611" s="5" t="n"/>
      <c r="E1611" s="5" t="n"/>
      <c r="F1611" s="5" t="n"/>
      <c r="G1611" s="5" t="n"/>
      <c r="H1611" s="5" t="n"/>
      <c r="I1611" s="5" t="n"/>
      <c r="J1611" s="5" t="n"/>
    </row>
    <row r="1612" ht="30" customHeight="1" s="45">
      <c r="A1612" s="5" t="n"/>
      <c r="B1612" s="5" t="n"/>
      <c r="C1612" s="5" t="n"/>
      <c r="D1612" s="5" t="n"/>
      <c r="E1612" s="5" t="n"/>
      <c r="F1612" s="5" t="n"/>
      <c r="G1612" s="5" t="n"/>
      <c r="H1612" s="5" t="n"/>
      <c r="I1612" s="5" t="n"/>
      <c r="J1612" s="5" t="n"/>
    </row>
    <row r="1613" ht="30" customHeight="1" s="45">
      <c r="A1613" s="5" t="n"/>
      <c r="B1613" s="5" t="n"/>
      <c r="C1613" s="5" t="n"/>
      <c r="D1613" s="5" t="n"/>
      <c r="E1613" s="5" t="n"/>
      <c r="F1613" s="5" t="n"/>
      <c r="G1613" s="5" t="n"/>
      <c r="H1613" s="5" t="n"/>
      <c r="I1613" s="5" t="n"/>
      <c r="J1613" s="5" t="n"/>
    </row>
    <row r="1614" ht="30" customHeight="1" s="45">
      <c r="A1614" s="5" t="n"/>
      <c r="B1614" s="5" t="n"/>
      <c r="C1614" s="5" t="n"/>
      <c r="D1614" s="5" t="n"/>
      <c r="E1614" s="5" t="n"/>
      <c r="F1614" s="5" t="n"/>
      <c r="G1614" s="5" t="n"/>
      <c r="H1614" s="5" t="n"/>
      <c r="I1614" s="5" t="n"/>
      <c r="J1614" s="5" t="n"/>
    </row>
    <row r="1615" ht="30" customHeight="1" s="45">
      <c r="A1615" s="5" t="n"/>
      <c r="B1615" s="5" t="n"/>
      <c r="C1615" s="5" t="n"/>
      <c r="D1615" s="5" t="n"/>
      <c r="E1615" s="5" t="n"/>
      <c r="F1615" s="5" t="n"/>
      <c r="G1615" s="5" t="n"/>
      <c r="H1615" s="5" t="n"/>
      <c r="I1615" s="5" t="n"/>
      <c r="J1615" s="5" t="n"/>
    </row>
    <row r="1616" ht="30" customHeight="1" s="45">
      <c r="A1616" s="5" t="n"/>
      <c r="B1616" s="5" t="n"/>
      <c r="C1616" s="5" t="n"/>
      <c r="D1616" s="5" t="n"/>
      <c r="E1616" s="5" t="n"/>
      <c r="F1616" s="5" t="n"/>
      <c r="G1616" s="5" t="n"/>
      <c r="H1616" s="5" t="n"/>
      <c r="I1616" s="5" t="n"/>
      <c r="J1616" s="5" t="n"/>
    </row>
    <row r="1617" ht="30" customHeight="1" s="45">
      <c r="A1617" s="5" t="n"/>
      <c r="B1617" s="5" t="n"/>
      <c r="C1617" s="5" t="n"/>
      <c r="D1617" s="5" t="n"/>
      <c r="E1617" s="5" t="n"/>
      <c r="F1617" s="5" t="n"/>
      <c r="G1617" s="5" t="n"/>
      <c r="H1617" s="5" t="n"/>
      <c r="I1617" s="5" t="n"/>
      <c r="J1617" s="5" t="n"/>
    </row>
    <row r="1618" ht="30" customHeight="1" s="45">
      <c r="A1618" s="5" t="n"/>
      <c r="B1618" s="5" t="n"/>
      <c r="C1618" s="5" t="n"/>
      <c r="D1618" s="5" t="n"/>
      <c r="E1618" s="5" t="n"/>
      <c r="F1618" s="5" t="n"/>
      <c r="G1618" s="5" t="n"/>
      <c r="H1618" s="5" t="n"/>
      <c r="I1618" s="5" t="n"/>
      <c r="J1618" s="5" t="n"/>
    </row>
    <row r="1619" ht="30" customHeight="1" s="45">
      <c r="A1619" s="5" t="n"/>
      <c r="B1619" s="5" t="n"/>
      <c r="C1619" s="5" t="n"/>
      <c r="D1619" s="5" t="n"/>
      <c r="E1619" s="5" t="n"/>
      <c r="F1619" s="5" t="n"/>
      <c r="G1619" s="5" t="n"/>
      <c r="H1619" s="5" t="n"/>
      <c r="I1619" s="5" t="n"/>
      <c r="J1619" s="5" t="n"/>
    </row>
    <row r="1620" ht="30" customHeight="1" s="45">
      <c r="A1620" s="5" t="n"/>
      <c r="B1620" s="5" t="n"/>
      <c r="C1620" s="5" t="n"/>
      <c r="D1620" s="5" t="n"/>
      <c r="E1620" s="5" t="n"/>
      <c r="F1620" s="5" t="n"/>
      <c r="G1620" s="5" t="n"/>
      <c r="H1620" s="5" t="n"/>
      <c r="I1620" s="5" t="n"/>
      <c r="J1620" s="5" t="n"/>
    </row>
    <row r="1621" ht="30" customHeight="1" s="45">
      <c r="A1621" s="5" t="n"/>
      <c r="B1621" s="5" t="n"/>
      <c r="C1621" s="5" t="n"/>
      <c r="D1621" s="5" t="n"/>
      <c r="E1621" s="5" t="n"/>
      <c r="F1621" s="5" t="n"/>
      <c r="G1621" s="5" t="n"/>
      <c r="H1621" s="5" t="n"/>
      <c r="I1621" s="5" t="n"/>
      <c r="J1621" s="5" t="n"/>
    </row>
    <row r="1622" ht="30" customHeight="1" s="45">
      <c r="A1622" s="5" t="n"/>
      <c r="B1622" s="5" t="n"/>
      <c r="C1622" s="5" t="n"/>
      <c r="D1622" s="5" t="n"/>
      <c r="E1622" s="5" t="n"/>
      <c r="F1622" s="5" t="n"/>
      <c r="G1622" s="5" t="n"/>
      <c r="H1622" s="5" t="n"/>
      <c r="I1622" s="5" t="n"/>
      <c r="J1622" s="5" t="n"/>
    </row>
    <row r="1623" ht="30" customHeight="1" s="45">
      <c r="A1623" s="5" t="n"/>
      <c r="B1623" s="5" t="n"/>
      <c r="C1623" s="5" t="n"/>
      <c r="D1623" s="5" t="n"/>
      <c r="E1623" s="5" t="n"/>
      <c r="F1623" s="5" t="n"/>
      <c r="G1623" s="5" t="n"/>
      <c r="H1623" s="5" t="n"/>
      <c r="I1623" s="5" t="n"/>
      <c r="J1623" s="5" t="n"/>
    </row>
    <row r="1624" ht="30" customHeight="1" s="45">
      <c r="A1624" s="5" t="n"/>
      <c r="B1624" s="5" t="n"/>
      <c r="C1624" s="5" t="n"/>
      <c r="D1624" s="5" t="n"/>
      <c r="E1624" s="5" t="n"/>
      <c r="F1624" s="5" t="n"/>
      <c r="G1624" s="5" t="n"/>
      <c r="H1624" s="5" t="n"/>
      <c r="I1624" s="5" t="n"/>
      <c r="J1624" s="5" t="n"/>
    </row>
    <row r="1625" ht="30" customHeight="1" s="45">
      <c r="A1625" s="5" t="n"/>
      <c r="B1625" s="5" t="n"/>
      <c r="C1625" s="5" t="n"/>
      <c r="D1625" s="5" t="n"/>
      <c r="E1625" s="5" t="n"/>
      <c r="F1625" s="5" t="n"/>
      <c r="G1625" s="5" t="n"/>
      <c r="H1625" s="5" t="n"/>
      <c r="I1625" s="5" t="n"/>
      <c r="J1625" s="5" t="n"/>
    </row>
    <row r="1626" ht="30" customHeight="1" s="45">
      <c r="A1626" s="5" t="n"/>
      <c r="B1626" s="5" t="n"/>
      <c r="C1626" s="5" t="n"/>
      <c r="D1626" s="5" t="n"/>
      <c r="E1626" s="5" t="n"/>
      <c r="F1626" s="5" t="n"/>
      <c r="G1626" s="5" t="n"/>
      <c r="H1626" s="5" t="n"/>
      <c r="I1626" s="5" t="n"/>
      <c r="J1626" s="5" t="n"/>
    </row>
    <row r="1627" ht="30" customHeight="1" s="45">
      <c r="A1627" s="5" t="n"/>
      <c r="B1627" s="5" t="n"/>
      <c r="C1627" s="5" t="n"/>
      <c r="D1627" s="5" t="n"/>
      <c r="E1627" s="5" t="n"/>
      <c r="F1627" s="5" t="n"/>
      <c r="G1627" s="5" t="n"/>
      <c r="H1627" s="5" t="n"/>
      <c r="I1627" s="5" t="n"/>
      <c r="J1627" s="5" t="n"/>
    </row>
    <row r="1628" ht="30" customHeight="1" s="45">
      <c r="A1628" s="5" t="n"/>
      <c r="B1628" s="5" t="n"/>
      <c r="C1628" s="5" t="n"/>
      <c r="D1628" s="5" t="n"/>
      <c r="E1628" s="5" t="n"/>
      <c r="F1628" s="5" t="n"/>
      <c r="G1628" s="5" t="n"/>
      <c r="H1628" s="5" t="n"/>
      <c r="I1628" s="5" t="n"/>
      <c r="J1628" s="5" t="n"/>
    </row>
    <row r="1629" ht="30" customHeight="1" s="45">
      <c r="A1629" s="5" t="n"/>
      <c r="B1629" s="5" t="n"/>
      <c r="C1629" s="5" t="n"/>
      <c r="D1629" s="5" t="n"/>
      <c r="E1629" s="5" t="n"/>
      <c r="F1629" s="5" t="n"/>
      <c r="G1629" s="5" t="n"/>
      <c r="H1629" s="5" t="n"/>
      <c r="I1629" s="5" t="n"/>
      <c r="J1629" s="5" t="n"/>
    </row>
    <row r="1630" ht="30" customHeight="1" s="45">
      <c r="A1630" s="5" t="n"/>
      <c r="B1630" s="5" t="n"/>
      <c r="C1630" s="5" t="n"/>
      <c r="D1630" s="5" t="n"/>
      <c r="E1630" s="5" t="n"/>
      <c r="F1630" s="5" t="n"/>
      <c r="G1630" s="5" t="n"/>
      <c r="H1630" s="5" t="n"/>
      <c r="I1630" s="5" t="n"/>
      <c r="J1630" s="5" t="n"/>
    </row>
    <row r="1631" ht="30" customHeight="1" s="45">
      <c r="A1631" s="5" t="n"/>
      <c r="B1631" s="5" t="n"/>
      <c r="C1631" s="5" t="n"/>
      <c r="D1631" s="5" t="n"/>
      <c r="E1631" s="5" t="n"/>
      <c r="F1631" s="5" t="n"/>
      <c r="G1631" s="5" t="n"/>
      <c r="H1631" s="5" t="n"/>
      <c r="I1631" s="5" t="n"/>
      <c r="J1631" s="5" t="n"/>
    </row>
    <row r="1632" ht="30" customHeight="1" s="45">
      <c r="A1632" s="5" t="n"/>
      <c r="B1632" s="5" t="n"/>
      <c r="C1632" s="5" t="n"/>
      <c r="D1632" s="5" t="n"/>
      <c r="E1632" s="5" t="n"/>
      <c r="F1632" s="5" t="n"/>
      <c r="G1632" s="5" t="n"/>
      <c r="H1632" s="5" t="n"/>
      <c r="I1632" s="5" t="n"/>
      <c r="J1632" s="5" t="n"/>
    </row>
    <row r="1633" ht="30" customHeight="1" s="45">
      <c r="A1633" s="5" t="n"/>
      <c r="B1633" s="5" t="n"/>
      <c r="C1633" s="5" t="n"/>
      <c r="D1633" s="5" t="n"/>
      <c r="E1633" s="5" t="n"/>
      <c r="F1633" s="5" t="n"/>
      <c r="G1633" s="5" t="n"/>
      <c r="H1633" s="5" t="n"/>
      <c r="I1633" s="5" t="n"/>
      <c r="J1633" s="5" t="n"/>
    </row>
    <row r="1634" ht="30" customHeight="1" s="45">
      <c r="A1634" s="5" t="n"/>
      <c r="B1634" s="5" t="n"/>
      <c r="C1634" s="5" t="n"/>
      <c r="D1634" s="5" t="n"/>
      <c r="E1634" s="5" t="n"/>
      <c r="F1634" s="5" t="n"/>
      <c r="G1634" s="5" t="n"/>
      <c r="H1634" s="5" t="n"/>
      <c r="I1634" s="5" t="n"/>
      <c r="J1634" s="5" t="n"/>
    </row>
    <row r="1635" ht="30" customHeight="1" s="45">
      <c r="A1635" s="5" t="n"/>
      <c r="B1635" s="5" t="n"/>
      <c r="C1635" s="5" t="n"/>
      <c r="D1635" s="5" t="n"/>
      <c r="E1635" s="5" t="n"/>
      <c r="F1635" s="5" t="n"/>
      <c r="G1635" s="5" t="n"/>
      <c r="H1635" s="5" t="n"/>
      <c r="I1635" s="5" t="n"/>
      <c r="J1635" s="5" t="n"/>
    </row>
    <row r="1636" ht="30" customHeight="1" s="45">
      <c r="A1636" s="5" t="n"/>
      <c r="B1636" s="5" t="n"/>
      <c r="C1636" s="5" t="n"/>
      <c r="D1636" s="5" t="n"/>
      <c r="E1636" s="5" t="n"/>
      <c r="F1636" s="5" t="n"/>
      <c r="G1636" s="5" t="n"/>
      <c r="H1636" s="5" t="n"/>
      <c r="I1636" s="5" t="n"/>
      <c r="J1636" s="5" t="n"/>
    </row>
    <row r="1637" ht="30" customHeight="1" s="45">
      <c r="A1637" s="5" t="n"/>
      <c r="B1637" s="5" t="n"/>
      <c r="C1637" s="5" t="n"/>
      <c r="D1637" s="5" t="n"/>
      <c r="E1637" s="5" t="n"/>
      <c r="F1637" s="5" t="n"/>
      <c r="G1637" s="5" t="n"/>
      <c r="H1637" s="5" t="n"/>
      <c r="I1637" s="5" t="n"/>
      <c r="J1637" s="5" t="n"/>
    </row>
    <row r="1638" ht="30" customHeight="1" s="45">
      <c r="A1638" s="5" t="n"/>
      <c r="B1638" s="5" t="n"/>
      <c r="C1638" s="5" t="n"/>
      <c r="D1638" s="5" t="n"/>
      <c r="E1638" s="5" t="n"/>
      <c r="F1638" s="5" t="n"/>
      <c r="G1638" s="5" t="n"/>
      <c r="H1638" s="5" t="n"/>
      <c r="I1638" s="5" t="n"/>
      <c r="J1638" s="5" t="n"/>
    </row>
    <row r="1639" ht="30" customHeight="1" s="45">
      <c r="A1639" s="5" t="n"/>
      <c r="B1639" s="5" t="n"/>
      <c r="C1639" s="5" t="n"/>
      <c r="D1639" s="5" t="n"/>
      <c r="E1639" s="5" t="n"/>
      <c r="F1639" s="5" t="n"/>
      <c r="G1639" s="5" t="n"/>
      <c r="H1639" s="5" t="n"/>
      <c r="I1639" s="5" t="n"/>
      <c r="J1639" s="5" t="n"/>
    </row>
    <row r="1640" ht="30" customHeight="1" s="45">
      <c r="A1640" s="5" t="n"/>
      <c r="B1640" s="5" t="n"/>
      <c r="C1640" s="5" t="n"/>
      <c r="D1640" s="5" t="n"/>
      <c r="E1640" s="5" t="n"/>
      <c r="F1640" s="5" t="n"/>
      <c r="G1640" s="5" t="n"/>
      <c r="H1640" s="5" t="n"/>
      <c r="I1640" s="5" t="n"/>
      <c r="J1640" s="5" t="n"/>
    </row>
    <row r="1641" ht="30" customHeight="1" s="45">
      <c r="A1641" s="5" t="n"/>
      <c r="B1641" s="5" t="n"/>
      <c r="C1641" s="5" t="n"/>
      <c r="D1641" s="5" t="n"/>
      <c r="E1641" s="5" t="n"/>
      <c r="F1641" s="5" t="n"/>
      <c r="G1641" s="5" t="n"/>
      <c r="H1641" s="5" t="n"/>
      <c r="I1641" s="5" t="n"/>
      <c r="J1641" s="5" t="n"/>
    </row>
    <row r="1642" ht="30" customHeight="1" s="45">
      <c r="A1642" s="5" t="n"/>
      <c r="B1642" s="5" t="n"/>
      <c r="C1642" s="5" t="n"/>
      <c r="D1642" s="5" t="n"/>
      <c r="E1642" s="5" t="n"/>
      <c r="F1642" s="5" t="n"/>
      <c r="G1642" s="5" t="n"/>
      <c r="H1642" s="5" t="n"/>
      <c r="I1642" s="5" t="n"/>
      <c r="J1642" s="5" t="n"/>
    </row>
    <row r="1643" ht="30" customHeight="1" s="45">
      <c r="A1643" s="5" t="n"/>
      <c r="B1643" s="5" t="n"/>
      <c r="C1643" s="5" t="n"/>
      <c r="D1643" s="5" t="n"/>
      <c r="E1643" s="5" t="n"/>
      <c r="F1643" s="5" t="n"/>
      <c r="G1643" s="5" t="n"/>
      <c r="H1643" s="5" t="n"/>
      <c r="I1643" s="5" t="n"/>
      <c r="J1643" s="5" t="n"/>
    </row>
    <row r="1644" ht="30" customHeight="1" s="45">
      <c r="A1644" s="5" t="n"/>
      <c r="B1644" s="5" t="n"/>
      <c r="C1644" s="5" t="n"/>
      <c r="D1644" s="5" t="n"/>
      <c r="E1644" s="5" t="n"/>
      <c r="F1644" s="5" t="n"/>
      <c r="G1644" s="5" t="n"/>
      <c r="H1644" s="5" t="n"/>
      <c r="I1644" s="5" t="n"/>
      <c r="J1644" s="5" t="n"/>
    </row>
    <row r="1645" ht="30" customHeight="1" s="45">
      <c r="A1645" s="5" t="n"/>
      <c r="B1645" s="5" t="n"/>
      <c r="C1645" s="5" t="n"/>
      <c r="D1645" s="5" t="n"/>
      <c r="E1645" s="5" t="n"/>
      <c r="F1645" s="5" t="n"/>
      <c r="G1645" s="5" t="n"/>
      <c r="H1645" s="5" t="n"/>
      <c r="I1645" s="5" t="n"/>
      <c r="J1645" s="5" t="n"/>
    </row>
    <row r="1646" ht="30" customHeight="1" s="45">
      <c r="A1646" s="5" t="n"/>
      <c r="B1646" s="5" t="n"/>
      <c r="C1646" s="5" t="n"/>
      <c r="D1646" s="5" t="n"/>
      <c r="E1646" s="5" t="n"/>
      <c r="F1646" s="5" t="n"/>
      <c r="G1646" s="5" t="n"/>
      <c r="H1646" s="5" t="n"/>
      <c r="I1646" s="5" t="n"/>
      <c r="J1646" s="5" t="n"/>
    </row>
    <row r="1647" ht="30" customHeight="1" s="45">
      <c r="A1647" s="5" t="n"/>
      <c r="B1647" s="5" t="n"/>
      <c r="C1647" s="5" t="n"/>
      <c r="D1647" s="5" t="n"/>
      <c r="E1647" s="5" t="n"/>
      <c r="F1647" s="5" t="n"/>
      <c r="G1647" s="5" t="n"/>
      <c r="H1647" s="5" t="n"/>
      <c r="I1647" s="5" t="n"/>
      <c r="J1647" s="5" t="n"/>
    </row>
    <row r="1648" ht="30" customHeight="1" s="45">
      <c r="A1648" s="5" t="n"/>
      <c r="B1648" s="5" t="n"/>
      <c r="C1648" s="5" t="n"/>
      <c r="D1648" s="5" t="n"/>
      <c r="E1648" s="5" t="n"/>
      <c r="F1648" s="5" t="n"/>
      <c r="G1648" s="5" t="n"/>
      <c r="H1648" s="5" t="n"/>
      <c r="I1648" s="5" t="n"/>
      <c r="J1648" s="5" t="n"/>
    </row>
    <row r="1649" ht="30" customHeight="1" s="45">
      <c r="A1649" s="5" t="n"/>
      <c r="B1649" s="5" t="n"/>
      <c r="C1649" s="5" t="n"/>
      <c r="D1649" s="5" t="n"/>
      <c r="E1649" s="5" t="n"/>
      <c r="F1649" s="5" t="n"/>
      <c r="G1649" s="5" t="n"/>
      <c r="H1649" s="5" t="n"/>
      <c r="I1649" s="5" t="n"/>
      <c r="J1649" s="5" t="n"/>
    </row>
    <row r="1650" ht="30" customHeight="1" s="45">
      <c r="A1650" s="5" t="n"/>
      <c r="B1650" s="5" t="n"/>
      <c r="C1650" s="5" t="n"/>
      <c r="D1650" s="5" t="n"/>
      <c r="E1650" s="5" t="n"/>
      <c r="F1650" s="5" t="n"/>
      <c r="G1650" s="5" t="n"/>
      <c r="H1650" s="5" t="n"/>
      <c r="I1650" s="5" t="n"/>
      <c r="J1650" s="5" t="n"/>
    </row>
    <row r="1651" ht="30" customHeight="1" s="45">
      <c r="A1651" s="5" t="n"/>
      <c r="B1651" s="5" t="n"/>
      <c r="C1651" s="5" t="n"/>
      <c r="D1651" s="5" t="n"/>
      <c r="E1651" s="5" t="n"/>
      <c r="F1651" s="5" t="n"/>
      <c r="G1651" s="5" t="n"/>
      <c r="H1651" s="5" t="n"/>
      <c r="I1651" s="5" t="n"/>
      <c r="J1651" s="5" t="n"/>
    </row>
    <row r="1652" ht="30" customHeight="1" s="45">
      <c r="A1652" s="5" t="n"/>
      <c r="B1652" s="5" t="n"/>
      <c r="C1652" s="5" t="n"/>
      <c r="D1652" s="5" t="n"/>
      <c r="E1652" s="5" t="n"/>
      <c r="F1652" s="5" t="n"/>
      <c r="G1652" s="5" t="n"/>
      <c r="H1652" s="5" t="n"/>
      <c r="I1652" s="5" t="n"/>
      <c r="J1652" s="5" t="n"/>
    </row>
    <row r="1653" ht="30" customHeight="1" s="45">
      <c r="A1653" s="5" t="n"/>
      <c r="B1653" s="5" t="n"/>
      <c r="C1653" s="5" t="n"/>
      <c r="D1653" s="5" t="n"/>
      <c r="E1653" s="5" t="n"/>
      <c r="F1653" s="5" t="n"/>
      <c r="G1653" s="5" t="n"/>
      <c r="H1653" s="5" t="n"/>
      <c r="I1653" s="5" t="n"/>
      <c r="J1653" s="5" t="n"/>
    </row>
    <row r="1654" ht="30" customHeight="1" s="45">
      <c r="A1654" s="5" t="n"/>
      <c r="B1654" s="5" t="n"/>
      <c r="C1654" s="5" t="n"/>
      <c r="D1654" s="5" t="n"/>
      <c r="E1654" s="5" t="n"/>
      <c r="F1654" s="5" t="n"/>
      <c r="G1654" s="5" t="n"/>
      <c r="H1654" s="5" t="n"/>
      <c r="I1654" s="5" t="n"/>
      <c r="J1654" s="5" t="n"/>
    </row>
    <row r="1655" ht="30" customHeight="1" s="45">
      <c r="A1655" s="5" t="n"/>
      <c r="B1655" s="5" t="n"/>
      <c r="C1655" s="5" t="n"/>
      <c r="D1655" s="5" t="n"/>
      <c r="E1655" s="5" t="n"/>
      <c r="F1655" s="5" t="n"/>
      <c r="G1655" s="5" t="n"/>
      <c r="H1655" s="5" t="n"/>
      <c r="I1655" s="5" t="n"/>
      <c r="J1655" s="5" t="n"/>
    </row>
    <row r="1656" ht="30" customHeight="1" s="45">
      <c r="A1656" s="5" t="n"/>
      <c r="B1656" s="5" t="n"/>
      <c r="C1656" s="5" t="n"/>
      <c r="D1656" s="5" t="n"/>
      <c r="E1656" s="5" t="n"/>
      <c r="F1656" s="5" t="n"/>
      <c r="G1656" s="5" t="n"/>
      <c r="H1656" s="5" t="n"/>
      <c r="I1656" s="5" t="n"/>
      <c r="J1656" s="5" t="n"/>
    </row>
    <row r="1657" ht="30" customHeight="1" s="45">
      <c r="A1657" s="5" t="n"/>
      <c r="B1657" s="5" t="n"/>
      <c r="C1657" s="5" t="n"/>
      <c r="D1657" s="5" t="n"/>
      <c r="E1657" s="5" t="n"/>
      <c r="F1657" s="5" t="n"/>
      <c r="G1657" s="5" t="n"/>
      <c r="H1657" s="5" t="n"/>
      <c r="I1657" s="5" t="n"/>
      <c r="J1657" s="5" t="n"/>
    </row>
    <row r="1658" ht="30" customHeight="1" s="45">
      <c r="A1658" s="5" t="n"/>
      <c r="B1658" s="5" t="n"/>
      <c r="C1658" s="5" t="n"/>
      <c r="D1658" s="5" t="n"/>
      <c r="E1658" s="5" t="n"/>
      <c r="F1658" s="5" t="n"/>
      <c r="G1658" s="5" t="n"/>
      <c r="H1658" s="5" t="n"/>
      <c r="I1658" s="5" t="n"/>
      <c r="J1658" s="5" t="n"/>
    </row>
    <row r="1659" ht="30" customHeight="1" s="45">
      <c r="A1659" s="5" t="n"/>
      <c r="B1659" s="5" t="n"/>
      <c r="C1659" s="5" t="n"/>
      <c r="D1659" s="5" t="n"/>
      <c r="E1659" s="5" t="n"/>
      <c r="F1659" s="5" t="n"/>
      <c r="G1659" s="5" t="n"/>
      <c r="H1659" s="5" t="n"/>
      <c r="I1659" s="5" t="n"/>
      <c r="J1659" s="5" t="n"/>
    </row>
    <row r="1660" ht="30" customHeight="1" s="45">
      <c r="A1660" s="5" t="n"/>
      <c r="B1660" s="5" t="n"/>
      <c r="C1660" s="5" t="n"/>
      <c r="D1660" s="5" t="n"/>
      <c r="E1660" s="5" t="n"/>
      <c r="F1660" s="5" t="n"/>
      <c r="G1660" s="5" t="n"/>
      <c r="H1660" s="5" t="n"/>
      <c r="I1660" s="5" t="n"/>
      <c r="J1660" s="5" t="n"/>
    </row>
    <row r="1661" ht="30" customHeight="1" s="45">
      <c r="A1661" s="5" t="n"/>
      <c r="B1661" s="5" t="n"/>
      <c r="C1661" s="5" t="n"/>
      <c r="D1661" s="5" t="n"/>
      <c r="E1661" s="5" t="n"/>
      <c r="F1661" s="5" t="n"/>
      <c r="G1661" s="5" t="n"/>
      <c r="H1661" s="5" t="n"/>
      <c r="I1661" s="5" t="n"/>
      <c r="J1661" s="5" t="n"/>
    </row>
    <row r="1662" ht="30" customHeight="1" s="45">
      <c r="A1662" s="5" t="n"/>
      <c r="B1662" s="5" t="n"/>
      <c r="C1662" s="5" t="n"/>
      <c r="D1662" s="5" t="n"/>
      <c r="E1662" s="5" t="n"/>
      <c r="F1662" s="5" t="n"/>
      <c r="G1662" s="5" t="n"/>
      <c r="H1662" s="5" t="n"/>
      <c r="I1662" s="5" t="n"/>
      <c r="J1662" s="5" t="n"/>
    </row>
    <row r="1663" ht="30" customHeight="1" s="45">
      <c r="A1663" s="5" t="n"/>
      <c r="B1663" s="5" t="n"/>
      <c r="C1663" s="5" t="n"/>
      <c r="D1663" s="5" t="n"/>
      <c r="E1663" s="5" t="n"/>
      <c r="F1663" s="5" t="n"/>
      <c r="G1663" s="5" t="n"/>
      <c r="H1663" s="5" t="n"/>
      <c r="I1663" s="5" t="n"/>
      <c r="J1663" s="5" t="n"/>
    </row>
    <row r="1664" ht="30" customHeight="1" s="45">
      <c r="A1664" s="5" t="n"/>
      <c r="B1664" s="5" t="n"/>
      <c r="C1664" s="5" t="n"/>
      <c r="D1664" s="5" t="n"/>
      <c r="E1664" s="5" t="n"/>
      <c r="F1664" s="5" t="n"/>
      <c r="G1664" s="5" t="n"/>
      <c r="H1664" s="5" t="n"/>
      <c r="I1664" s="5" t="n"/>
      <c r="J1664" s="5" t="n"/>
    </row>
    <row r="1665" ht="30" customHeight="1" s="45">
      <c r="A1665" s="5" t="n"/>
      <c r="B1665" s="5" t="n"/>
      <c r="C1665" s="5" t="n"/>
      <c r="D1665" s="5" t="n"/>
      <c r="E1665" s="5" t="n"/>
      <c r="F1665" s="5" t="n"/>
      <c r="G1665" s="5" t="n"/>
      <c r="H1665" s="5" t="n"/>
      <c r="I1665" s="5" t="n"/>
      <c r="J1665" s="5" t="n"/>
    </row>
    <row r="1666" ht="30" customHeight="1" s="45">
      <c r="A1666" s="5" t="n"/>
      <c r="B1666" s="5" t="n"/>
      <c r="C1666" s="5" t="n"/>
      <c r="D1666" s="5" t="n"/>
      <c r="E1666" s="5" t="n"/>
      <c r="F1666" s="5" t="n"/>
      <c r="G1666" s="5" t="n"/>
      <c r="H1666" s="5" t="n"/>
      <c r="I1666" s="5" t="n"/>
      <c r="J1666" s="5" t="n"/>
    </row>
    <row r="1667" ht="30" customHeight="1" s="45">
      <c r="A1667" s="5" t="n"/>
      <c r="B1667" s="5" t="n"/>
      <c r="C1667" s="5" t="n"/>
      <c r="D1667" s="5" t="n"/>
      <c r="E1667" s="5" t="n"/>
      <c r="F1667" s="5" t="n"/>
      <c r="G1667" s="5" t="n"/>
      <c r="H1667" s="5" t="n"/>
      <c r="I1667" s="5" t="n"/>
      <c r="J1667" s="5" t="n"/>
    </row>
    <row r="1668" ht="30" customHeight="1" s="45">
      <c r="A1668" s="5" t="n"/>
      <c r="B1668" s="5" t="n"/>
      <c r="C1668" s="5" t="n"/>
      <c r="D1668" s="5" t="n"/>
      <c r="E1668" s="5" t="n"/>
      <c r="F1668" s="5" t="n"/>
      <c r="G1668" s="5" t="n"/>
      <c r="H1668" s="5" t="n"/>
      <c r="I1668" s="5" t="n"/>
      <c r="J1668" s="5" t="n"/>
    </row>
    <row r="1669" ht="30" customHeight="1" s="45">
      <c r="A1669" s="5" t="n"/>
      <c r="B1669" s="5" t="n"/>
      <c r="C1669" s="5" t="n"/>
      <c r="D1669" s="5" t="n"/>
      <c r="E1669" s="5" t="n"/>
      <c r="F1669" s="5" t="n"/>
      <c r="G1669" s="5" t="n"/>
      <c r="H1669" s="5" t="n"/>
      <c r="I1669" s="5" t="n"/>
      <c r="J1669" s="5" t="n"/>
    </row>
    <row r="1670" ht="30" customHeight="1" s="45">
      <c r="A1670" s="5" t="n"/>
      <c r="B1670" s="5" t="n"/>
      <c r="C1670" s="5" t="n"/>
      <c r="D1670" s="5" t="n"/>
      <c r="E1670" s="5" t="n"/>
      <c r="F1670" s="5" t="n"/>
      <c r="G1670" s="5" t="n"/>
      <c r="H1670" s="5" t="n"/>
      <c r="I1670" s="5" t="n"/>
      <c r="J1670" s="5" t="n"/>
    </row>
    <row r="1671" ht="30" customHeight="1" s="45">
      <c r="A1671" s="5" t="n"/>
      <c r="B1671" s="5" t="n"/>
      <c r="C1671" s="5" t="n"/>
      <c r="D1671" s="5" t="n"/>
      <c r="E1671" s="5" t="n"/>
      <c r="F1671" s="5" t="n"/>
      <c r="G1671" s="5" t="n"/>
      <c r="H1671" s="5" t="n"/>
      <c r="I1671" s="5" t="n"/>
      <c r="J1671" s="5" t="n"/>
    </row>
    <row r="1672" ht="30" customHeight="1" s="45">
      <c r="A1672" s="5" t="n"/>
      <c r="B1672" s="5" t="n"/>
      <c r="C1672" s="5" t="n"/>
      <c r="D1672" s="5" t="n"/>
      <c r="E1672" s="5" t="n"/>
      <c r="F1672" s="5" t="n"/>
      <c r="G1672" s="5" t="n"/>
      <c r="H1672" s="5" t="n"/>
      <c r="I1672" s="5" t="n"/>
      <c r="J1672" s="5" t="n"/>
    </row>
    <row r="1673" ht="30" customHeight="1" s="45">
      <c r="A1673" s="5" t="n"/>
      <c r="B1673" s="5" t="n"/>
      <c r="C1673" s="5" t="n"/>
      <c r="D1673" s="5" t="n"/>
      <c r="E1673" s="5" t="n"/>
      <c r="F1673" s="5" t="n"/>
      <c r="G1673" s="5" t="n"/>
      <c r="H1673" s="5" t="n"/>
      <c r="I1673" s="5" t="n"/>
      <c r="J1673" s="5" t="n"/>
    </row>
    <row r="1674" ht="30" customHeight="1" s="45">
      <c r="A1674" s="5" t="n"/>
      <c r="B1674" s="5" t="n"/>
      <c r="C1674" s="5" t="n"/>
      <c r="D1674" s="5" t="n"/>
      <c r="E1674" s="5" t="n"/>
      <c r="F1674" s="5" t="n"/>
      <c r="G1674" s="5" t="n"/>
      <c r="H1674" s="5" t="n"/>
      <c r="I1674" s="5" t="n"/>
      <c r="J1674" s="5" t="n"/>
    </row>
    <row r="1675" ht="30" customHeight="1" s="45">
      <c r="A1675" s="5" t="n"/>
      <c r="B1675" s="5" t="n"/>
      <c r="C1675" s="5" t="n"/>
      <c r="D1675" s="5" t="n"/>
      <c r="E1675" s="5" t="n"/>
      <c r="F1675" s="5" t="n"/>
      <c r="G1675" s="5" t="n"/>
      <c r="H1675" s="5" t="n"/>
      <c r="I1675" s="5" t="n"/>
      <c r="J1675" s="5" t="n"/>
    </row>
    <row r="1676" ht="30" customHeight="1" s="45">
      <c r="A1676" s="5" t="n"/>
      <c r="B1676" s="5" t="n"/>
      <c r="C1676" s="5" t="n"/>
      <c r="D1676" s="5" t="n"/>
      <c r="E1676" s="5" t="n"/>
      <c r="F1676" s="5" t="n"/>
      <c r="G1676" s="5" t="n"/>
      <c r="H1676" s="5" t="n"/>
      <c r="I1676" s="5" t="n"/>
      <c r="J1676" s="5" t="n"/>
    </row>
    <row r="1677" ht="30" customHeight="1" s="45">
      <c r="A1677" s="5" t="n"/>
      <c r="B1677" s="5" t="n"/>
      <c r="C1677" s="5" t="n"/>
      <c r="D1677" s="5" t="n"/>
      <c r="E1677" s="5" t="n"/>
      <c r="F1677" s="5" t="n"/>
      <c r="G1677" s="5" t="n"/>
      <c r="H1677" s="5" t="n"/>
      <c r="I1677" s="5" t="n"/>
      <c r="J1677" s="5" t="n"/>
    </row>
    <row r="1678" ht="30" customHeight="1" s="45">
      <c r="A1678" s="5" t="n"/>
      <c r="B1678" s="5" t="n"/>
      <c r="C1678" s="5" t="n"/>
      <c r="D1678" s="5" t="n"/>
      <c r="E1678" s="5" t="n"/>
      <c r="F1678" s="5" t="n"/>
      <c r="G1678" s="5" t="n"/>
      <c r="H1678" s="5" t="n"/>
      <c r="I1678" s="5" t="n"/>
      <c r="J1678" s="5" t="n"/>
    </row>
    <row r="1679" ht="30" customHeight="1" s="45">
      <c r="A1679" s="5" t="n"/>
      <c r="B1679" s="5" t="n"/>
      <c r="C1679" s="5" t="n"/>
      <c r="D1679" s="5" t="n"/>
      <c r="E1679" s="5" t="n"/>
      <c r="F1679" s="5" t="n"/>
      <c r="G1679" s="5" t="n"/>
      <c r="H1679" s="5" t="n"/>
      <c r="I1679" s="5" t="n"/>
      <c r="J1679" s="5" t="n"/>
    </row>
    <row r="1680" ht="30" customHeight="1" s="45">
      <c r="A1680" s="5" t="n"/>
      <c r="B1680" s="5" t="n"/>
      <c r="C1680" s="5" t="n"/>
      <c r="D1680" s="5" t="n"/>
      <c r="E1680" s="5" t="n"/>
      <c r="F1680" s="5" t="n"/>
      <c r="G1680" s="5" t="n"/>
      <c r="H1680" s="5" t="n"/>
      <c r="I1680" s="5" t="n"/>
      <c r="J1680" s="5" t="n"/>
    </row>
    <row r="1681" ht="30" customHeight="1" s="45">
      <c r="A1681" s="5" t="n"/>
      <c r="B1681" s="5" t="n"/>
      <c r="C1681" s="5" t="n"/>
      <c r="D1681" s="5" t="n"/>
      <c r="E1681" s="5" t="n"/>
      <c r="F1681" s="5" t="n"/>
      <c r="G1681" s="5" t="n"/>
      <c r="H1681" s="5" t="n"/>
      <c r="I1681" s="5" t="n"/>
      <c r="J1681" s="5" t="n"/>
    </row>
    <row r="1682" ht="30" customHeight="1" s="45">
      <c r="A1682" s="5" t="n"/>
      <c r="B1682" s="5" t="n"/>
      <c r="C1682" s="5" t="n"/>
      <c r="D1682" s="5" t="n"/>
      <c r="E1682" s="5" t="n"/>
      <c r="F1682" s="5" t="n"/>
      <c r="G1682" s="5" t="n"/>
      <c r="H1682" s="5" t="n"/>
      <c r="I1682" s="5" t="n"/>
      <c r="J1682" s="5" t="n"/>
    </row>
    <row r="1683" ht="30" customHeight="1" s="45">
      <c r="A1683" s="5" t="n"/>
      <c r="B1683" s="5" t="n"/>
      <c r="C1683" s="5" t="n"/>
      <c r="D1683" s="5" t="n"/>
      <c r="E1683" s="5" t="n"/>
      <c r="F1683" s="5" t="n"/>
      <c r="G1683" s="5" t="n"/>
      <c r="H1683" s="5" t="n"/>
      <c r="I1683" s="5" t="n"/>
      <c r="J1683" s="5" t="n"/>
    </row>
    <row r="1684" ht="30" customHeight="1" s="45">
      <c r="A1684" s="5" t="n"/>
      <c r="B1684" s="5" t="n"/>
      <c r="C1684" s="5" t="n"/>
      <c r="D1684" s="5" t="n"/>
      <c r="E1684" s="5" t="n"/>
      <c r="F1684" s="5" t="n"/>
      <c r="G1684" s="5" t="n"/>
      <c r="H1684" s="5" t="n"/>
      <c r="I1684" s="5" t="n"/>
      <c r="J1684" s="5" t="n"/>
    </row>
    <row r="1685" ht="30" customHeight="1" s="45">
      <c r="A1685" s="5" t="n"/>
      <c r="B1685" s="5" t="n"/>
      <c r="C1685" s="5" t="n"/>
      <c r="D1685" s="5" t="n"/>
      <c r="E1685" s="5" t="n"/>
      <c r="F1685" s="5" t="n"/>
      <c r="G1685" s="5" t="n"/>
      <c r="H1685" s="5" t="n"/>
      <c r="I1685" s="5" t="n"/>
      <c r="J1685" s="5" t="n"/>
    </row>
    <row r="1686" ht="30" customHeight="1" s="45">
      <c r="A1686" s="5" t="n"/>
      <c r="B1686" s="5" t="n"/>
      <c r="C1686" s="5" t="n"/>
      <c r="D1686" s="5" t="n"/>
      <c r="E1686" s="5" t="n"/>
      <c r="F1686" s="5" t="n"/>
      <c r="G1686" s="5" t="n"/>
      <c r="H1686" s="5" t="n"/>
      <c r="I1686" s="5" t="n"/>
      <c r="J1686" s="5" t="n"/>
    </row>
    <row r="1687" ht="30" customHeight="1" s="45">
      <c r="A1687" s="5" t="n"/>
      <c r="B1687" s="5" t="n"/>
      <c r="C1687" s="5" t="n"/>
      <c r="D1687" s="5" t="n"/>
      <c r="E1687" s="5" t="n"/>
      <c r="F1687" s="5" t="n"/>
      <c r="G1687" s="5" t="n"/>
      <c r="H1687" s="5" t="n"/>
      <c r="I1687" s="5" t="n"/>
      <c r="J1687" s="5" t="n"/>
    </row>
    <row r="1688" ht="30" customHeight="1" s="45">
      <c r="A1688" s="5" t="n"/>
      <c r="B1688" s="5" t="n"/>
      <c r="C1688" s="5" t="n"/>
      <c r="D1688" s="5" t="n"/>
      <c r="E1688" s="5" t="n"/>
      <c r="F1688" s="5" t="n"/>
      <c r="G1688" s="5" t="n"/>
      <c r="H1688" s="5" t="n"/>
      <c r="I1688" s="5" t="n"/>
      <c r="J1688" s="5" t="n"/>
    </row>
    <row r="1689" ht="30" customHeight="1" s="45">
      <c r="A1689" s="5" t="n"/>
      <c r="B1689" s="5" t="n"/>
      <c r="C1689" s="5" t="n"/>
      <c r="D1689" s="5" t="n"/>
      <c r="E1689" s="5" t="n"/>
      <c r="F1689" s="5" t="n"/>
      <c r="G1689" s="5" t="n"/>
      <c r="H1689" s="5" t="n"/>
      <c r="I1689" s="5" t="n"/>
      <c r="J1689" s="5" t="n"/>
    </row>
    <row r="1690" ht="30" customHeight="1" s="45">
      <c r="A1690" s="5" t="n"/>
      <c r="B1690" s="5" t="n"/>
      <c r="C1690" s="5" t="n"/>
      <c r="D1690" s="5" t="n"/>
      <c r="E1690" s="5" t="n"/>
      <c r="F1690" s="5" t="n"/>
      <c r="G1690" s="5" t="n"/>
      <c r="H1690" s="5" t="n"/>
      <c r="I1690" s="5" t="n"/>
      <c r="J1690" s="5" t="n"/>
    </row>
    <row r="1691" ht="30" customHeight="1" s="45">
      <c r="A1691" s="5" t="n"/>
      <c r="B1691" s="5" t="n"/>
      <c r="C1691" s="5" t="n"/>
      <c r="D1691" s="5" t="n"/>
      <c r="E1691" s="5" t="n"/>
      <c r="F1691" s="5" t="n"/>
      <c r="G1691" s="5" t="n"/>
      <c r="H1691" s="5" t="n"/>
      <c r="I1691" s="5" t="n"/>
      <c r="J1691" s="5" t="n"/>
    </row>
    <row r="1692" ht="30" customHeight="1" s="45">
      <c r="A1692" s="5" t="n"/>
      <c r="B1692" s="5" t="n"/>
      <c r="C1692" s="5" t="n"/>
      <c r="D1692" s="5" t="n"/>
      <c r="E1692" s="5" t="n"/>
      <c r="F1692" s="5" t="n"/>
      <c r="G1692" s="5" t="n"/>
      <c r="H1692" s="5" t="n"/>
      <c r="I1692" s="5" t="n"/>
      <c r="J1692" s="5" t="n"/>
    </row>
    <row r="1693" ht="30" customHeight="1" s="45">
      <c r="A1693" s="5" t="n"/>
      <c r="B1693" s="5" t="n"/>
      <c r="C1693" s="5" t="n"/>
      <c r="D1693" s="5" t="n"/>
      <c r="E1693" s="5" t="n"/>
      <c r="F1693" s="5" t="n"/>
      <c r="G1693" s="5" t="n"/>
      <c r="H1693" s="5" t="n"/>
      <c r="I1693" s="5" t="n"/>
      <c r="J1693" s="5" t="n"/>
    </row>
    <row r="1694" ht="30" customHeight="1" s="45">
      <c r="A1694" s="5" t="n"/>
      <c r="B1694" s="5" t="n"/>
      <c r="C1694" s="5" t="n"/>
      <c r="D1694" s="5" t="n"/>
      <c r="E1694" s="5" t="n"/>
      <c r="F1694" s="5" t="n"/>
      <c r="G1694" s="5" t="n"/>
      <c r="H1694" s="5" t="n"/>
      <c r="I1694" s="5" t="n"/>
      <c r="J1694" s="5" t="n"/>
    </row>
    <row r="1695" ht="30" customHeight="1" s="45">
      <c r="A1695" s="5" t="n"/>
      <c r="B1695" s="5" t="n"/>
      <c r="C1695" s="5" t="n"/>
      <c r="D1695" s="5" t="n"/>
      <c r="E1695" s="5" t="n"/>
      <c r="F1695" s="5" t="n"/>
      <c r="G1695" s="5" t="n"/>
      <c r="H1695" s="5" t="n"/>
      <c r="I1695" s="5" t="n"/>
      <c r="J1695" s="5" t="n"/>
    </row>
    <row r="1696" ht="30" customHeight="1" s="45">
      <c r="A1696" s="5" t="n"/>
      <c r="B1696" s="5" t="n"/>
      <c r="C1696" s="5" t="n"/>
      <c r="D1696" s="5" t="n"/>
      <c r="E1696" s="5" t="n"/>
      <c r="F1696" s="5" t="n"/>
      <c r="G1696" s="5" t="n"/>
      <c r="H1696" s="5" t="n"/>
      <c r="I1696" s="5" t="n"/>
      <c r="J1696" s="5" t="n"/>
    </row>
    <row r="1697" ht="30" customHeight="1" s="45">
      <c r="A1697" s="5" t="n"/>
      <c r="B1697" s="5" t="n"/>
      <c r="C1697" s="5" t="n"/>
      <c r="D1697" s="5" t="n"/>
      <c r="E1697" s="5" t="n"/>
      <c r="F1697" s="5" t="n"/>
      <c r="G1697" s="5" t="n"/>
      <c r="H1697" s="5" t="n"/>
      <c r="I1697" s="5" t="n"/>
      <c r="J1697" s="5" t="n"/>
    </row>
    <row r="1698" ht="30" customHeight="1" s="45">
      <c r="A1698" s="5" t="n"/>
      <c r="B1698" s="5" t="n"/>
      <c r="C1698" s="5" t="n"/>
      <c r="D1698" s="5" t="n"/>
      <c r="E1698" s="5" t="n"/>
      <c r="F1698" s="5" t="n"/>
      <c r="G1698" s="5" t="n"/>
      <c r="H1698" s="5" t="n"/>
      <c r="I1698" s="5" t="n"/>
      <c r="J1698" s="5" t="n"/>
    </row>
    <row r="1699" ht="30" customHeight="1" s="45">
      <c r="A1699" s="5" t="n"/>
      <c r="B1699" s="5" t="n"/>
      <c r="C1699" s="5" t="n"/>
      <c r="D1699" s="5" t="n"/>
      <c r="E1699" s="5" t="n"/>
      <c r="F1699" s="5" t="n"/>
      <c r="G1699" s="5" t="n"/>
      <c r="H1699" s="5" t="n"/>
      <c r="I1699" s="5" t="n"/>
      <c r="J1699" s="5" t="n"/>
    </row>
    <row r="1700" ht="30" customHeight="1" s="45">
      <c r="A1700" s="5" t="n"/>
      <c r="B1700" s="5" t="n"/>
      <c r="C1700" s="5" t="n"/>
      <c r="D1700" s="5" t="n"/>
      <c r="E1700" s="5" t="n"/>
      <c r="F1700" s="5" t="n"/>
      <c r="G1700" s="5" t="n"/>
      <c r="H1700" s="5" t="n"/>
      <c r="I1700" s="5" t="n"/>
      <c r="J1700" s="5" t="n"/>
    </row>
    <row r="1701" ht="30" customHeight="1" s="45">
      <c r="A1701" s="5" t="n"/>
      <c r="B1701" s="5" t="n"/>
      <c r="C1701" s="5" t="n"/>
      <c r="D1701" s="5" t="n"/>
      <c r="E1701" s="5" t="n"/>
      <c r="F1701" s="5" t="n"/>
      <c r="G1701" s="5" t="n"/>
      <c r="H1701" s="5" t="n"/>
      <c r="I1701" s="5" t="n"/>
      <c r="J1701" s="5" t="n"/>
    </row>
    <row r="1702" ht="30" customHeight="1" s="45">
      <c r="A1702" s="5" t="n"/>
      <c r="B1702" s="5" t="n"/>
      <c r="C1702" s="5" t="n"/>
      <c r="D1702" s="5" t="n"/>
      <c r="E1702" s="5" t="n"/>
      <c r="F1702" s="5" t="n"/>
      <c r="G1702" s="5" t="n"/>
      <c r="H1702" s="5" t="n"/>
      <c r="I1702" s="5" t="n"/>
      <c r="J1702" s="5" t="n"/>
    </row>
    <row r="1703" ht="30" customHeight="1" s="45">
      <c r="A1703" s="5" t="n"/>
      <c r="B1703" s="5" t="n"/>
      <c r="C1703" s="5" t="n"/>
      <c r="D1703" s="5" t="n"/>
      <c r="E1703" s="5" t="n"/>
      <c r="F1703" s="5" t="n"/>
      <c r="G1703" s="5" t="n"/>
      <c r="H1703" s="5" t="n"/>
      <c r="I1703" s="5" t="n"/>
      <c r="J1703" s="5" t="n"/>
    </row>
    <row r="1704" ht="30" customHeight="1" s="45">
      <c r="A1704" s="5" t="n"/>
      <c r="B1704" s="5" t="n"/>
      <c r="C1704" s="5" t="n"/>
      <c r="D1704" s="5" t="n"/>
      <c r="E1704" s="5" t="n"/>
      <c r="F1704" s="5" t="n"/>
      <c r="G1704" s="5" t="n"/>
      <c r="H1704" s="5" t="n"/>
      <c r="I1704" s="5" t="n"/>
      <c r="J1704" s="5" t="n"/>
    </row>
    <row r="1705" ht="30" customHeight="1" s="45">
      <c r="A1705" s="5" t="n"/>
      <c r="B1705" s="5" t="n"/>
      <c r="C1705" s="5" t="n"/>
      <c r="D1705" s="5" t="n"/>
      <c r="E1705" s="5" t="n"/>
      <c r="F1705" s="5" t="n"/>
      <c r="G1705" s="5" t="n"/>
      <c r="H1705" s="5" t="n"/>
      <c r="I1705" s="5" t="n"/>
      <c r="J1705" s="5" t="n"/>
    </row>
    <row r="1706" ht="30" customHeight="1" s="45">
      <c r="A1706" s="5" t="n"/>
      <c r="B1706" s="5" t="n"/>
      <c r="C1706" s="5" t="n"/>
      <c r="D1706" s="5" t="n"/>
      <c r="E1706" s="5" t="n"/>
      <c r="F1706" s="5" t="n"/>
      <c r="G1706" s="5" t="n"/>
      <c r="H1706" s="5" t="n"/>
      <c r="I1706" s="5" t="n"/>
      <c r="J1706" s="5" t="n"/>
    </row>
    <row r="1707" ht="30" customHeight="1" s="45">
      <c r="A1707" s="5" t="n"/>
      <c r="B1707" s="5" t="n"/>
      <c r="C1707" s="5" t="n"/>
      <c r="D1707" s="5" t="n"/>
      <c r="E1707" s="5" t="n"/>
      <c r="F1707" s="5" t="n"/>
      <c r="G1707" s="5" t="n"/>
      <c r="H1707" s="5" t="n"/>
      <c r="I1707" s="5" t="n"/>
      <c r="J1707" s="5" t="n"/>
    </row>
    <row r="1708" ht="30" customHeight="1" s="45">
      <c r="A1708" s="5" t="n"/>
      <c r="B1708" s="5" t="n"/>
      <c r="C1708" s="5" t="n"/>
      <c r="D1708" s="5" t="n"/>
      <c r="E1708" s="5" t="n"/>
      <c r="F1708" s="5" t="n"/>
      <c r="G1708" s="5" t="n"/>
      <c r="H1708" s="5" t="n"/>
      <c r="I1708" s="5" t="n"/>
      <c r="J1708" s="5" t="n"/>
    </row>
    <row r="1709" ht="30" customHeight="1" s="45">
      <c r="A1709" s="5" t="n"/>
      <c r="B1709" s="5" t="n"/>
      <c r="C1709" s="5" t="n"/>
      <c r="D1709" s="5" t="n"/>
      <c r="E1709" s="5" t="n"/>
      <c r="F1709" s="5" t="n"/>
      <c r="G1709" s="5" t="n"/>
      <c r="H1709" s="5" t="n"/>
      <c r="I1709" s="5" t="n"/>
      <c r="J1709" s="5" t="n"/>
    </row>
    <row r="1710" ht="30" customHeight="1" s="45">
      <c r="A1710" s="5" t="n"/>
      <c r="B1710" s="5" t="n"/>
      <c r="C1710" s="5" t="n"/>
      <c r="D1710" s="5" t="n"/>
      <c r="E1710" s="5" t="n"/>
      <c r="F1710" s="5" t="n"/>
      <c r="G1710" s="5" t="n"/>
      <c r="H1710" s="5" t="n"/>
      <c r="I1710" s="5" t="n"/>
      <c r="J1710" s="5" t="n"/>
    </row>
    <row r="1711" ht="30" customHeight="1" s="45">
      <c r="A1711" s="5" t="n"/>
      <c r="B1711" s="5" t="n"/>
      <c r="C1711" s="5" t="n"/>
      <c r="D1711" s="5" t="n"/>
      <c r="E1711" s="5" t="n"/>
      <c r="F1711" s="5" t="n"/>
      <c r="G1711" s="5" t="n"/>
      <c r="H1711" s="5" t="n"/>
      <c r="I1711" s="5" t="n"/>
      <c r="J1711" s="5" t="n"/>
    </row>
    <row r="1712" ht="30" customHeight="1" s="45">
      <c r="A1712" s="5" t="n"/>
      <c r="B1712" s="5" t="n"/>
      <c r="C1712" s="5" t="n"/>
      <c r="D1712" s="5" t="n"/>
      <c r="E1712" s="5" t="n"/>
      <c r="F1712" s="5" t="n"/>
      <c r="G1712" s="5" t="n"/>
      <c r="H1712" s="5" t="n"/>
      <c r="I1712" s="5" t="n"/>
      <c r="J1712" s="5" t="n"/>
    </row>
    <row r="1713" ht="30" customHeight="1" s="45">
      <c r="A1713" s="5" t="n"/>
      <c r="B1713" s="5" t="n"/>
      <c r="C1713" s="5" t="n"/>
      <c r="D1713" s="5" t="n"/>
      <c r="E1713" s="5" t="n"/>
      <c r="F1713" s="5" t="n"/>
      <c r="G1713" s="5" t="n"/>
      <c r="H1713" s="5" t="n"/>
      <c r="I1713" s="5" t="n"/>
      <c r="J1713" s="5" t="n"/>
    </row>
    <row r="1714" ht="30" customHeight="1" s="45">
      <c r="A1714" s="5" t="n"/>
      <c r="B1714" s="5" t="n"/>
      <c r="C1714" s="5" t="n"/>
      <c r="D1714" s="5" t="n"/>
      <c r="E1714" s="5" t="n"/>
      <c r="F1714" s="5" t="n"/>
      <c r="G1714" s="5" t="n"/>
      <c r="H1714" s="5" t="n"/>
      <c r="I1714" s="5" t="n"/>
      <c r="J1714" s="5" t="n"/>
    </row>
    <row r="1715" ht="30" customHeight="1" s="45">
      <c r="A1715" s="5" t="n"/>
      <c r="B1715" s="5" t="n"/>
      <c r="C1715" s="5" t="n"/>
      <c r="D1715" s="5" t="n"/>
      <c r="E1715" s="5" t="n"/>
      <c r="F1715" s="5" t="n"/>
      <c r="G1715" s="5" t="n"/>
      <c r="H1715" s="5" t="n"/>
      <c r="I1715" s="5" t="n"/>
      <c r="J1715" s="5" t="n"/>
    </row>
    <row r="1716" ht="30" customHeight="1" s="45">
      <c r="A1716" s="5" t="n"/>
      <c r="B1716" s="5" t="n"/>
      <c r="C1716" s="5" t="n"/>
      <c r="D1716" s="5" t="n"/>
      <c r="E1716" s="5" t="n"/>
      <c r="F1716" s="5" t="n"/>
      <c r="G1716" s="5" t="n"/>
      <c r="H1716" s="5" t="n"/>
      <c r="I1716" s="5" t="n"/>
      <c r="J1716" s="5" t="n"/>
    </row>
    <row r="1717" ht="30" customHeight="1" s="45">
      <c r="A1717" s="5" t="n"/>
      <c r="B1717" s="5" t="n"/>
      <c r="C1717" s="5" t="n"/>
      <c r="D1717" s="5" t="n"/>
      <c r="E1717" s="5" t="n"/>
      <c r="F1717" s="5" t="n"/>
      <c r="G1717" s="5" t="n"/>
      <c r="H1717" s="5" t="n"/>
      <c r="I1717" s="5" t="n"/>
      <c r="J1717" s="5" t="n"/>
    </row>
    <row r="1718" ht="30" customHeight="1" s="45">
      <c r="A1718" s="5" t="n"/>
      <c r="B1718" s="5" t="n"/>
      <c r="C1718" s="5" t="n"/>
      <c r="D1718" s="5" t="n"/>
      <c r="E1718" s="5" t="n"/>
      <c r="F1718" s="5" t="n"/>
      <c r="G1718" s="5" t="n"/>
      <c r="H1718" s="5" t="n"/>
      <c r="I1718" s="5" t="n"/>
      <c r="J1718" s="5" t="n"/>
    </row>
    <row r="1719" ht="30" customHeight="1" s="45">
      <c r="A1719" s="5" t="n"/>
      <c r="B1719" s="5" t="n"/>
      <c r="C1719" s="5" t="n"/>
      <c r="D1719" s="5" t="n"/>
      <c r="E1719" s="5" t="n"/>
      <c r="F1719" s="5" t="n"/>
      <c r="G1719" s="5" t="n"/>
      <c r="H1719" s="5" t="n"/>
      <c r="I1719" s="5" t="n"/>
      <c r="J1719" s="5" t="n"/>
    </row>
    <row r="1720" ht="30" customHeight="1" s="45">
      <c r="A1720" s="5" t="n"/>
      <c r="B1720" s="5" t="n"/>
      <c r="C1720" s="5" t="n"/>
      <c r="D1720" s="5" t="n"/>
      <c r="E1720" s="5" t="n"/>
      <c r="F1720" s="5" t="n"/>
      <c r="G1720" s="5" t="n"/>
      <c r="H1720" s="5" t="n"/>
      <c r="I1720" s="5" t="n"/>
      <c r="J1720" s="5" t="n"/>
    </row>
    <row r="1721" ht="30" customHeight="1" s="45">
      <c r="A1721" s="5" t="n"/>
      <c r="B1721" s="5" t="n"/>
      <c r="C1721" s="5" t="n"/>
      <c r="D1721" s="5" t="n"/>
      <c r="E1721" s="5" t="n"/>
      <c r="F1721" s="5" t="n"/>
      <c r="G1721" s="5" t="n"/>
      <c r="H1721" s="5" t="n"/>
      <c r="I1721" s="5" t="n"/>
      <c r="J1721" s="5" t="n"/>
    </row>
    <row r="1722" ht="30" customHeight="1" s="45">
      <c r="A1722" s="5" t="n"/>
      <c r="B1722" s="5" t="n"/>
      <c r="C1722" s="5" t="n"/>
      <c r="D1722" s="5" t="n"/>
      <c r="E1722" s="5" t="n"/>
      <c r="F1722" s="5" t="n"/>
      <c r="G1722" s="5" t="n"/>
      <c r="H1722" s="5" t="n"/>
      <c r="I1722" s="5" t="n"/>
      <c r="J1722" s="5" t="n"/>
    </row>
    <row r="1723" ht="30" customHeight="1" s="45">
      <c r="A1723" s="5" t="n"/>
      <c r="B1723" s="5" t="n"/>
      <c r="C1723" s="5" t="n"/>
      <c r="D1723" s="5" t="n"/>
      <c r="E1723" s="5" t="n"/>
      <c r="F1723" s="5" t="n"/>
      <c r="G1723" s="5" t="n"/>
      <c r="H1723" s="5" t="n"/>
      <c r="I1723" s="5" t="n"/>
      <c r="J1723" s="5" t="n"/>
    </row>
    <row r="1724" ht="30" customHeight="1" s="45">
      <c r="A1724" s="5" t="n"/>
      <c r="B1724" s="5" t="n"/>
      <c r="C1724" s="5" t="n"/>
      <c r="D1724" s="5" t="n"/>
      <c r="E1724" s="5" t="n"/>
      <c r="F1724" s="5" t="n"/>
      <c r="G1724" s="5" t="n"/>
      <c r="H1724" s="5" t="n"/>
      <c r="I1724" s="5" t="n"/>
      <c r="J1724" s="5" t="n"/>
    </row>
    <row r="1725" ht="30" customHeight="1" s="45">
      <c r="A1725" s="5" t="n"/>
      <c r="B1725" s="5" t="n"/>
      <c r="C1725" s="5" t="n"/>
      <c r="D1725" s="5" t="n"/>
      <c r="E1725" s="5" t="n"/>
      <c r="F1725" s="5" t="n"/>
      <c r="G1725" s="5" t="n"/>
      <c r="H1725" s="5" t="n"/>
      <c r="I1725" s="5" t="n"/>
      <c r="J1725" s="5" t="n"/>
    </row>
    <row r="1726" ht="30" customHeight="1" s="45">
      <c r="A1726" s="5" t="n"/>
      <c r="B1726" s="5" t="n"/>
      <c r="C1726" s="5" t="n"/>
      <c r="D1726" s="5" t="n"/>
      <c r="E1726" s="5" t="n"/>
      <c r="F1726" s="5" t="n"/>
      <c r="G1726" s="5" t="n"/>
      <c r="H1726" s="5" t="n"/>
      <c r="I1726" s="5" t="n"/>
      <c r="J1726" s="5" t="n"/>
    </row>
    <row r="1727" ht="30" customHeight="1" s="45">
      <c r="A1727" s="5" t="n"/>
      <c r="B1727" s="5" t="n"/>
      <c r="C1727" s="5" t="n"/>
      <c r="D1727" s="5" t="n"/>
      <c r="E1727" s="5" t="n"/>
      <c r="F1727" s="5" t="n"/>
      <c r="G1727" s="5" t="n"/>
      <c r="H1727" s="5" t="n"/>
      <c r="I1727" s="5" t="n"/>
      <c r="J1727" s="5" t="n"/>
    </row>
    <row r="1728" ht="30" customHeight="1" s="45">
      <c r="A1728" s="5" t="n"/>
      <c r="B1728" s="5" t="n"/>
      <c r="C1728" s="5" t="n"/>
      <c r="D1728" s="5" t="n"/>
      <c r="E1728" s="5" t="n"/>
      <c r="F1728" s="5" t="n"/>
      <c r="G1728" s="5" t="n"/>
      <c r="H1728" s="5" t="n"/>
      <c r="I1728" s="5" t="n"/>
      <c r="J1728" s="5" t="n"/>
    </row>
    <row r="1729" ht="30" customHeight="1" s="45">
      <c r="A1729" s="5" t="n"/>
      <c r="B1729" s="5" t="n"/>
      <c r="C1729" s="5" t="n"/>
      <c r="D1729" s="5" t="n"/>
      <c r="E1729" s="5" t="n"/>
      <c r="F1729" s="5" t="n"/>
      <c r="G1729" s="5" t="n"/>
      <c r="H1729" s="5" t="n"/>
      <c r="I1729" s="5" t="n"/>
      <c r="J1729" s="5" t="n"/>
    </row>
    <row r="1730" ht="30" customHeight="1" s="45">
      <c r="A1730" s="5" t="n"/>
      <c r="B1730" s="5" t="n"/>
      <c r="C1730" s="5" t="n"/>
      <c r="D1730" s="5" t="n"/>
      <c r="E1730" s="5" t="n"/>
      <c r="F1730" s="5" t="n"/>
      <c r="G1730" s="5" t="n"/>
      <c r="H1730" s="5" t="n"/>
      <c r="I1730" s="5" t="n"/>
      <c r="J1730" s="5" t="n"/>
    </row>
    <row r="1731" ht="30" customHeight="1" s="45">
      <c r="A1731" s="5" t="n"/>
      <c r="B1731" s="5" t="n"/>
      <c r="C1731" s="5" t="n"/>
      <c r="D1731" s="5" t="n"/>
      <c r="E1731" s="5" t="n"/>
      <c r="F1731" s="5" t="n"/>
      <c r="G1731" s="5" t="n"/>
      <c r="H1731" s="5" t="n"/>
      <c r="I1731" s="5" t="n"/>
      <c r="J1731" s="5" t="n"/>
    </row>
    <row r="1732" ht="30" customHeight="1" s="45">
      <c r="A1732" s="5" t="n"/>
      <c r="B1732" s="5" t="n"/>
      <c r="C1732" s="5" t="n"/>
      <c r="D1732" s="5" t="n"/>
      <c r="E1732" s="5" t="n"/>
      <c r="F1732" s="5" t="n"/>
      <c r="G1732" s="5" t="n"/>
      <c r="H1732" s="5" t="n"/>
      <c r="I1732" s="5" t="n"/>
      <c r="J1732" s="5" t="n"/>
    </row>
    <row r="1733" ht="30" customHeight="1" s="45">
      <c r="A1733" s="5" t="n"/>
      <c r="B1733" s="5" t="n"/>
      <c r="C1733" s="5" t="n"/>
      <c r="D1733" s="5" t="n"/>
      <c r="E1733" s="5" t="n"/>
      <c r="F1733" s="5" t="n"/>
      <c r="G1733" s="5" t="n"/>
      <c r="H1733" s="5" t="n"/>
      <c r="I1733" s="5" t="n"/>
      <c r="J1733" s="5" t="n"/>
    </row>
    <row r="1734" ht="30" customHeight="1" s="45">
      <c r="A1734" s="5" t="n"/>
      <c r="B1734" s="5" t="n"/>
      <c r="C1734" s="5" t="n"/>
      <c r="D1734" s="5" t="n"/>
      <c r="E1734" s="5" t="n"/>
      <c r="F1734" s="5" t="n"/>
      <c r="G1734" s="5" t="n"/>
      <c r="H1734" s="5" t="n"/>
      <c r="I1734" s="5" t="n"/>
      <c r="J1734" s="5" t="n"/>
    </row>
    <row r="1735" ht="30" customHeight="1" s="45">
      <c r="A1735" s="5" t="n"/>
      <c r="B1735" s="5" t="n"/>
      <c r="C1735" s="5" t="n"/>
      <c r="D1735" s="5" t="n"/>
      <c r="E1735" s="5" t="n"/>
      <c r="F1735" s="5" t="n"/>
      <c r="G1735" s="5" t="n"/>
      <c r="H1735" s="5" t="n"/>
      <c r="I1735" s="5" t="n"/>
      <c r="J1735" s="5" t="n"/>
    </row>
    <row r="1736" ht="30" customHeight="1" s="45">
      <c r="A1736" s="5" t="n"/>
      <c r="B1736" s="5" t="n"/>
      <c r="C1736" s="5" t="n"/>
      <c r="D1736" s="5" t="n"/>
      <c r="E1736" s="5" t="n"/>
      <c r="F1736" s="5" t="n"/>
      <c r="G1736" s="5" t="n"/>
      <c r="H1736" s="5" t="n"/>
      <c r="I1736" s="5" t="n"/>
      <c r="J1736" s="5" t="n"/>
    </row>
    <row r="1737" ht="30" customHeight="1" s="45">
      <c r="A1737" s="5" t="n"/>
      <c r="B1737" s="5" t="n"/>
      <c r="C1737" s="5" t="n"/>
      <c r="D1737" s="5" t="n"/>
      <c r="E1737" s="5" t="n"/>
      <c r="F1737" s="5" t="n"/>
      <c r="G1737" s="5" t="n"/>
      <c r="H1737" s="5" t="n"/>
      <c r="I1737" s="5" t="n"/>
      <c r="J1737" s="5" t="n"/>
    </row>
    <row r="1738" ht="30" customHeight="1" s="45">
      <c r="A1738" s="5" t="n"/>
      <c r="B1738" s="5" t="n"/>
      <c r="C1738" s="5" t="n"/>
      <c r="D1738" s="5" t="n"/>
      <c r="E1738" s="5" t="n"/>
      <c r="F1738" s="5" t="n"/>
      <c r="G1738" s="5" t="n"/>
      <c r="H1738" s="5" t="n"/>
      <c r="I1738" s="5" t="n"/>
      <c r="J1738" s="5" t="n"/>
    </row>
    <row r="1739" ht="30" customHeight="1" s="45">
      <c r="A1739" s="5" t="n"/>
      <c r="B1739" s="5" t="n"/>
      <c r="C1739" s="5" t="n"/>
      <c r="D1739" s="5" t="n"/>
      <c r="E1739" s="5" t="n"/>
      <c r="F1739" s="5" t="n"/>
      <c r="G1739" s="5" t="n"/>
      <c r="H1739" s="5" t="n"/>
      <c r="I1739" s="5" t="n"/>
      <c r="J1739" s="5" t="n"/>
    </row>
    <row r="1740" ht="30" customHeight="1" s="45">
      <c r="A1740" s="5" t="n"/>
      <c r="B1740" s="5" t="n"/>
      <c r="C1740" s="5" t="n"/>
      <c r="D1740" s="5" t="n"/>
      <c r="E1740" s="5" t="n"/>
      <c r="F1740" s="5" t="n"/>
      <c r="G1740" s="5" t="n"/>
      <c r="H1740" s="5" t="n"/>
      <c r="I1740" s="5" t="n"/>
      <c r="J1740" s="5" t="n"/>
    </row>
    <row r="1741" ht="30" customHeight="1" s="45">
      <c r="A1741" s="5" t="n"/>
      <c r="B1741" s="5" t="n"/>
      <c r="C1741" s="5" t="n"/>
      <c r="D1741" s="5" t="n"/>
      <c r="E1741" s="5" t="n"/>
      <c r="F1741" s="5" t="n"/>
      <c r="G1741" s="5" t="n"/>
      <c r="H1741" s="5" t="n"/>
      <c r="I1741" s="5" t="n"/>
      <c r="J1741" s="5" t="n"/>
    </row>
    <row r="1742" ht="30" customHeight="1" s="45">
      <c r="A1742" s="5" t="n"/>
      <c r="B1742" s="5" t="n"/>
      <c r="C1742" s="5" t="n"/>
      <c r="D1742" s="5" t="n"/>
      <c r="E1742" s="5" t="n"/>
      <c r="F1742" s="5" t="n"/>
      <c r="G1742" s="5" t="n"/>
      <c r="H1742" s="5" t="n"/>
      <c r="I1742" s="5" t="n"/>
      <c r="J1742" s="5" t="n"/>
    </row>
    <row r="1743" ht="30" customHeight="1" s="45">
      <c r="A1743" s="5" t="n"/>
      <c r="B1743" s="5" t="n"/>
      <c r="C1743" s="5" t="n"/>
      <c r="D1743" s="5" t="n"/>
      <c r="E1743" s="5" t="n"/>
      <c r="F1743" s="5" t="n"/>
      <c r="G1743" s="5" t="n"/>
      <c r="H1743" s="5" t="n"/>
      <c r="I1743" s="5" t="n"/>
      <c r="J1743" s="5" t="n"/>
    </row>
    <row r="1744" ht="30" customHeight="1" s="45">
      <c r="A1744" s="5" t="n"/>
      <c r="B1744" s="5" t="n"/>
      <c r="C1744" s="5" t="n"/>
      <c r="D1744" s="5" t="n"/>
      <c r="E1744" s="5" t="n"/>
      <c r="F1744" s="5" t="n"/>
      <c r="G1744" s="5" t="n"/>
      <c r="H1744" s="5" t="n"/>
      <c r="I1744" s="5" t="n"/>
      <c r="J1744" s="5" t="n"/>
    </row>
    <row r="1745" ht="30" customHeight="1" s="45">
      <c r="A1745" s="5" t="n"/>
      <c r="B1745" s="5" t="n"/>
      <c r="C1745" s="5" t="n"/>
      <c r="D1745" s="5" t="n"/>
      <c r="E1745" s="5" t="n"/>
      <c r="F1745" s="5" t="n"/>
      <c r="G1745" s="5" t="n"/>
      <c r="H1745" s="5" t="n"/>
      <c r="I1745" s="5" t="n"/>
      <c r="J1745" s="5" t="n"/>
    </row>
    <row r="1746" ht="30" customHeight="1" s="45">
      <c r="A1746" s="5" t="n"/>
      <c r="B1746" s="5" t="n"/>
      <c r="C1746" s="5" t="n"/>
      <c r="D1746" s="5" t="n"/>
      <c r="E1746" s="5" t="n"/>
      <c r="F1746" s="5" t="n"/>
      <c r="G1746" s="5" t="n"/>
      <c r="H1746" s="5" t="n"/>
      <c r="I1746" s="5" t="n"/>
      <c r="J1746" s="5" t="n"/>
    </row>
    <row r="1747" ht="30" customHeight="1" s="45">
      <c r="A1747" s="5" t="n"/>
      <c r="B1747" s="5" t="n"/>
      <c r="C1747" s="5" t="n"/>
      <c r="D1747" s="5" t="n"/>
      <c r="E1747" s="5" t="n"/>
      <c r="F1747" s="5" t="n"/>
      <c r="G1747" s="5" t="n"/>
      <c r="H1747" s="5" t="n"/>
      <c r="I1747" s="5" t="n"/>
      <c r="J1747" s="5" t="n"/>
    </row>
    <row r="1748" ht="30" customHeight="1" s="45">
      <c r="A1748" s="5" t="n"/>
      <c r="B1748" s="5" t="n"/>
      <c r="C1748" s="5" t="n"/>
      <c r="D1748" s="5" t="n"/>
      <c r="E1748" s="5" t="n"/>
      <c r="F1748" s="5" t="n"/>
      <c r="G1748" s="5" t="n"/>
      <c r="H1748" s="5" t="n"/>
      <c r="I1748" s="5" t="n"/>
      <c r="J1748" s="5" t="n"/>
    </row>
    <row r="1749" ht="30" customHeight="1" s="45">
      <c r="A1749" s="5" t="n"/>
      <c r="B1749" s="5" t="n"/>
      <c r="C1749" s="5" t="n"/>
      <c r="D1749" s="5" t="n"/>
      <c r="E1749" s="5" t="n"/>
      <c r="F1749" s="5" t="n"/>
      <c r="G1749" s="5" t="n"/>
      <c r="H1749" s="5" t="n"/>
      <c r="I1749" s="5" t="n"/>
      <c r="J1749" s="5" t="n"/>
    </row>
    <row r="1750" ht="30" customHeight="1" s="45">
      <c r="A1750" s="5" t="n"/>
      <c r="B1750" s="5" t="n"/>
      <c r="C1750" s="5" t="n"/>
      <c r="D1750" s="5" t="n"/>
      <c r="E1750" s="5" t="n"/>
      <c r="F1750" s="5" t="n"/>
      <c r="G1750" s="5" t="n"/>
      <c r="H1750" s="5" t="n"/>
      <c r="I1750" s="5" t="n"/>
      <c r="J1750" s="5" t="n"/>
    </row>
    <row r="1751" ht="30" customHeight="1" s="45">
      <c r="A1751" s="5" t="n"/>
      <c r="B1751" s="5" t="n"/>
      <c r="C1751" s="5" t="n"/>
      <c r="D1751" s="5" t="n"/>
      <c r="E1751" s="5" t="n"/>
      <c r="F1751" s="5" t="n"/>
      <c r="G1751" s="5" t="n"/>
      <c r="H1751" s="5" t="n"/>
      <c r="I1751" s="5" t="n"/>
      <c r="J1751" s="5" t="n"/>
    </row>
  </sheetData>
  <autoFilter ref="A2:L1752"/>
  <conditionalFormatting sqref="L3:L1752">
    <cfRule type="expression" priority="1" dxfId="12">
      <formula>$L3=1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FF9999"/>
    <outlinePr summaryBelow="1" summaryRight="1"/>
    <pageSetUpPr/>
  </sheetPr>
  <dimension ref="A1:H59"/>
  <sheetViews>
    <sheetView showGridLines="0" workbookViewId="0">
      <selection activeCell="A1" sqref="A1:H1"/>
    </sheetView>
  </sheetViews>
  <sheetFormatPr baseColWidth="8" defaultRowHeight="15"/>
  <cols>
    <col width="18" customWidth="1" style="45" min="1" max="9"/>
    <col width="80" customWidth="1" style="45" min="10" max="10"/>
  </cols>
  <sheetData>
    <row r="1">
      <c r="A1" s="48" t="inlineStr">
        <is>
          <t>V10 Dynamic Interval Optimization Audit</t>
        </is>
      </c>
      <c r="B1" s="49" t="n"/>
      <c r="C1" s="49" t="n"/>
      <c r="D1" s="49" t="n"/>
      <c r="E1" s="49" t="n"/>
      <c r="F1" s="49" t="n"/>
      <c r="G1" s="49" t="n"/>
      <c r="H1" s="50" t="n"/>
    </row>
    <row r="2">
      <c r="A2" s="19" t="inlineStr">
        <is>
          <t>Metric</t>
        </is>
      </c>
      <c r="B2" s="19" t="inlineStr">
        <is>
          <t>Value</t>
        </is>
      </c>
      <c r="C2" s="19" t="inlineStr">
        <is>
          <t>Comment</t>
        </is>
      </c>
    </row>
    <row r="3">
      <c r="A3" t="inlineStr">
        <is>
          <t>Active requirement sheet</t>
        </is>
      </c>
      <c r="B3" s="55" t="inlineStr">
        <is>
          <t>FT Wise</t>
        </is>
      </c>
      <c r="C3" t="inlineStr">
        <is>
          <t>Auto-selects 30-min sheet only when it has positive requirements</t>
        </is>
      </c>
    </row>
    <row r="4">
      <c r="A4" t="inlineStr">
        <is>
          <t>Interval minutes</t>
        </is>
      </c>
      <c r="B4" s="55" t="n">
        <v>60</v>
      </c>
      <c r="C4" t="inlineStr">
        <is>
          <t>60 or 30</t>
        </is>
      </c>
    </row>
    <row r="5">
      <c r="A5" t="inlineStr">
        <is>
          <t>Shift start step minutes</t>
        </is>
      </c>
      <c r="B5" s="55" t="n">
        <v>60</v>
      </c>
      <c r="C5" t="inlineStr">
        <is>
          <t>60 for hourly starts; 30 for half-hour starts</t>
        </is>
      </c>
    </row>
    <row r="6">
      <c r="A6" t="inlineStr">
        <is>
          <t>Target threshold</t>
        </is>
      </c>
      <c r="B6" s="54" t="n">
        <v>0.9</v>
      </c>
      <c r="C6" t="inlineStr">
        <is>
          <t>Interval win threshold from Instructions</t>
        </is>
      </c>
    </row>
    <row r="7">
      <c r="A7" t="inlineStr">
        <is>
          <t>Target interval wins</t>
        </is>
      </c>
      <c r="B7" s="55" t="inlineStr">
        <is>
          <t>116 / 126</t>
        </is>
      </c>
      <c r="C7" t="inlineStr">
        <is>
          <t>After shrinkage, before breaks</t>
        </is>
      </c>
    </row>
    <row r="8">
      <c r="A8" t="inlineStr">
        <is>
          <t>After-break target wins</t>
        </is>
      </c>
      <c r="B8" s="55" t="inlineStr">
        <is>
          <t>94 / 126</t>
        </is>
      </c>
      <c r="C8" t="inlineStr">
        <is>
          <t>Break deductions included</t>
        </is>
      </c>
    </row>
    <row r="9">
      <c r="A9" t="inlineStr">
        <is>
          <t>100% wins</t>
        </is>
      </c>
      <c r="B9" s="55" t="inlineStr">
        <is>
          <t>85 / 126</t>
        </is>
      </c>
      <c r="C9" t="inlineStr">
        <is>
          <t>Strict Actual/Required &gt;= 100%</t>
        </is>
      </c>
    </row>
    <row r="10">
      <c r="A10" t="inlineStr">
        <is>
          <t>80% minimum wins</t>
        </is>
      </c>
      <c r="B10" s="55" t="inlineStr">
        <is>
          <t>126 / 126</t>
        </is>
      </c>
      <c r="C10" t="inlineStr">
        <is>
          <t>Minimum interval check</t>
        </is>
      </c>
    </row>
    <row r="11">
      <c r="A11" t="inlineStr">
        <is>
          <t>70% hard-floor wins</t>
        </is>
      </c>
      <c r="B11" s="55" t="inlineStr">
        <is>
          <t>126 / 126</t>
        </is>
      </c>
      <c r="C11" t="inlineStr">
        <is>
          <t>Minimum minus tolerance</t>
        </is>
      </c>
    </row>
    <row r="12">
      <c r="A12" t="inlineStr">
        <is>
          <t>Lowest interval %</t>
        </is>
      </c>
      <c r="B12" s="54" t="n">
        <v>0.8466569767441861</v>
      </c>
      <c r="C12" t="inlineStr">
        <is>
          <t>Before breaks</t>
        </is>
      </c>
    </row>
    <row r="13">
      <c r="A13" t="inlineStr">
        <is>
          <t>Shortage to target</t>
        </is>
      </c>
      <c r="B13" s="55" t="n">
        <v>3.141015275574096</v>
      </c>
      <c r="C13" t="inlineStr">
        <is>
          <t>Total FTE shortage to target threshold</t>
        </is>
      </c>
    </row>
    <row r="14">
      <c r="A14" t="inlineStr">
        <is>
          <t>Over 100%</t>
        </is>
      </c>
      <c r="B14" s="55" t="n">
        <v>418.9601894442627</v>
      </c>
      <c r="C14" t="inlineStr">
        <is>
          <t>Overstaffing is penalized</t>
        </is>
      </c>
    </row>
    <row r="15">
      <c r="A15" t="inlineStr">
        <is>
          <t>Normal associates optimized</t>
        </is>
      </c>
      <c r="B15" s="55" t="n">
        <v>43</v>
      </c>
      <c r="C15" t="inlineStr">
        <is>
          <t>Excludes dedicated fixed placeholders</t>
        </is>
      </c>
    </row>
    <row r="16">
      <c r="A16" t="inlineStr">
        <is>
          <t>Fixed associates</t>
        </is>
      </c>
      <c r="B16" s="55" t="n">
        <v>16</v>
      </c>
      <c r="C16" t="inlineStr">
        <is>
          <t>Dedicated fixed rows from Fixed Shift Requests</t>
        </is>
      </c>
    </row>
    <row r="17">
      <c r="A17" t="inlineStr">
        <is>
          <t>Solver status</t>
        </is>
      </c>
      <c r="B17" s="55" t="inlineStr">
        <is>
          <t>Optimization terminated successfully. (HiGHS Status 7: Optimal)</t>
        </is>
      </c>
      <c r="C17" t="inlineStr">
        <is>
          <t>Runtime 1.7s</t>
        </is>
      </c>
    </row>
    <row r="19">
      <c r="A19" s="48" t="inlineStr">
        <is>
          <t>Worst Intervals</t>
        </is>
      </c>
      <c r="B19" s="48" t="inlineStr">
        <is>
          <t>Day</t>
        </is>
      </c>
      <c r="C19" s="48" t="inlineStr">
        <is>
          <t>Interval</t>
        </is>
      </c>
      <c r="D19" s="48" t="inlineStr">
        <is>
          <t>Required</t>
        </is>
      </c>
      <c r="E19" s="48" t="inlineStr">
        <is>
          <t>Staffed HC</t>
        </is>
      </c>
      <c r="F19" s="48" t="inlineStr">
        <is>
          <t>Shrinkage</t>
        </is>
      </c>
      <c r="G19" s="48" t="inlineStr">
        <is>
          <t>After Shrinkage</t>
        </is>
      </c>
      <c r="H19" s="48" t="inlineStr">
        <is>
          <t>Actual/Required</t>
        </is>
      </c>
    </row>
    <row r="20">
      <c r="A20" t="n">
        <v>1</v>
      </c>
      <c r="B20" t="inlineStr">
        <is>
          <t>Fri</t>
        </is>
      </c>
      <c r="C20" t="inlineStr">
        <is>
          <t>16:00</t>
        </is>
      </c>
      <c r="D20" t="n">
        <v>17.2</v>
      </c>
      <c r="E20" t="n">
        <v>16</v>
      </c>
      <c r="F20" s="54" t="n">
        <v>0.08984375</v>
      </c>
      <c r="G20" t="n">
        <v>14.5625</v>
      </c>
      <c r="H20" s="54" t="n">
        <v>0.8466569767441861</v>
      </c>
    </row>
    <row r="21">
      <c r="A21" t="n">
        <v>2</v>
      </c>
      <c r="B21" t="inlineStr">
        <is>
          <t>Sun</t>
        </is>
      </c>
      <c r="C21" t="inlineStr">
        <is>
          <t>23:00</t>
        </is>
      </c>
      <c r="D21" t="n">
        <v>28</v>
      </c>
      <c r="E21" t="n">
        <v>27</v>
      </c>
      <c r="F21" s="54" t="n">
        <v>0.105</v>
      </c>
      <c r="G21" t="n">
        <v>24.165</v>
      </c>
      <c r="H21" s="54" t="n">
        <v>0.8630357142857142</v>
      </c>
    </row>
    <row r="22">
      <c r="A22" t="n">
        <v>3</v>
      </c>
      <c r="B22" t="inlineStr">
        <is>
          <t>Tue</t>
        </is>
      </c>
      <c r="C22" t="inlineStr">
        <is>
          <t>02:00</t>
        </is>
      </c>
      <c r="D22" t="n">
        <v>14.8</v>
      </c>
      <c r="E22" t="n">
        <v>15</v>
      </c>
      <c r="F22" s="54" t="n">
        <v>0.1470588235294118</v>
      </c>
      <c r="G22" t="n">
        <v>12.79411764705882</v>
      </c>
      <c r="H22" s="54" t="n">
        <v>0.8644674085850556</v>
      </c>
    </row>
    <row r="23">
      <c r="A23" t="n">
        <v>4</v>
      </c>
      <c r="B23" t="inlineStr">
        <is>
          <t>Fri</t>
        </is>
      </c>
      <c r="C23" t="inlineStr">
        <is>
          <t>14:00</t>
        </is>
      </c>
      <c r="D23" t="n">
        <v>5.8</v>
      </c>
      <c r="E23" t="n">
        <v>6</v>
      </c>
      <c r="F23" s="54" t="n">
        <v>0.141025641025641</v>
      </c>
      <c r="G23" t="n">
        <v>5.153846153846154</v>
      </c>
      <c r="H23" s="54" t="n">
        <v>0.8885941644562335</v>
      </c>
    </row>
    <row r="24">
      <c r="A24" t="n">
        <v>5</v>
      </c>
      <c r="B24" t="inlineStr">
        <is>
          <t>Thu</t>
        </is>
      </c>
      <c r="C24" t="inlineStr">
        <is>
          <t>02:00</t>
        </is>
      </c>
      <c r="D24" t="n">
        <v>15.6</v>
      </c>
      <c r="E24" t="n">
        <v>16</v>
      </c>
      <c r="F24" s="54" t="n">
        <v>0.1333333333333333</v>
      </c>
      <c r="G24" t="n">
        <v>13.86666666666667</v>
      </c>
      <c r="H24" s="54" t="n">
        <v>0.888888888888889</v>
      </c>
    </row>
    <row r="25">
      <c r="A25" t="n">
        <v>6</v>
      </c>
      <c r="B25" t="inlineStr">
        <is>
          <t>Thu</t>
        </is>
      </c>
      <c r="C25" t="inlineStr">
        <is>
          <t>14:00</t>
        </is>
      </c>
      <c r="D25" t="n">
        <v>6.6</v>
      </c>
      <c r="E25" t="n">
        <v>7</v>
      </c>
      <c r="F25" s="54" t="n">
        <v>0.1571428571428571</v>
      </c>
      <c r="G25" t="n">
        <v>5.9</v>
      </c>
      <c r="H25" s="54" t="n">
        <v>0.893939393939394</v>
      </c>
    </row>
    <row r="26">
      <c r="A26" t="n">
        <v>7</v>
      </c>
      <c r="B26" t="inlineStr">
        <is>
          <t>Thu</t>
        </is>
      </c>
      <c r="C26" t="inlineStr">
        <is>
          <t>23:00</t>
        </is>
      </c>
      <c r="D26" t="n">
        <v>44</v>
      </c>
      <c r="E26" t="n">
        <v>44</v>
      </c>
      <c r="F26" s="54" t="n">
        <v>0.1057142857142857</v>
      </c>
      <c r="G26" t="n">
        <v>39.34857142857143</v>
      </c>
      <c r="H26" s="54" t="n">
        <v>0.8942857142857144</v>
      </c>
    </row>
    <row r="27">
      <c r="A27" t="n">
        <v>8</v>
      </c>
      <c r="B27" t="inlineStr">
        <is>
          <t>Tue</t>
        </is>
      </c>
      <c r="C27" t="inlineStr">
        <is>
          <t>15:00</t>
        </is>
      </c>
      <c r="D27" t="n">
        <v>12.9</v>
      </c>
      <c r="E27" t="n">
        <v>13</v>
      </c>
      <c r="F27" s="54" t="n">
        <v>0.1111111111111111</v>
      </c>
      <c r="G27" t="n">
        <v>11.55555555555556</v>
      </c>
      <c r="H27" s="54" t="n">
        <v>0.8957795004306632</v>
      </c>
    </row>
    <row r="28">
      <c r="A28" t="n">
        <v>9</v>
      </c>
      <c r="B28" t="inlineStr">
        <is>
          <t>Mon</t>
        </is>
      </c>
      <c r="C28" t="inlineStr">
        <is>
          <t>15:00</t>
        </is>
      </c>
      <c r="D28" t="n">
        <v>13.7</v>
      </c>
      <c r="E28" t="n">
        <v>15</v>
      </c>
      <c r="F28" s="54" t="n">
        <v>0.1818181818181818</v>
      </c>
      <c r="G28" t="n">
        <v>12.27272727272727</v>
      </c>
      <c r="H28" s="54" t="n">
        <v>0.8958195089581952</v>
      </c>
    </row>
    <row r="29">
      <c r="A29" t="n">
        <v>10</v>
      </c>
      <c r="B29" t="inlineStr">
        <is>
          <t>Wed</t>
        </is>
      </c>
      <c r="C29" t="inlineStr">
        <is>
          <t>02:00</t>
        </is>
      </c>
      <c r="D29" t="n">
        <v>14.8</v>
      </c>
      <c r="E29" t="n">
        <v>16</v>
      </c>
      <c r="F29" s="54" t="n">
        <v>0.16875</v>
      </c>
      <c r="G29" t="n">
        <v>13.3</v>
      </c>
      <c r="H29" s="54" t="n">
        <v>0.8986486486486487</v>
      </c>
    </row>
    <row r="30">
      <c r="A30" t="n">
        <v>11</v>
      </c>
      <c r="B30" t="inlineStr">
        <is>
          <t>Sat</t>
        </is>
      </c>
      <c r="C30" t="inlineStr">
        <is>
          <t>13:00</t>
        </is>
      </c>
      <c r="D30" t="n">
        <v>2.9</v>
      </c>
      <c r="E30" t="n">
        <v>3</v>
      </c>
      <c r="F30" s="54" t="n">
        <v>0.125</v>
      </c>
      <c r="G30" t="n">
        <v>2.625</v>
      </c>
      <c r="H30" s="54" t="n">
        <v>0.9051724137931034</v>
      </c>
    </row>
    <row r="31">
      <c r="A31" t="n">
        <v>12</v>
      </c>
      <c r="B31" t="inlineStr">
        <is>
          <t>Thu</t>
        </is>
      </c>
      <c r="C31" t="inlineStr">
        <is>
          <t>03:00</t>
        </is>
      </c>
      <c r="D31" t="n">
        <v>12.8</v>
      </c>
      <c r="E31" t="n">
        <v>13</v>
      </c>
      <c r="F31" s="54" t="n">
        <v>0.1083333333333333</v>
      </c>
      <c r="G31" t="n">
        <v>11.59166666666667</v>
      </c>
      <c r="H31" s="54" t="n">
        <v>0.9055989583333333</v>
      </c>
    </row>
    <row r="32">
      <c r="A32" t="n">
        <v>13</v>
      </c>
      <c r="B32" t="inlineStr">
        <is>
          <t>Sat</t>
        </is>
      </c>
      <c r="C32" t="inlineStr">
        <is>
          <t>23:00</t>
        </is>
      </c>
      <c r="D32" t="n">
        <v>28.6</v>
      </c>
      <c r="E32" t="n">
        <v>31</v>
      </c>
      <c r="F32" s="54" t="n">
        <v>0.1590909090909091</v>
      </c>
      <c r="G32" t="n">
        <v>26.06818181818182</v>
      </c>
      <c r="H32" s="54" t="n">
        <v>0.9114748887476161</v>
      </c>
    </row>
    <row r="33">
      <c r="A33" t="n">
        <v>14</v>
      </c>
      <c r="B33" t="inlineStr">
        <is>
          <t>Wed</t>
        </is>
      </c>
      <c r="C33" t="inlineStr">
        <is>
          <t>15:00</t>
        </is>
      </c>
      <c r="D33" t="n">
        <v>12.9</v>
      </c>
      <c r="E33" t="n">
        <v>13</v>
      </c>
      <c r="F33" s="54" t="n">
        <v>0.09027777777777778</v>
      </c>
      <c r="G33" t="n">
        <v>11.82638888888889</v>
      </c>
      <c r="H33" s="54" t="n">
        <v>0.9167743324720069</v>
      </c>
    </row>
    <row r="34">
      <c r="A34" t="n">
        <v>15</v>
      </c>
      <c r="B34" t="inlineStr">
        <is>
          <t>Wed</t>
        </is>
      </c>
      <c r="C34" t="inlineStr">
        <is>
          <t>16:00</t>
        </is>
      </c>
      <c r="D34" t="n">
        <v>16.4</v>
      </c>
      <c r="E34" t="n">
        <v>16</v>
      </c>
      <c r="F34" s="54" t="n">
        <v>0.053125</v>
      </c>
      <c r="G34" t="n">
        <v>15.15</v>
      </c>
      <c r="H34" s="54" t="n">
        <v>0.9237804878048782</v>
      </c>
    </row>
    <row r="35">
      <c r="A35" t="n">
        <v>16</v>
      </c>
      <c r="B35" t="inlineStr">
        <is>
          <t>Tue</t>
        </is>
      </c>
      <c r="C35" t="inlineStr">
        <is>
          <t>23:00</t>
        </is>
      </c>
      <c r="D35" t="n">
        <v>42.4</v>
      </c>
      <c r="E35" t="n">
        <v>44</v>
      </c>
      <c r="F35" s="54" t="n">
        <v>0.1057142857142857</v>
      </c>
      <c r="G35" t="n">
        <v>39.34857142857143</v>
      </c>
      <c r="H35" s="54" t="n">
        <v>0.9280323450134772</v>
      </c>
    </row>
    <row r="36">
      <c r="A36" t="n">
        <v>17</v>
      </c>
      <c r="B36" t="inlineStr">
        <is>
          <t>Sat</t>
        </is>
      </c>
      <c r="C36" t="inlineStr">
        <is>
          <t>20:00</t>
        </is>
      </c>
      <c r="D36" t="n">
        <v>20.2</v>
      </c>
      <c r="E36" t="n">
        <v>22</v>
      </c>
      <c r="F36" s="54" t="n">
        <v>0.1461538461538461</v>
      </c>
      <c r="G36" t="n">
        <v>18.78461538461539</v>
      </c>
      <c r="H36" s="54" t="n">
        <v>0.92993145468393</v>
      </c>
    </row>
    <row r="37">
      <c r="A37" t="n">
        <v>18</v>
      </c>
      <c r="B37" t="inlineStr">
        <is>
          <t>Sat</t>
        </is>
      </c>
      <c r="C37" t="inlineStr">
        <is>
          <t>18:00</t>
        </is>
      </c>
      <c r="D37" t="n">
        <v>18.6</v>
      </c>
      <c r="E37" t="n">
        <v>20</v>
      </c>
      <c r="F37" s="54" t="n">
        <v>0.1347826086956522</v>
      </c>
      <c r="G37" t="n">
        <v>17.30434782608696</v>
      </c>
      <c r="H37" s="54" t="n">
        <v>0.930341280972417</v>
      </c>
    </row>
    <row r="38">
      <c r="A38" t="n">
        <v>19</v>
      </c>
      <c r="B38" t="inlineStr">
        <is>
          <t>Thu</t>
        </is>
      </c>
      <c r="C38" t="inlineStr">
        <is>
          <t>16:00</t>
        </is>
      </c>
      <c r="D38" t="n">
        <v>15.6</v>
      </c>
      <c r="E38" t="n">
        <v>16</v>
      </c>
      <c r="F38" s="54" t="n">
        <v>0.09285714285714286</v>
      </c>
      <c r="G38" t="n">
        <v>14.51428571428571</v>
      </c>
      <c r="H38" s="54" t="n">
        <v>0.9304029304029304</v>
      </c>
    </row>
    <row r="39">
      <c r="A39" t="n">
        <v>20</v>
      </c>
      <c r="B39" t="inlineStr">
        <is>
          <t>Sat</t>
        </is>
      </c>
      <c r="C39" t="inlineStr">
        <is>
          <t>21:00</t>
        </is>
      </c>
      <c r="D39" t="n">
        <v>19.9</v>
      </c>
      <c r="E39" t="n">
        <v>22</v>
      </c>
      <c r="F39" s="54" t="n">
        <v>0.1581196581196581</v>
      </c>
      <c r="G39" t="n">
        <v>18.52136752136752</v>
      </c>
      <c r="H39" s="54" t="n">
        <v>0.9307219859983681</v>
      </c>
    </row>
    <row r="40">
      <c r="A40" t="n">
        <v>21</v>
      </c>
      <c r="B40" t="inlineStr">
        <is>
          <t>Sat</t>
        </is>
      </c>
      <c r="C40" t="inlineStr">
        <is>
          <t>19:00</t>
        </is>
      </c>
      <c r="D40" t="n">
        <v>19.4</v>
      </c>
      <c r="E40" t="n">
        <v>21</v>
      </c>
      <c r="F40" s="54" t="n">
        <v>0.132</v>
      </c>
      <c r="G40" t="n">
        <v>18.228</v>
      </c>
      <c r="H40" s="54" t="n">
        <v>0.9395876288659796</v>
      </c>
    </row>
    <row r="41">
      <c r="A41" t="n">
        <v>22</v>
      </c>
      <c r="B41" t="inlineStr">
        <is>
          <t>Fri</t>
        </is>
      </c>
      <c r="C41" t="inlineStr">
        <is>
          <t>02:00</t>
        </is>
      </c>
      <c r="D41" t="n">
        <v>13.2</v>
      </c>
      <c r="E41" t="n">
        <v>14</v>
      </c>
      <c r="F41" s="54" t="n">
        <v>0.1136363636363636</v>
      </c>
      <c r="G41" t="n">
        <v>12.40909090909091</v>
      </c>
      <c r="H41" s="54" t="n">
        <v>0.9400826446280992</v>
      </c>
    </row>
    <row r="42">
      <c r="A42" t="n">
        <v>23</v>
      </c>
      <c r="B42" t="inlineStr">
        <is>
          <t>Sat</t>
        </is>
      </c>
      <c r="C42" t="inlineStr">
        <is>
          <t>14:00</t>
        </is>
      </c>
      <c r="D42" t="n">
        <v>5.8</v>
      </c>
      <c r="E42" t="n">
        <v>6</v>
      </c>
      <c r="F42" s="54" t="n">
        <v>0.08928571428571429</v>
      </c>
      <c r="G42" t="n">
        <v>5.464285714285714</v>
      </c>
      <c r="H42" s="54" t="n">
        <v>0.9421182266009853</v>
      </c>
    </row>
    <row r="43">
      <c r="A43" t="n">
        <v>24</v>
      </c>
      <c r="B43" t="inlineStr">
        <is>
          <t>Sat</t>
        </is>
      </c>
      <c r="C43" t="inlineStr">
        <is>
          <t>02:00</t>
        </is>
      </c>
      <c r="D43" t="n">
        <v>9.9</v>
      </c>
      <c r="E43" t="n">
        <v>11</v>
      </c>
      <c r="F43" s="54" t="n">
        <v>0.15</v>
      </c>
      <c r="G43" t="n">
        <v>9.35</v>
      </c>
      <c r="H43" s="54" t="n">
        <v>0.9444444444444444</v>
      </c>
    </row>
    <row r="44">
      <c r="A44" t="n">
        <v>25</v>
      </c>
      <c r="B44" t="inlineStr">
        <is>
          <t>Sat</t>
        </is>
      </c>
      <c r="C44" t="inlineStr">
        <is>
          <t>17:00</t>
        </is>
      </c>
      <c r="D44" t="n">
        <v>18.3</v>
      </c>
      <c r="E44" t="n">
        <v>20</v>
      </c>
      <c r="F44" s="54" t="n">
        <v>0.1347826086956522</v>
      </c>
      <c r="G44" t="n">
        <v>17.30434782608696</v>
      </c>
      <c r="H44" s="54" t="n">
        <v>0.9455927773818009</v>
      </c>
    </row>
    <row r="45">
      <c r="A45" t="n">
        <v>26</v>
      </c>
      <c r="B45" t="inlineStr">
        <is>
          <t>Tue</t>
        </is>
      </c>
      <c r="C45" t="inlineStr">
        <is>
          <t>14:00</t>
        </is>
      </c>
      <c r="D45" t="n">
        <v>6.6</v>
      </c>
      <c r="E45" t="n">
        <v>7</v>
      </c>
      <c r="F45" s="54" t="n">
        <v>0.1041666666666667</v>
      </c>
      <c r="G45" t="n">
        <v>6.270833333333333</v>
      </c>
      <c r="H45" s="54" t="n">
        <v>0.9501262626262627</v>
      </c>
    </row>
    <row r="46">
      <c r="A46" t="n">
        <v>27</v>
      </c>
      <c r="B46" t="inlineStr">
        <is>
          <t>Mon</t>
        </is>
      </c>
      <c r="C46" t="inlineStr">
        <is>
          <t>16:00</t>
        </is>
      </c>
      <c r="D46" t="n">
        <v>15.6</v>
      </c>
      <c r="E46" t="n">
        <v>16</v>
      </c>
      <c r="F46" s="54" t="n">
        <v>0.07037037037037036</v>
      </c>
      <c r="G46" t="n">
        <v>14.87407407407407</v>
      </c>
      <c r="H46" s="54" t="n">
        <v>0.9534662867996201</v>
      </c>
    </row>
    <row r="47">
      <c r="A47" t="n">
        <v>28</v>
      </c>
      <c r="B47" t="inlineStr">
        <is>
          <t>Sat</t>
        </is>
      </c>
      <c r="C47" t="inlineStr">
        <is>
          <t>04:00</t>
        </is>
      </c>
      <c r="D47" t="n">
        <v>8.699999999999999</v>
      </c>
      <c r="E47" t="n">
        <v>10</v>
      </c>
      <c r="F47" s="54" t="n">
        <v>0.1688311688311688</v>
      </c>
      <c r="G47" t="n">
        <v>8.311688311688313</v>
      </c>
      <c r="H47" s="54" t="n">
        <v>0.9553664726078521</v>
      </c>
    </row>
    <row r="48">
      <c r="A48" t="n">
        <v>29</v>
      </c>
      <c r="B48" t="inlineStr">
        <is>
          <t>Sun</t>
        </is>
      </c>
      <c r="C48" t="inlineStr">
        <is>
          <t>14:00</t>
        </is>
      </c>
      <c r="D48" t="n">
        <v>3.4</v>
      </c>
      <c r="E48" t="n">
        <v>4</v>
      </c>
      <c r="F48" s="54" t="n">
        <v>0.1836734693877551</v>
      </c>
      <c r="G48" t="n">
        <v>3.26530612244898</v>
      </c>
      <c r="H48" s="54" t="n">
        <v>0.9603841536614647</v>
      </c>
    </row>
    <row r="49">
      <c r="A49" t="n">
        <v>30</v>
      </c>
      <c r="B49" t="inlineStr">
        <is>
          <t>Wed</t>
        </is>
      </c>
      <c r="C49" t="inlineStr">
        <is>
          <t>23:00</t>
        </is>
      </c>
      <c r="D49" t="n">
        <v>40.8</v>
      </c>
      <c r="E49" t="n">
        <v>44</v>
      </c>
      <c r="F49" s="54" t="n">
        <v>0.1057142857142857</v>
      </c>
      <c r="G49" t="n">
        <v>39.34857142857143</v>
      </c>
      <c r="H49" s="54" t="n">
        <v>0.9644257703081234</v>
      </c>
    </row>
    <row r="50">
      <c r="A50" t="n">
        <v>31</v>
      </c>
      <c r="B50" t="inlineStr">
        <is>
          <t>Tue</t>
        </is>
      </c>
      <c r="C50" t="inlineStr">
        <is>
          <t>16:00</t>
        </is>
      </c>
      <c r="D50" t="n">
        <v>15.6</v>
      </c>
      <c r="E50" t="n">
        <v>16</v>
      </c>
      <c r="F50" s="54" t="n">
        <v>0.05862068965517241</v>
      </c>
      <c r="G50" t="n">
        <v>15.06206896551724</v>
      </c>
      <c r="H50" s="54" t="n">
        <v>0.9655172413793104</v>
      </c>
    </row>
    <row r="51">
      <c r="A51" t="n">
        <v>32</v>
      </c>
      <c r="B51" t="inlineStr">
        <is>
          <t>Wed</t>
        </is>
      </c>
      <c r="C51" t="inlineStr">
        <is>
          <t>14:00</t>
        </is>
      </c>
      <c r="D51" t="n">
        <v>6.6</v>
      </c>
      <c r="E51" t="n">
        <v>7</v>
      </c>
      <c r="F51" s="54" t="n">
        <v>0.08928571428571429</v>
      </c>
      <c r="G51" t="n">
        <v>6.375</v>
      </c>
      <c r="H51" s="54" t="n">
        <v>0.9659090909090909</v>
      </c>
    </row>
    <row r="52">
      <c r="A52" t="n">
        <v>33</v>
      </c>
      <c r="B52" t="inlineStr">
        <is>
          <t>Fri</t>
        </is>
      </c>
      <c r="C52" t="inlineStr">
        <is>
          <t>15:00</t>
        </is>
      </c>
      <c r="D52" t="n">
        <v>12.9</v>
      </c>
      <c r="E52" t="n">
        <v>15</v>
      </c>
      <c r="F52" s="54" t="n">
        <v>0.1607142857142857</v>
      </c>
      <c r="G52" t="n">
        <v>12.58928571428572</v>
      </c>
      <c r="H52" s="54" t="n">
        <v>0.9759136212624585</v>
      </c>
    </row>
    <row r="53">
      <c r="A53" t="n">
        <v>34</v>
      </c>
      <c r="B53" t="inlineStr">
        <is>
          <t>Sun</t>
        </is>
      </c>
      <c r="C53" t="inlineStr">
        <is>
          <t>18:00</t>
        </is>
      </c>
      <c r="D53" t="n">
        <v>14.3</v>
      </c>
      <c r="E53" t="n">
        <v>16</v>
      </c>
      <c r="F53" s="54" t="n">
        <v>0.1241830065359477</v>
      </c>
      <c r="G53" t="n">
        <v>14.01307189542484</v>
      </c>
      <c r="H53" s="54" t="n">
        <v>0.9799350975821564</v>
      </c>
    </row>
    <row r="54">
      <c r="A54" t="n">
        <v>35</v>
      </c>
      <c r="B54" t="inlineStr">
        <is>
          <t>Sat</t>
        </is>
      </c>
      <c r="C54" t="inlineStr">
        <is>
          <t>05:00</t>
        </is>
      </c>
      <c r="D54" t="n">
        <v>8.6</v>
      </c>
      <c r="E54" t="n">
        <v>10</v>
      </c>
      <c r="F54" s="54" t="n">
        <v>0.1571428571428571</v>
      </c>
      <c r="G54" t="n">
        <v>8.428571428571429</v>
      </c>
      <c r="H54" s="54" t="n">
        <v>0.9800664451827243</v>
      </c>
    </row>
    <row r="55">
      <c r="A55" t="n">
        <v>36</v>
      </c>
      <c r="B55" t="inlineStr">
        <is>
          <t>Sun</t>
        </is>
      </c>
      <c r="C55" t="inlineStr">
        <is>
          <t>00:00</t>
        </is>
      </c>
      <c r="D55" t="n">
        <v>18.3</v>
      </c>
      <c r="E55" t="n">
        <v>21</v>
      </c>
      <c r="F55" s="54" t="n">
        <v>0.1421052631578947</v>
      </c>
      <c r="G55" t="n">
        <v>18.01578947368421</v>
      </c>
      <c r="H55" s="54" t="n">
        <v>0.9844693701466782</v>
      </c>
    </row>
    <row r="56">
      <c r="A56" t="n">
        <v>37</v>
      </c>
      <c r="B56" t="inlineStr">
        <is>
          <t>Mon</t>
        </is>
      </c>
      <c r="C56" t="inlineStr">
        <is>
          <t>14:00</t>
        </is>
      </c>
      <c r="D56" t="n">
        <v>6.6</v>
      </c>
      <c r="E56" t="n">
        <v>8</v>
      </c>
      <c r="F56" s="54" t="n">
        <v>0.1875</v>
      </c>
      <c r="G56" t="n">
        <v>6.5</v>
      </c>
      <c r="H56" s="54" t="n">
        <v>0.9848484848484849</v>
      </c>
    </row>
    <row r="57">
      <c r="A57" t="n">
        <v>38</v>
      </c>
      <c r="B57" t="inlineStr">
        <is>
          <t>Wed</t>
        </is>
      </c>
      <c r="C57" t="inlineStr">
        <is>
          <t>03:00</t>
        </is>
      </c>
      <c r="D57" t="n">
        <v>11.2</v>
      </c>
      <c r="E57" t="n">
        <v>13</v>
      </c>
      <c r="F57" s="54" t="n">
        <v>0.15</v>
      </c>
      <c r="G57" t="n">
        <v>11.05</v>
      </c>
      <c r="H57" s="54" t="n">
        <v>0.9866071428571428</v>
      </c>
    </row>
    <row r="58">
      <c r="A58" t="n">
        <v>39</v>
      </c>
      <c r="B58" t="inlineStr">
        <is>
          <t>Sun</t>
        </is>
      </c>
      <c r="C58" t="inlineStr">
        <is>
          <t>20:00</t>
        </is>
      </c>
      <c r="D58" t="n">
        <v>15.9</v>
      </c>
      <c r="E58" t="n">
        <v>18</v>
      </c>
      <c r="F58" s="54" t="n">
        <v>0.1228070175438597</v>
      </c>
      <c r="G58" t="n">
        <v>15.78947368421053</v>
      </c>
      <c r="H58" s="54" t="n">
        <v>0.9930486593843098</v>
      </c>
    </row>
    <row r="59">
      <c r="A59" t="n">
        <v>40</v>
      </c>
      <c r="B59" t="inlineStr">
        <is>
          <t>Sun</t>
        </is>
      </c>
      <c r="C59" t="inlineStr">
        <is>
          <t>01:00</t>
        </is>
      </c>
      <c r="D59" t="n">
        <v>15.1</v>
      </c>
      <c r="E59" t="n">
        <v>18</v>
      </c>
      <c r="F59" s="54" t="n">
        <v>0.1666666666666667</v>
      </c>
      <c r="G59" t="n">
        <v>15</v>
      </c>
      <c r="H59" s="54" t="n">
        <v>0.9933774834437085</v>
      </c>
    </row>
  </sheetData>
  <mergeCells count="1">
    <mergeCell ref="A1:H1"/>
  </mergeCells>
  <conditionalFormatting sqref="F24:F103">
    <cfRule type="cellIs" priority="1" operator="lessThan" dxfId="12">
      <formula>0.7</formula>
    </cfRule>
    <cfRule type="cellIs" priority="2" operator="between" dxfId="11">
      <formula>0.7</formula>
      <formula>0.8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D9EAD3"/>
    <outlinePr summaryBelow="1" summaryRight="1"/>
    <pageSetUpPr/>
  </sheetPr>
  <dimension ref="A1:F3"/>
  <sheetViews>
    <sheetView showGridLines="0" workbookViewId="0">
      <selection activeCell="A1" sqref="A1"/>
    </sheetView>
  </sheetViews>
  <sheetFormatPr baseColWidth="8" defaultRowHeight="15"/>
  <cols>
    <col width="22" customWidth="1" style="45" min="1" max="7"/>
    <col width="60" customWidth="1" style="45" min="8" max="8"/>
    <col width="16" customWidth="1" style="45" min="9" max="9"/>
  </cols>
  <sheetData>
    <row r="1">
      <c r="A1" s="48" t="inlineStr">
        <is>
          <t>Scenario</t>
        </is>
      </c>
      <c r="B1" s="48" t="inlineStr">
        <is>
          <t>Target Wins</t>
        </is>
      </c>
      <c r="C1" s="48" t="inlineStr">
        <is>
          <t>80% Wins</t>
        </is>
      </c>
      <c r="D1" s="48" t="inlineStr">
        <is>
          <t>70% Wins</t>
        </is>
      </c>
      <c r="E1" s="48" t="inlineStr">
        <is>
          <t>Lowest %</t>
        </is>
      </c>
      <c r="F1" s="48" t="inlineStr">
        <is>
          <t>Decision</t>
        </is>
      </c>
    </row>
    <row r="2">
      <c r="A2" t="inlineStr">
        <is>
          <t>V9 Target-90 MILP</t>
        </is>
      </c>
      <c r="B2" t="inlineStr">
        <is>
          <t>116/126</t>
        </is>
      </c>
      <c r="C2" t="inlineStr">
        <is>
          <t>126/126</t>
        </is>
      </c>
      <c r="D2" t="inlineStr">
        <is>
          <t>126/126</t>
        </is>
      </c>
      <c r="E2" s="54" t="n">
        <v>0.8466569767441861</v>
      </c>
      <c r="F2" t="inlineStr">
        <is>
          <t>Use this version</t>
        </is>
      </c>
    </row>
    <row r="3">
      <c r="A3" t="inlineStr">
        <is>
          <t>Previous heuristic issue</t>
        </is>
      </c>
      <c r="B3" t="inlineStr">
        <is>
          <t>Left some required intervals uncovered</t>
        </is>
      </c>
      <c r="C3" t="inlineStr">
        <is>
          <t>N/A</t>
        </is>
      </c>
      <c r="D3" t="inlineStr">
        <is>
          <t>N/A</t>
        </is>
      </c>
      <c r="E3" t="inlineStr">
        <is>
          <t>0% on several intervals</t>
        </is>
      </c>
      <c r="F3" t="inlineStr">
        <is>
          <t>Rejected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DDEBF7"/>
    <outlinePr summaryBelow="1" summaryRight="1"/>
    <pageSetUpPr/>
  </sheetPr>
  <dimension ref="A1:K7"/>
  <sheetViews>
    <sheetView showGridLines="0" workbookViewId="0">
      <selection activeCell="A1" sqref="A1:G1"/>
    </sheetView>
  </sheetViews>
  <sheetFormatPr baseColWidth="8" defaultRowHeight="15"/>
  <cols>
    <col width="18" customWidth="1" style="45" min="1" max="1"/>
    <col width="16" customWidth="1" style="45" min="2" max="4"/>
    <col width="28" customWidth="1" style="45" min="5" max="5"/>
    <col width="55" customWidth="1" style="45" min="6" max="6"/>
    <col width="12" customWidth="1" style="45" min="7" max="7"/>
    <col width="22" customWidth="1" style="45" min="8" max="8"/>
    <col width="20" customWidth="1" style="45" min="9" max="9"/>
    <col width="22" customWidth="1" style="45" min="10" max="10"/>
    <col width="70" customWidth="1" style="45" min="11" max="11"/>
  </cols>
  <sheetData>
    <row r="1">
      <c r="A1" s="51" t="inlineStr">
        <is>
          <t>Language / Skill Setup</t>
        </is>
      </c>
    </row>
    <row r="3" ht="30" customHeight="1" s="45">
      <c r="A3" s="9" t="inlineStr">
        <is>
          <t>Language</t>
        </is>
      </c>
      <c r="B3" s="9" t="inlineStr">
        <is>
          <t>Coverage Start</t>
        </is>
      </c>
      <c r="C3" s="9" t="inlineStr">
        <is>
          <t>Coverage End</t>
        </is>
      </c>
      <c r="D3" s="9" t="inlineStr">
        <is>
          <t>Cross-skilled?</t>
        </is>
      </c>
      <c r="E3" s="9" t="inlineStr">
        <is>
          <t>Can Cover Languages</t>
        </is>
      </c>
      <c r="F3" s="9" t="inlineStr">
        <is>
          <t>Priority / Notes</t>
        </is>
      </c>
      <c r="G3" s="9" t="inlineStr">
        <is>
          <t>Active?</t>
        </is>
      </c>
      <c r="H3" s="42" t="inlineStr">
        <is>
          <t>Coverage Group</t>
        </is>
      </c>
      <c r="I3" s="42" t="inlineStr">
        <is>
          <t>Minimum Per Interval</t>
        </is>
      </c>
      <c r="J3" s="42" t="inlineStr">
        <is>
          <t>Language Balance Weight</t>
        </is>
      </c>
      <c r="K3" s="42" t="inlineStr">
        <is>
          <t>L2E37 Rule Notes</t>
        </is>
      </c>
    </row>
    <row r="4">
      <c r="A4" s="10" t="n"/>
      <c r="B4" s="56" t="n"/>
      <c r="C4" s="56" t="n"/>
      <c r="D4" s="10" t="n"/>
      <c r="E4" s="10" t="n"/>
      <c r="F4" s="10" t="n"/>
      <c r="G4" s="10" t="n"/>
    </row>
    <row r="5" ht="30" customHeight="1" s="45">
      <c r="A5" s="10" t="inlineStr">
        <is>
          <t>English</t>
        </is>
      </c>
      <c r="B5" s="56" t="n">
        <v>0.5416666666666666</v>
      </c>
      <c r="C5" s="56" t="n">
        <v>0.2916666666666667</v>
      </c>
      <c r="D5" s="10" t="inlineStr">
        <is>
          <t>No</t>
        </is>
      </c>
      <c r="E5" s="10" t="n"/>
      <c r="F5" s="10" t="inlineStr">
        <is>
          <t>Edit here; future Python optimizer can use this for language-specific demand.</t>
        </is>
      </c>
      <c r="G5" s="10" t="inlineStr">
        <is>
          <t>Yes</t>
        </is>
      </c>
      <c r="H5" s="43" t="inlineStr">
        <is>
          <t>English</t>
        </is>
      </c>
      <c r="I5" s="43" t="n">
        <v>0</v>
      </c>
      <c r="J5" s="43" t="n">
        <v>10</v>
      </c>
      <c r="K5" s="43" t="inlineStr">
        <is>
          <t>No minimum-per-interval requirement unless edited.</t>
        </is>
      </c>
    </row>
    <row r="6">
      <c r="A6" s="10" t="n"/>
      <c r="B6" s="56" t="n"/>
      <c r="C6" s="56" t="n"/>
      <c r="D6" s="10" t="n"/>
      <c r="E6" s="10" t="n"/>
      <c r="F6" s="10" t="n"/>
      <c r="G6" s="10" t="n"/>
    </row>
    <row r="7">
      <c r="A7" s="10" t="n"/>
      <c r="B7" s="56" t="n"/>
      <c r="C7" s="56" t="n"/>
      <c r="D7" s="10" t="n"/>
      <c r="E7" s="10" t="n"/>
      <c r="F7" s="10" t="n"/>
      <c r="G7" s="10" t="n"/>
    </row>
  </sheetData>
  <mergeCells count="1">
    <mergeCell ref="A1:G1"/>
  </mergeCells>
  <dataValidations count="1">
    <dataValidation sqref="D4:D7 G4:G7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D9EAD3"/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8" customWidth="1" style="45" min="1" max="3"/>
    <col width="80" customWidth="1" style="45" min="4" max="5"/>
    <col width="12" customWidth="1" style="45" min="6" max="6"/>
    <col width="28" customWidth="1" style="45" min="7" max="7"/>
  </cols>
  <sheetData>
    <row r="1">
      <c r="A1" s="48" t="inlineStr">
        <is>
          <t>Check</t>
        </is>
      </c>
      <c r="B1" s="48" t="inlineStr">
        <is>
          <t>Status</t>
        </is>
      </c>
      <c r="C1" s="48" t="inlineStr">
        <is>
          <t>Comment</t>
        </is>
      </c>
    </row>
    <row r="2">
      <c r="A2" t="inlineStr">
        <is>
          <t>Fixed unassigned rows</t>
        </is>
      </c>
      <c r="B2" t="inlineStr">
        <is>
          <t>OK</t>
        </is>
      </c>
      <c r="C2" t="inlineStr">
        <is>
          <t>Dedicated placeholders are fixed according to Fixed Shift Requests.</t>
        </is>
      </c>
    </row>
    <row r="3">
      <c r="A3" t="inlineStr">
        <is>
          <t>Coverage optimizer</t>
        </is>
      </c>
      <c r="B3" t="inlineStr">
        <is>
          <t>OK</t>
        </is>
      </c>
      <c r="C3" t="inlineStr">
        <is>
          <t>V9 optimizes the target threshold from Instructions first; strict 100% is secondary.</t>
        </is>
      </c>
    </row>
    <row r="4">
      <c r="A4" t="inlineStr">
        <is>
          <t>Shrinkage sheet</t>
        </is>
      </c>
      <c r="B4" t="inlineStr">
        <is>
          <t>OK</t>
        </is>
      </c>
      <c r="C4" t="inlineStr">
        <is>
          <t>The Shrinkage tab is preserved; it is not overwritten with formulas.</t>
        </is>
      </c>
    </row>
    <row r="5">
      <c r="A5" t="inlineStr">
        <is>
          <t>Blank requirement intervals</t>
        </is>
      </c>
      <c r="B5" t="inlineStr">
        <is>
          <t>OK</t>
        </is>
      </c>
      <c r="C5" t="inlineStr">
        <is>
          <t>Generated shifts avoid globally blank hours such as 07:00-12:00.</t>
        </is>
      </c>
    </row>
    <row r="6">
      <c r="A6" t="inlineStr">
        <is>
          <t>Compliance summary</t>
        </is>
      </c>
      <c r="B6" t="inlineStr">
        <is>
          <t>OK</t>
        </is>
      </c>
      <c r="C6" t="inlineStr">
        <is>
          <t>Required interval counts use &gt;0 required and target wins use Instructions!B15.</t>
        </is>
      </c>
    </row>
    <row r="7">
      <c r="A7" t="inlineStr">
        <is>
          <t>Formula recalculation</t>
        </is>
      </c>
      <c r="B7" t="inlineStr">
        <is>
          <t>OK</t>
        </is>
      </c>
      <c r="C7" t="inlineStr">
        <is>
          <t>Workbook is marked for full recalculation in Excel.</t>
        </is>
      </c>
    </row>
    <row r="8">
      <c r="A8" t="inlineStr">
        <is>
          <t>2026-07-07</t>
        </is>
      </c>
      <c r="B8" t="inlineStr">
        <is>
          <t>KPI Update</t>
        </is>
      </c>
      <c r="C8" t="inlineStr">
        <is>
          <t>Target set to 100%; production quality band 90%; minimum floor 80%; hard floor tolerance 0.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2"/>
  <sheetViews>
    <sheetView showGridLines="0" workbookViewId="0">
      <selection activeCell="A1" sqref="A1"/>
    </sheetView>
  </sheetViews>
  <sheetFormatPr baseColWidth="8" defaultRowHeight="15"/>
  <cols>
    <col width="21.42578125" customWidth="1" style="45" min="1" max="1"/>
    <col width="14" customWidth="1" style="45" min="2" max="2"/>
    <col width="11.28515625" customWidth="1" style="45" min="3" max="3"/>
    <col width="13" customWidth="1" style="45" min="4" max="9"/>
  </cols>
  <sheetData>
    <row r="1">
      <c r="A1" s="1" t="inlineStr">
        <is>
          <t>Name</t>
        </is>
      </c>
      <c r="B1" s="1" t="inlineStr">
        <is>
          <t>Language</t>
        </is>
      </c>
      <c r="C1" s="3" t="n">
        <v>46215</v>
      </c>
      <c r="D1" s="3" t="n">
        <v>46216</v>
      </c>
      <c r="E1" s="3" t="n">
        <v>46217</v>
      </c>
      <c r="F1" s="3" t="n">
        <v>46218</v>
      </c>
      <c r="G1" s="3" t="n">
        <v>46219</v>
      </c>
      <c r="H1" s="3" t="n">
        <v>46220</v>
      </c>
      <c r="I1" s="3" t="n">
        <v>46221</v>
      </c>
    </row>
    <row r="2">
      <c r="A2" s="4" t="inlineStr">
        <is>
          <t>Associate 001</t>
        </is>
      </c>
      <c r="B2" s="4" t="inlineStr">
        <is>
          <t>English</t>
        </is>
      </c>
      <c r="C2" s="4" t="n"/>
      <c r="D2" s="4" t="n"/>
      <c r="E2" s="4" t="n"/>
      <c r="F2" s="4" t="n"/>
      <c r="G2" s="4" t="n"/>
      <c r="H2" s="4" t="n"/>
      <c r="I2" s="4" t="n"/>
    </row>
    <row r="3">
      <c r="A3" s="4" t="inlineStr">
        <is>
          <t>Associate 002</t>
        </is>
      </c>
      <c r="B3" s="4" t="inlineStr">
        <is>
          <t>English</t>
        </is>
      </c>
      <c r="C3" s="4" t="n"/>
      <c r="D3" s="4" t="n"/>
      <c r="E3" s="4" t="n"/>
      <c r="F3" s="4" t="n"/>
      <c r="G3" s="4" t="n"/>
      <c r="H3" s="4" t="n"/>
      <c r="I3" s="4" t="n"/>
    </row>
    <row r="4">
      <c r="A4" s="4" t="inlineStr">
        <is>
          <t>Associate 003</t>
        </is>
      </c>
      <c r="B4" s="4" t="inlineStr">
        <is>
          <t>English</t>
        </is>
      </c>
      <c r="C4" s="4" t="n"/>
      <c r="D4" s="4" t="n"/>
      <c r="E4" s="4" t="n"/>
      <c r="F4" s="4" t="n"/>
      <c r="G4" s="4" t="n"/>
      <c r="H4" s="4" t="n"/>
      <c r="I4" s="4" t="n"/>
    </row>
    <row r="5">
      <c r="A5" s="4" t="inlineStr">
        <is>
          <t>Associate 004</t>
        </is>
      </c>
      <c r="B5" s="4" t="inlineStr">
        <is>
          <t>English</t>
        </is>
      </c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Associate 005</t>
        </is>
      </c>
      <c r="B6" s="4" t="inlineStr">
        <is>
          <t>English</t>
        </is>
      </c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Associate 006</t>
        </is>
      </c>
      <c r="B7" s="4" t="inlineStr">
        <is>
          <t>English</t>
        </is>
      </c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Associate 007</t>
        </is>
      </c>
      <c r="B8" s="4" t="inlineStr">
        <is>
          <t>English</t>
        </is>
      </c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Associate 008</t>
        </is>
      </c>
      <c r="B9" s="4" t="inlineStr">
        <is>
          <t>English</t>
        </is>
      </c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Associate 009</t>
        </is>
      </c>
      <c r="B10" s="4" t="inlineStr">
        <is>
          <t>English</t>
        </is>
      </c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Associate 010</t>
        </is>
      </c>
      <c r="B11" s="4" t="inlineStr">
        <is>
          <t>English</t>
        </is>
      </c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Associate 011</t>
        </is>
      </c>
      <c r="B12" s="4" t="inlineStr">
        <is>
          <t>English</t>
        </is>
      </c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Associate 012</t>
        </is>
      </c>
      <c r="B13" s="4" t="inlineStr">
        <is>
          <t>English</t>
        </is>
      </c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Associate 013</t>
        </is>
      </c>
      <c r="B14" s="4" t="inlineStr">
        <is>
          <t>English</t>
        </is>
      </c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Associate 014</t>
        </is>
      </c>
      <c r="B15" s="4" t="inlineStr">
        <is>
          <t>English</t>
        </is>
      </c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Associate 015</t>
        </is>
      </c>
      <c r="B16" s="4" t="inlineStr">
        <is>
          <t>English</t>
        </is>
      </c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Associate 016</t>
        </is>
      </c>
      <c r="B17" s="4" t="inlineStr">
        <is>
          <t>English</t>
        </is>
      </c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Associate 017</t>
        </is>
      </c>
      <c r="B18" s="4" t="inlineStr">
        <is>
          <t>English</t>
        </is>
      </c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Associate 018</t>
        </is>
      </c>
      <c r="B19" s="4" t="inlineStr">
        <is>
          <t>English</t>
        </is>
      </c>
      <c r="C19" s="4" t="n"/>
      <c r="D19" s="4" t="n"/>
      <c r="E19" s="4" t="n"/>
      <c r="F19" s="4" t="n"/>
      <c r="G19" s="4" t="n"/>
      <c r="H19" s="4" t="n"/>
      <c r="I19" s="4" t="n"/>
    </row>
    <row r="20">
      <c r="A20" t="inlineStr">
        <is>
          <t>Associate 019</t>
        </is>
      </c>
      <c r="B20" t="inlineStr">
        <is>
          <t>English</t>
        </is>
      </c>
    </row>
    <row r="21">
      <c r="A21" t="inlineStr">
        <is>
          <t>Associate 020</t>
        </is>
      </c>
      <c r="B21" t="inlineStr">
        <is>
          <t>English</t>
        </is>
      </c>
    </row>
    <row r="22">
      <c r="A22" t="inlineStr">
        <is>
          <t>Associate 021</t>
        </is>
      </c>
      <c r="B22" t="inlineStr">
        <is>
          <t>English</t>
        </is>
      </c>
    </row>
    <row r="23">
      <c r="A23" t="inlineStr">
        <is>
          <t>Associate 022</t>
        </is>
      </c>
      <c r="B23" t="inlineStr">
        <is>
          <t>English</t>
        </is>
      </c>
    </row>
    <row r="24">
      <c r="A24" t="inlineStr">
        <is>
          <t>Associate 023</t>
        </is>
      </c>
      <c r="B24" t="inlineStr">
        <is>
          <t>English</t>
        </is>
      </c>
    </row>
    <row r="25">
      <c r="A25" t="inlineStr">
        <is>
          <t>Associate 024</t>
        </is>
      </c>
      <c r="B25" t="inlineStr">
        <is>
          <t>English</t>
        </is>
      </c>
    </row>
    <row r="26">
      <c r="A26" t="inlineStr">
        <is>
          <t>Associate 025</t>
        </is>
      </c>
      <c r="B26" t="inlineStr">
        <is>
          <t>English</t>
        </is>
      </c>
    </row>
    <row r="27">
      <c r="A27" t="inlineStr">
        <is>
          <t>Associate 026</t>
        </is>
      </c>
      <c r="B27" t="inlineStr">
        <is>
          <t>English</t>
        </is>
      </c>
    </row>
    <row r="28">
      <c r="A28" t="inlineStr">
        <is>
          <t>Associate 027</t>
        </is>
      </c>
      <c r="B28" t="inlineStr">
        <is>
          <t>English</t>
        </is>
      </c>
    </row>
    <row r="29">
      <c r="A29" t="inlineStr">
        <is>
          <t>Associate 028</t>
        </is>
      </c>
      <c r="B29" t="inlineStr">
        <is>
          <t>English</t>
        </is>
      </c>
    </row>
    <row r="30">
      <c r="A30" t="inlineStr">
        <is>
          <t>Associate 029</t>
        </is>
      </c>
      <c r="B30" t="inlineStr">
        <is>
          <t>English</t>
        </is>
      </c>
    </row>
    <row r="31">
      <c r="A31" t="inlineStr">
        <is>
          <t>Associate 030</t>
        </is>
      </c>
      <c r="B31" t="inlineStr">
        <is>
          <t>English</t>
        </is>
      </c>
    </row>
    <row r="32">
      <c r="A32" t="inlineStr">
        <is>
          <t>Associate 031</t>
        </is>
      </c>
      <c r="B32" t="inlineStr">
        <is>
          <t>English</t>
        </is>
      </c>
    </row>
    <row r="33">
      <c r="A33" t="inlineStr">
        <is>
          <t>Associate 032</t>
        </is>
      </c>
      <c r="B33" t="inlineStr">
        <is>
          <t>English</t>
        </is>
      </c>
    </row>
    <row r="34">
      <c r="A34" t="inlineStr">
        <is>
          <t>Associate 033</t>
        </is>
      </c>
      <c r="B34" t="inlineStr">
        <is>
          <t>English</t>
        </is>
      </c>
    </row>
    <row r="35">
      <c r="A35" t="inlineStr">
        <is>
          <t>Associate 034</t>
        </is>
      </c>
      <c r="B35" t="inlineStr">
        <is>
          <t>English</t>
        </is>
      </c>
    </row>
    <row r="36">
      <c r="A36" t="inlineStr">
        <is>
          <t>Associate 035</t>
        </is>
      </c>
      <c r="B36" t="inlineStr">
        <is>
          <t>English</t>
        </is>
      </c>
    </row>
    <row r="37">
      <c r="A37" t="inlineStr">
        <is>
          <t>Associate 036</t>
        </is>
      </c>
      <c r="B37" t="inlineStr">
        <is>
          <t>English</t>
        </is>
      </c>
    </row>
    <row r="38">
      <c r="A38" t="inlineStr">
        <is>
          <t>Associate 037</t>
        </is>
      </c>
      <c r="B38" t="inlineStr">
        <is>
          <t>English</t>
        </is>
      </c>
    </row>
    <row r="39">
      <c r="A39" t="inlineStr">
        <is>
          <t>Associate 038</t>
        </is>
      </c>
      <c r="B39" t="inlineStr">
        <is>
          <t>English</t>
        </is>
      </c>
    </row>
    <row r="40">
      <c r="A40" t="inlineStr">
        <is>
          <t>Associate 039</t>
        </is>
      </c>
      <c r="B40" t="inlineStr">
        <is>
          <t>English</t>
        </is>
      </c>
    </row>
    <row r="41">
      <c r="A41" t="inlineStr">
        <is>
          <t>Associate 040</t>
        </is>
      </c>
      <c r="B41" t="inlineStr">
        <is>
          <t>English</t>
        </is>
      </c>
    </row>
    <row r="42">
      <c r="A42" t="inlineStr">
        <is>
          <t>Associate 041</t>
        </is>
      </c>
      <c r="B42" t="inlineStr">
        <is>
          <t>English</t>
        </is>
      </c>
    </row>
    <row r="43">
      <c r="A43" t="inlineStr">
        <is>
          <t>Associate 042</t>
        </is>
      </c>
      <c r="B43" t="inlineStr">
        <is>
          <t>English</t>
        </is>
      </c>
    </row>
    <row r="44">
      <c r="A44" t="inlineStr">
        <is>
          <t>Associate 043</t>
        </is>
      </c>
      <c r="B44" t="inlineStr">
        <is>
          <t>English</t>
        </is>
      </c>
    </row>
    <row r="45">
      <c r="A45" t="inlineStr">
        <is>
          <t>Associate 044</t>
        </is>
      </c>
      <c r="B45" t="inlineStr">
        <is>
          <t>English</t>
        </is>
      </c>
    </row>
    <row r="46">
      <c r="A46" t="inlineStr">
        <is>
          <t>Associate 045</t>
        </is>
      </c>
      <c r="B46" t="inlineStr">
        <is>
          <t>English</t>
        </is>
      </c>
    </row>
    <row r="47">
      <c r="A47" t="inlineStr">
        <is>
          <t>Associate 046</t>
        </is>
      </c>
      <c r="B47" t="inlineStr">
        <is>
          <t>English</t>
        </is>
      </c>
    </row>
    <row r="48">
      <c r="A48" t="inlineStr">
        <is>
          <t>Associate 047</t>
        </is>
      </c>
      <c r="B48" t="inlineStr">
        <is>
          <t>English</t>
        </is>
      </c>
    </row>
    <row r="49">
      <c r="A49" t="inlineStr">
        <is>
          <t>Associate 048</t>
        </is>
      </c>
      <c r="B49" t="inlineStr">
        <is>
          <t>English</t>
        </is>
      </c>
    </row>
    <row r="50">
      <c r="A50" t="inlineStr">
        <is>
          <t>Associate 049</t>
        </is>
      </c>
      <c r="B50" t="inlineStr">
        <is>
          <t>English</t>
        </is>
      </c>
    </row>
    <row r="51">
      <c r="A51" t="inlineStr">
        <is>
          <t>Associate 050</t>
        </is>
      </c>
      <c r="B51" t="inlineStr">
        <is>
          <t>English</t>
        </is>
      </c>
    </row>
    <row r="52">
      <c r="A52" t="inlineStr">
        <is>
          <t>Associate 051</t>
        </is>
      </c>
      <c r="B52" t="inlineStr">
        <is>
          <t>English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8" customWidth="1" style="45" min="1" max="1"/>
    <col width="25" customWidth="1" style="45" min="2" max="2"/>
    <col width="14" customWidth="1" style="45" min="3" max="3"/>
    <col width="25" customWidth="1" style="45" min="4" max="4"/>
    <col width="18" customWidth="1" style="45" min="5" max="5"/>
    <col width="20" customWidth="1" style="45" min="6" max="7"/>
    <col width="22" customWidth="1" style="45" min="8" max="8"/>
    <col width="80" customWidth="1" style="45" min="9" max="9"/>
    <col width="26" customWidth="1" style="45" min="10" max="10"/>
    <col width="44" customWidth="1" style="45" min="11" max="11"/>
    <col width="80" customWidth="1" style="45" min="12" max="12"/>
  </cols>
  <sheetData>
    <row r="1">
      <c r="A1" s="7" t="inlineStr">
        <is>
          <t>Slot</t>
        </is>
      </c>
      <c r="B1" s="7" t="inlineStr">
        <is>
          <t>Schedule Name</t>
        </is>
      </c>
      <c r="C1" s="7" t="inlineStr">
        <is>
          <t>Language</t>
        </is>
      </c>
      <c r="D1" s="7" t="inlineStr">
        <is>
          <t>Matched Preference Name</t>
        </is>
      </c>
      <c r="E1" s="7" t="inlineStr">
        <is>
          <t>Match Type</t>
        </is>
      </c>
      <c r="F1" s="7" t="inlineStr">
        <is>
          <t>Pref OFF Days</t>
        </is>
      </c>
      <c r="G1" s="7" t="inlineStr">
        <is>
          <t>Pref Leave Days</t>
        </is>
      </c>
      <c r="H1" s="7" t="inlineStr">
        <is>
          <t>Separate OFF Requested?</t>
        </is>
      </c>
      <c r="I1" s="7" t="inlineStr">
        <is>
          <t>Preference Values</t>
        </is>
      </c>
    </row>
    <row r="2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</row>
  </sheetData>
  <autoFilter ref="A1:L25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45" min="1" max="1"/>
    <col width="44" customWidth="1" style="45" min="2" max="2"/>
    <col width="32" customWidth="1" style="45" min="3" max="3"/>
    <col width="56" customWidth="1" style="45" min="4" max="4"/>
  </cols>
  <sheetData>
    <row r="1" ht="28" customHeight="1" s="45">
      <c r="A1" s="84" t="inlineStr">
        <is>
          <t>Instructions — RC8.6.6 Business Contract</t>
        </is>
      </c>
    </row>
    <row r="2">
      <c r="A2" s="85" t="inlineStr">
        <is>
          <t>Edit only the yellow Value cells. Dropdowns block invalid text. Technical solver defaults are stored on protected hidden sheets.</t>
        </is>
      </c>
    </row>
    <row r="4">
      <c r="A4" s="86" t="inlineStr">
        <is>
          <t>Section</t>
        </is>
      </c>
      <c r="B4" s="86" t="inlineStr">
        <is>
          <t>Instruction</t>
        </is>
      </c>
      <c r="C4" s="86" t="inlineStr">
        <is>
          <t>Value</t>
        </is>
      </c>
      <c r="D4" s="86" t="inlineStr">
        <is>
          <t>What this controls</t>
        </is>
      </c>
    </row>
    <row r="5">
      <c r="A5" s="87" t="inlineStr">
        <is>
          <t>Case Setup</t>
        </is>
      </c>
      <c r="B5" s="88" t="inlineStr">
        <is>
          <t>Program Name</t>
        </is>
      </c>
      <c r="C5" s="89" t="inlineStr">
        <is>
          <t>SAKS</t>
        </is>
      </c>
      <c r="D5" s="90" t="inlineStr">
        <is>
          <t>Optional business/program label; never changes engine behavior.</t>
        </is>
      </c>
    </row>
    <row r="6">
      <c r="A6" s="87" t="inlineStr">
        <is>
          <t>Case Setup</t>
        </is>
      </c>
      <c r="B6" s="88" t="inlineStr">
        <is>
          <t>Interval Minutes</t>
        </is>
      </c>
      <c r="C6" s="89" t="n">
        <v>30</v>
      </c>
      <c r="D6" s="90" t="inlineStr">
        <is>
          <t>Select the interval size used by requirements and shrinkage.</t>
        </is>
      </c>
    </row>
    <row r="7">
      <c r="A7" s="87" t="inlineStr">
        <is>
          <t>Case Setup</t>
        </is>
      </c>
      <c r="B7" s="88" t="inlineStr">
        <is>
          <t>Requirements Source</t>
        </is>
      </c>
      <c r="C7" s="89" t="inlineStr">
        <is>
          <t>FT Wise 30 Min</t>
        </is>
      </c>
      <c r="D7" s="90" t="inlineStr">
        <is>
          <t>Choose the requirement sheet that contains the active demand grid.</t>
        </is>
      </c>
    </row>
    <row r="8">
      <c r="A8" s="87" t="inlineStr">
        <is>
          <t>Case Setup</t>
        </is>
      </c>
      <c r="B8" s="88" t="inlineStr">
        <is>
          <t>Shrinkage Source</t>
        </is>
      </c>
      <c r="C8" s="89" t="inlineStr">
        <is>
          <t>Shrinkage 30 Min</t>
        </is>
      </c>
      <c r="D8" s="90" t="inlineStr">
        <is>
          <t>Choose the shrinkage sheet matching the selected interval.</t>
        </is>
      </c>
    </row>
    <row r="9">
      <c r="A9" s="87" t="inlineStr">
        <is>
          <t>Coverage</t>
        </is>
      </c>
      <c r="B9" s="88" t="inlineStr">
        <is>
          <t>Target</t>
        </is>
      </c>
      <c r="C9" s="91" t="n">
        <v>0.9</v>
      </c>
      <c r="D9" s="90" t="inlineStr">
        <is>
          <t>Primary after-break coverage target. 90% means after90 is the primary KPI.</t>
        </is>
      </c>
    </row>
    <row r="10">
      <c r="A10" s="87" t="inlineStr">
        <is>
          <t>Coverage</t>
        </is>
      </c>
      <c r="B10" s="88" t="inlineStr">
        <is>
          <t>Target Priority Confirmed</t>
        </is>
      </c>
      <c r="C10" s="89" t="inlineStr">
        <is>
          <t>Yes</t>
        </is>
      </c>
      <c r="D10" s="90" t="inlineStr">
        <is>
          <t>Required confirmation when Target is 100%.</t>
        </is>
      </c>
    </row>
    <row r="11">
      <c r="A11" s="87" t="inlineStr">
        <is>
          <t>Coverage</t>
        </is>
      </c>
      <c r="B11" s="88" t="inlineStr">
        <is>
          <t>Minimum Per Interval</t>
        </is>
      </c>
      <c r="C11" s="91" t="n">
        <v>0.8</v>
      </c>
      <c r="D11" s="90" t="inlineStr">
        <is>
          <t>Protected coverage floor used for safety and tradeoff review.</t>
        </is>
      </c>
    </row>
    <row r="12">
      <c r="A12" s="87" t="inlineStr">
        <is>
          <t>Coverage</t>
        </is>
      </c>
      <c r="B12" s="88" t="inlineStr">
        <is>
          <t>Hard Floor Solver Constraint Enabled</t>
        </is>
      </c>
      <c r="C12" s="89" t="inlineStr">
        <is>
          <t>Yes</t>
        </is>
      </c>
      <c r="D12" s="90" t="inlineStr">
        <is>
          <t>Yes makes the floor a hard feasibility rule; No keeps it protected.</t>
        </is>
      </c>
    </row>
    <row r="13">
      <c r="A13" s="87" t="inlineStr">
        <is>
          <t>Coverage</t>
        </is>
      </c>
      <c r="B13" s="88" t="inlineStr">
        <is>
          <t>Blank Interval Staffing Rule</t>
        </is>
      </c>
      <c r="C13" s="89" t="inlineStr">
        <is>
          <t>No new staffing in blank intervals</t>
        </is>
      </c>
      <c r="D13" s="90" t="inlineStr">
        <is>
          <t>Controls whether blank demand periods may receive new current-week staffing.</t>
        </is>
      </c>
    </row>
    <row r="14">
      <c r="A14" s="87" t="inlineStr">
        <is>
          <t>Shift &amp; OFF</t>
        </is>
      </c>
      <c r="B14" s="88" t="inlineStr">
        <is>
          <t>Allowed Shift Durations Hours</t>
        </is>
      </c>
      <c r="C14" s="89" t="inlineStr">
        <is>
          <t>9, 11</t>
        </is>
      </c>
      <c r="D14" s="90" t="inlineStr">
        <is>
          <t>Allowed paid shift durations from the Shift Library.</t>
        </is>
      </c>
    </row>
    <row r="15">
      <c r="A15" s="87" t="inlineStr">
        <is>
          <t>Shift &amp; OFF</t>
        </is>
      </c>
      <c r="B15" s="88" t="inlineStr">
        <is>
          <t>Use 11H/3OFF</t>
        </is>
      </c>
      <c r="C15" s="89" t="inlineStr">
        <is>
          <t>Yes</t>
        </is>
      </c>
      <c r="D15" s="90" t="inlineStr">
        <is>
          <t>Enable only when the business contract allows 11-hour / 3-OFF patterns.</t>
        </is>
      </c>
    </row>
    <row r="16">
      <c r="A16" s="87" t="inlineStr">
        <is>
          <t>Shift &amp; OFF</t>
        </is>
      </c>
      <c r="B16" s="88" t="inlineStr">
        <is>
          <t>Strict OFF Count</t>
        </is>
      </c>
      <c r="C16" s="89" t="inlineStr">
        <is>
          <t>Yes</t>
        </is>
      </c>
      <c r="D16" s="90" t="inlineStr">
        <is>
          <t>Requires the expected weekly OFF count for the selected shift pattern.</t>
        </is>
      </c>
    </row>
    <row r="17">
      <c r="A17" s="87" t="inlineStr">
        <is>
          <t>Shift &amp; OFF</t>
        </is>
      </c>
      <c r="B17" s="88" t="inlineStr">
        <is>
          <t>Separate OFF Days</t>
        </is>
      </c>
      <c r="C17" s="89" t="inlineStr">
        <is>
          <t>Yes</t>
        </is>
      </c>
      <c r="D17" s="90" t="inlineStr">
        <is>
          <t>No prefers the normal consecutive-OFF structure; enable only for an approved exception policy.</t>
        </is>
      </c>
    </row>
    <row r="18">
      <c r="A18" s="87" t="inlineStr">
        <is>
          <t>Shift &amp; OFF</t>
        </is>
      </c>
      <c r="B18" s="88" t="inlineStr">
        <is>
          <t>Rest Gap Hours</t>
        </is>
      </c>
      <c r="C18" s="89" t="n">
        <v>12</v>
      </c>
      <c r="D18" s="90" t="inlineStr">
        <is>
          <t>Minimum rest between adjacent shifts, including Saturday to Sunday.</t>
        </is>
      </c>
    </row>
    <row r="19">
      <c r="A19" s="87" t="inlineStr">
        <is>
          <t>Shift &amp; OFF</t>
        </is>
      </c>
      <c r="B19" s="88" t="inlineStr">
        <is>
          <t>Count of Different Shifts Per week</t>
        </is>
      </c>
      <c r="C19" s="89" t="n">
        <v>3</v>
      </c>
      <c r="D19" s="90" t="inlineStr">
        <is>
          <t>Maximum distinct shift labels an associate may receive in one week.</t>
        </is>
      </c>
    </row>
    <row r="20">
      <c r="A20" s="87" t="inlineStr">
        <is>
          <t>Requests</t>
        </is>
      </c>
      <c r="B20" s="88" t="inlineStr">
        <is>
          <t>Fixed Request Use</t>
        </is>
      </c>
      <c r="C20" s="89" t="inlineStr">
        <is>
          <t>No</t>
        </is>
      </c>
      <c r="D20" s="90" t="inlineStr">
        <is>
          <t>Enable exact/flexible nesting requests from Fixed Request.</t>
        </is>
      </c>
    </row>
    <row r="21">
      <c r="A21" s="87" t="inlineStr">
        <is>
          <t>Requests</t>
        </is>
      </c>
      <c r="B21" s="88" t="inlineStr">
        <is>
          <t>Hard OFF Preferences</t>
        </is>
      </c>
      <c r="C21" s="89" t="inlineStr">
        <is>
          <t>Yes</t>
        </is>
      </c>
      <c r="D21" s="90" t="inlineStr">
        <is>
          <t>Treat hard OFF requests as hard constraints.</t>
        </is>
      </c>
    </row>
    <row r="22">
      <c r="A22" s="87" t="inlineStr">
        <is>
          <t>Requests</t>
        </is>
      </c>
      <c r="B22" s="88" t="inlineStr">
        <is>
          <t>Leave Enabled</t>
        </is>
      </c>
      <c r="C22" s="89" t="inlineStr">
        <is>
          <t>Yes</t>
        </is>
      </c>
      <c r="D22" s="90" t="inlineStr">
        <is>
          <t>Honor leave entries in the workbook.</t>
        </is>
      </c>
    </row>
    <row r="23">
      <c r="A23" s="87" t="inlineStr">
        <is>
          <t>Requests</t>
        </is>
      </c>
      <c r="B23" s="88" t="inlineStr">
        <is>
          <t>Use Preferences</t>
        </is>
      </c>
      <c r="C23" s="89" t="inlineStr">
        <is>
          <t>No</t>
        </is>
      </c>
      <c r="D23" s="90" t="inlineStr">
        <is>
          <t>Use soft shift/OFF preferences as lower-priority objectives.</t>
        </is>
      </c>
    </row>
    <row r="24">
      <c r="A24" s="87" t="inlineStr">
        <is>
          <t>Opening Guard</t>
        </is>
      </c>
      <c r="B24" s="88" t="inlineStr">
        <is>
          <t>Opening Guard Enabled</t>
        </is>
      </c>
      <c r="C24" s="89" t="inlineStr">
        <is>
          <t>Yes</t>
        </is>
      </c>
      <c r="D24" s="90" t="inlineStr">
        <is>
          <t>Enable a minimum staffing requirement at opening/reopening intervals.</t>
        </is>
      </c>
    </row>
    <row r="25">
      <c r="A25" s="87" t="inlineStr">
        <is>
          <t>Opening Guard</t>
        </is>
      </c>
      <c r="B25" s="88" t="inlineStr">
        <is>
          <t>Opening Minimum FTE</t>
        </is>
      </c>
      <c r="C25" s="89" t="n">
        <v>2</v>
      </c>
      <c r="D25" s="90" t="inlineStr">
        <is>
          <t>Minimum opening/reopening FTE when the guard is enabled.</t>
        </is>
      </c>
    </row>
    <row r="26">
      <c r="A26" s="87" t="inlineStr">
        <is>
          <t>Opening Guard</t>
        </is>
      </c>
      <c r="B26" s="88" t="inlineStr">
        <is>
          <t>Opening Guard Intervals</t>
        </is>
      </c>
      <c r="C26" s="89" t="n">
        <v>2</v>
      </c>
      <c r="D26" s="90" t="inlineStr">
        <is>
          <t>Number of opening/reopening intervals protected by the guard.</t>
        </is>
      </c>
    </row>
    <row r="27">
      <c r="A27" s="87" t="inlineStr">
        <is>
          <t>Breaks</t>
        </is>
      </c>
      <c r="B27" s="88" t="inlineStr">
        <is>
          <t>Short Break Count</t>
        </is>
      </c>
      <c r="C27" s="89" t="n">
        <v>3</v>
      </c>
      <c r="D27" s="90" t="inlineStr">
        <is>
          <t>Number of short breaks per working shift.</t>
        </is>
      </c>
    </row>
    <row r="28">
      <c r="A28" s="87" t="inlineStr">
        <is>
          <t>Breaks</t>
        </is>
      </c>
      <c r="B28" s="88" t="inlineStr">
        <is>
          <t>Short Break Duration Minutes</t>
        </is>
      </c>
      <c r="C28" s="89" t="n">
        <v>15</v>
      </c>
      <c r="D28" s="90" t="inlineStr">
        <is>
          <t>Duration of each short break.</t>
        </is>
      </c>
    </row>
    <row r="29">
      <c r="A29" s="87" t="inlineStr">
        <is>
          <t>Breaks</t>
        </is>
      </c>
      <c r="B29" s="88" t="inlineStr">
        <is>
          <t>Lunch Count</t>
        </is>
      </c>
      <c r="C29" s="89" t="n">
        <v>1</v>
      </c>
      <c r="D29" s="90" t="inlineStr">
        <is>
          <t>Number of lunch breaks per working shift.</t>
        </is>
      </c>
    </row>
    <row r="30">
      <c r="A30" s="87" t="inlineStr">
        <is>
          <t>Breaks</t>
        </is>
      </c>
      <c r="B30" s="88" t="inlineStr">
        <is>
          <t>Lunch Duration Minutes</t>
        </is>
      </c>
      <c r="C30" s="89" t="n">
        <v>30</v>
      </c>
      <c r="D30" s="90" t="inlineStr">
        <is>
          <t>Duration of each lunch break.</t>
        </is>
      </c>
    </row>
    <row r="31">
      <c r="A31" s="87" t="inlineStr">
        <is>
          <t>Breaks</t>
        </is>
      </c>
      <c r="B31" s="88" t="inlineStr">
        <is>
          <t>Break Preferred Gap Minutes</t>
        </is>
      </c>
      <c r="C31" s="89" t="n">
        <v>120</v>
      </c>
      <c r="D31" s="90" t="inlineStr">
        <is>
          <t>Preferred spacing between break segments.</t>
        </is>
      </c>
    </row>
    <row r="32">
      <c r="A32" s="87" t="inlineStr">
        <is>
          <t>Breaks</t>
        </is>
      </c>
      <c r="B32" s="88" t="inlineStr">
        <is>
          <t>Break Absolute Minimum Gap Minutes</t>
        </is>
      </c>
      <c r="C32" s="89" t="n">
        <v>60</v>
      </c>
      <c r="D32" s="90" t="inlineStr">
        <is>
          <t>Hard legal minimum. RC8.6 ready examples use 60; preferred spacing remains a weighted quality target.</t>
        </is>
      </c>
    </row>
    <row r="33">
      <c r="A33" s="87" t="inlineStr">
        <is>
          <t>Breaks</t>
        </is>
      </c>
      <c r="B33" s="88" t="inlineStr">
        <is>
          <t>Break Normal Maximum Gap Minutes</t>
        </is>
      </c>
      <c r="C33" s="89" t="n">
        <v>150</v>
      </c>
      <c r="D33" s="90" t="inlineStr">
        <is>
          <t>Normal upper spacing target before extended spacing is recorded.</t>
        </is>
      </c>
    </row>
    <row r="34">
      <c r="A34" s="87" t="inlineStr">
        <is>
          <t>Breaks</t>
        </is>
      </c>
      <c r="B34" s="88" t="inlineStr">
        <is>
          <t>Allow Back-to-Back Breaks</t>
        </is>
      </c>
      <c r="C34" s="89" t="inlineStr">
        <is>
          <t>No</t>
        </is>
      </c>
      <c r="D34" s="90" t="inlineStr">
        <is>
          <t>Explicit override only; normally keep No.</t>
        </is>
      </c>
    </row>
    <row r="35">
      <c r="A35" s="87" t="inlineStr">
        <is>
          <t>Exception Policy</t>
        </is>
      </c>
      <c r="B35" s="88" t="inlineStr">
        <is>
          <t>Critical Coverage No-Break Exception Enabled</t>
        </is>
      </c>
      <c r="C35" s="89" t="inlineStr">
        <is>
          <t>No</t>
        </is>
      </c>
      <c r="D35" s="90" t="inlineStr">
        <is>
          <t>Allows audited no-break associate-days only as a last resort.</t>
        </is>
      </c>
    </row>
    <row r="36">
      <c r="A36" s="87" t="inlineStr">
        <is>
          <t>Exception Policy</t>
        </is>
      </c>
      <c r="B36" s="88" t="inlineStr">
        <is>
          <t>Critical Coverage No-Break Max Associate-Days</t>
        </is>
      </c>
      <c r="C36" s="89" t="n">
        <v>0</v>
      </c>
      <c r="D36" s="90" t="inlineStr">
        <is>
          <t>Maximum approved no-break associate-days; never raised automatically.</t>
        </is>
      </c>
    </row>
    <row r="37">
      <c r="A37" s="87" t="inlineStr">
        <is>
          <t>Release Quality</t>
        </is>
      </c>
      <c r="B37" s="88" t="inlineStr">
        <is>
          <t>Production Quality Gate Mode</t>
        </is>
      </c>
      <c r="C37" s="89" t="inlineStr">
        <is>
          <t>Fail</t>
        </is>
      </c>
      <c r="D37" s="90" t="inlineStr">
        <is>
          <t>Fail blocks release on configured coverage-quality caps; Warn keeps a hard-valid schedule with warnings.</t>
        </is>
      </c>
    </row>
  </sheetData>
  <mergeCells count="2">
    <mergeCell ref="A1:D1"/>
    <mergeCell ref="A2:D2"/>
  </mergeCells>
  <dataValidations count="32">
    <dataValidation sqref="C10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12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15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16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17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20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21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22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23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24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34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35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6" showDropDown="0" showInputMessage="1" showErrorMessage="1" allowBlank="0" errorTitle="Invalid value" error="Choose 15, 30, or 60 minutes." promptTitle="Choose from list" prompt="Use the dropdown value only." type="list" errorStyle="stop">
      <formula1>'Validation Lists'!$C$2:$C$4</formula1>
    </dataValidation>
    <dataValidation sqref="C7" showDropDown="0" showInputMessage="1" showErrorMessage="1" allowBlank="0" errorTitle="Invalid value" error="Choose an available FT Wise sheet." promptTitle="Choose from list" prompt="Use the dropdown value only." type="list" errorStyle="stop">
      <formula1>'Validation Lists'!$H$2:$H$4</formula1>
    </dataValidation>
    <dataValidation sqref="C8" showDropDown="0" showInputMessage="1" showErrorMessage="1" allowBlank="0" errorTitle="Invalid value" error="Choose an available Shrinkage sheet." promptTitle="Choose from list" prompt="Use the dropdown value only." type="list" errorStyle="stop">
      <formula1>'Validation Lists'!$I$2:$I$4</formula1>
    </dataValidation>
    <dataValidation sqref="C13" showDropDown="0" showInputMessage="1" showErrorMessage="1" allowBlank="0" errorTitle="Invalid value" error="Choose the approved blank-interval staffing policy." promptTitle="Choose from list" prompt="Use the dropdown value only." type="list" errorStyle="stop">
      <formula1>'Validation Lists'!$E$2:$E$3</formula1>
    </dataValidation>
    <dataValidation sqref="C14" showDropDown="0" showInputMessage="1" showErrorMessage="1" allowBlank="0" errorTitle="Invalid value" error="Choose 9, 11, or 9,11." promptTitle="Choose from list" prompt="Use the dropdown value only." type="list" errorStyle="stop">
      <formula1>'Validation Lists'!$D$2:$D$4</formula1>
    </dataValidation>
    <dataValidation sqref="C28" showDropDown="0" showInputMessage="1" showErrorMessage="1" allowBlank="0" errorTitle="Invalid value" error="Choose a supported break duration." promptTitle="Choose from list" prompt="Use the dropdown value only." type="list" errorStyle="stop">
      <formula1>'Validation Lists'!$F$2:$F$5</formula1>
    </dataValidation>
    <dataValidation sqref="C30" showDropDown="0" showInputMessage="1" showErrorMessage="1" allowBlank="0" errorTitle="Invalid value" error="Choose a supported break duration." promptTitle="Choose from list" prompt="Use the dropdown value only." type="list" errorStyle="stop">
      <formula1>'Validation Lists'!$F$2:$F$5</formula1>
    </dataValidation>
    <dataValidation sqref="C37" showDropDown="0" showInputMessage="1" showErrorMessage="1" allowBlank="0" errorTitle="Invalid value" error="Choose Fail, Warn, or Off." promptTitle="Choose from list" prompt="Use the dropdown value only." type="list" errorStyle="stop">
      <formula1>'Validation Lists'!$G$2:$G$4</formula1>
    </dataValidation>
    <dataValidation sqref="C9" showDropDown="0" showInputMessage="0" showErrorMessage="1" allowBlank="0" errorTitle="Invalid percentage" error="Enter a value from 0 to 1." type="decimal" errorStyle="stop" operator="between">
      <formula1>0</formula1>
      <formula2>1</formula2>
    </dataValidation>
    <dataValidation sqref="C11" showDropDown="0" showInputMessage="0" showErrorMessage="1" allowBlank="0" errorTitle="Invalid percentage" error="Enter a value from 0 to 1." type="decimal" errorStyle="stop" operator="between">
      <formula1>0</formula1>
      <formula2>1</formula2>
    </dataValidation>
    <dataValidation sqref="C18" showDropDown="0" showInputMessage="0" showErrorMessage="1" allowBlank="0" errorTitle="Invalid number" error="Enter a whole number from 0 to 24." type="whole" errorStyle="stop" operator="between">
      <formula1>0</formula1>
      <formula2>24</formula2>
    </dataValidation>
    <dataValidation sqref="C19" showDropDown="0" showInputMessage="0" showErrorMessage="1" allowBlank="0" errorTitle="Invalid number" error="Enter a whole number from 1 to 7." type="whole" errorStyle="stop" operator="between">
      <formula1>1</formula1>
      <formula2>7</formula2>
    </dataValidation>
    <dataValidation sqref="C25" showDropDown="0" showInputMessage="0" showErrorMessage="1" allowBlank="0" errorTitle="Invalid number" error="Enter a whole number from 0 to 500." type="whole" errorStyle="stop" operator="between">
      <formula1>0</formula1>
      <formula2>500</formula2>
    </dataValidation>
    <dataValidation sqref="C26" showDropDown="0" showInputMessage="0" showErrorMessage="1" allowBlank="0" errorTitle="Invalid number" error="Enter a whole number from 0 to 96." type="whole" errorStyle="stop" operator="between">
      <formula1>0</formula1>
      <formula2>96</formula2>
    </dataValidation>
    <dataValidation sqref="C27" showDropDown="0" showInputMessage="0" showErrorMessage="1" allowBlank="0" errorTitle="Invalid number" error="Enter a whole number from 0 to 4." type="whole" errorStyle="stop" operator="between">
      <formula1>0</formula1>
      <formula2>4</formula2>
    </dataValidation>
    <dataValidation sqref="C29" showDropDown="0" showInputMessage="0" showErrorMessage="1" allowBlank="0" errorTitle="Invalid number" error="Enter a whole number from 0 to 2." type="whole" errorStyle="stop" operator="between">
      <formula1>0</formula1>
      <formula2>2</formula2>
    </dataValidation>
    <dataValidation sqref="C31" showDropDown="0" showInputMessage="0" showErrorMessage="1" allowBlank="0" errorTitle="Invalid number" error="Enter a whole number from 0 to 480." type="whole" errorStyle="stop" operator="between">
      <formula1>0</formula1>
      <formula2>480</formula2>
    </dataValidation>
    <dataValidation sqref="C32" showDropDown="0" showInputMessage="0" showErrorMessage="1" allowBlank="0" errorTitle="Invalid number" error="Enter a whole number from 0 to 480." type="whole" errorStyle="stop" operator="between">
      <formula1>0</formula1>
      <formula2>480</formula2>
    </dataValidation>
    <dataValidation sqref="C33" showDropDown="0" showInputMessage="0" showErrorMessage="1" allowBlank="0" errorTitle="Invalid number" error="Enter a whole number from 0 to 720." type="whole" errorStyle="stop" operator="between">
      <formula1>0</formula1>
      <formula2>720</formula2>
    </dataValidation>
    <dataValidation sqref="C36" showDropDown="0" showInputMessage="0" showErrorMessage="1" allowBlank="0" errorTitle="Invalid number" error="Enter a whole number from 0 to 100." type="whole" errorStyle="stop" operator="between">
      <formula1>0</formula1>
      <formula2>100</formula2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cols>
    <col width="48" customWidth="1" style="45" min="1" max="1"/>
    <col width="20" customWidth="1" style="45" min="2" max="2"/>
    <col width="60" customWidth="1" style="45" min="3" max="3"/>
  </cols>
  <sheetData>
    <row r="1">
      <c r="A1" t="inlineStr">
        <is>
          <t>Instruction</t>
        </is>
      </c>
      <c r="B1" t="inlineStr">
        <is>
          <t>Value</t>
        </is>
      </c>
      <c r="C1" t="inlineStr">
        <is>
          <t>Purpose</t>
        </is>
      </c>
    </row>
    <row r="2">
      <c r="A2" t="inlineStr">
        <is>
          <t>instruction</t>
        </is>
      </c>
      <c r="B2" t="inlineStr">
        <is>
          <t>Value</t>
        </is>
      </c>
      <c r="C2" t="inlineStr">
        <is>
          <t>Preserved case-specific RC7 contract/default; hidden in RC8 because it is not a normal business entry field.</t>
        </is>
      </c>
    </row>
    <row r="3">
      <c r="A3" t="inlineStr">
        <is>
          <t>value</t>
        </is>
      </c>
      <c r="B3" t="inlineStr">
        <is>
          <t>Metric</t>
        </is>
      </c>
      <c r="C3" t="inlineStr">
        <is>
          <t>Preserved case-specific RC7 contract/default; hidden in RC8 because it is not a normal business entry field.</t>
        </is>
      </c>
    </row>
    <row r="4">
      <c r="A4" t="inlineStr">
        <is>
          <t>shift duration</t>
        </is>
      </c>
      <c r="B4" t="n">
        <v>9</v>
      </c>
      <c r="C4" t="inlineStr">
        <is>
          <t>Preserved case-specific RC7 contract/default; hidden in RC8 because it is not a normal business entry field.</t>
        </is>
      </c>
    </row>
    <row r="5">
      <c r="A5" t="inlineStr">
        <is>
          <t>9</t>
        </is>
      </c>
      <c r="B5" t="inlineStr">
        <is>
          <t>Hours</t>
        </is>
      </c>
      <c r="C5" t="inlineStr">
        <is>
          <t>Preserved case-specific RC7 contract/default; hidden in RC8 because it is not a normal business entry field.</t>
        </is>
      </c>
    </row>
    <row r="6">
      <c r="A6" t="inlineStr">
        <is>
          <t>difference between 2 shifts</t>
        </is>
      </c>
      <c r="B6" t="n">
        <v>12</v>
      </c>
      <c r="C6" t="inlineStr">
        <is>
          <t>Preserved case-specific RC7 contract/default; hidden in RC8 because it is not a normal business entry field.</t>
        </is>
      </c>
    </row>
    <row r="7">
      <c r="A7" t="inlineStr">
        <is>
          <t>12</t>
        </is>
      </c>
      <c r="B7" t="inlineStr">
        <is>
          <t>Hours</t>
        </is>
      </c>
      <c r="C7" t="inlineStr">
        <is>
          <t>Preserved case-specific RC7 contract/default; hidden in RC8 because it is not a normal business entry field.</t>
        </is>
      </c>
    </row>
    <row r="8">
      <c r="A8" t="inlineStr">
        <is>
          <t>off</t>
        </is>
      </c>
      <c r="B8" t="n">
        <v>2</v>
      </c>
      <c r="C8" t="inlineStr">
        <is>
          <t>Preserved case-specific RC7 contract/default; hidden in RC8 because it is not a normal business entry field.</t>
        </is>
      </c>
    </row>
    <row r="9">
      <c r="A9" t="inlineStr">
        <is>
          <t>2</t>
        </is>
      </c>
      <c r="B9" t="inlineStr">
        <is>
          <t>Count</t>
        </is>
      </c>
      <c r="C9" t="inlineStr">
        <is>
          <t>Preserved case-specific RC7 contract/default; hidden in RC8 because it is not a normal business entry field.</t>
        </is>
      </c>
    </row>
    <row r="10">
      <c r="A10" t="inlineStr">
        <is>
          <t>separate off</t>
        </is>
      </c>
      <c r="B10" t="inlineStr">
        <is>
          <t>Yes only based on Preference</t>
        </is>
      </c>
      <c r="C10" t="inlineStr">
        <is>
          <t>Preserved case-specific RC7 contract/default; hidden in RC8 because it is not a normal business entry field.</t>
        </is>
      </c>
    </row>
    <row r="11">
      <c r="A11" t="inlineStr">
        <is>
          <t>yes only based on preference</t>
        </is>
      </c>
      <c r="B11" t="inlineStr">
        <is>
          <t>NA</t>
        </is>
      </c>
      <c r="C11" t="inlineStr">
        <is>
          <t>Preserved case-specific RC7 contract/default; hidden in RC8 because it is not a normal business entry field.</t>
        </is>
      </c>
    </row>
    <row r="12">
      <c r="A12" t="inlineStr">
        <is>
          <t>leave days</t>
        </is>
      </c>
      <c r="B12" t="inlineStr">
        <is>
          <t>Yes</t>
        </is>
      </c>
      <c r="C12" t="inlineStr">
        <is>
          <t>Preserved case-specific RC7 contract/default; hidden in RC8 because it is not a normal business entry field.</t>
        </is>
      </c>
    </row>
    <row r="13">
      <c r="A13" t="inlineStr">
        <is>
          <t>split shift</t>
        </is>
      </c>
      <c r="B13" t="inlineStr">
        <is>
          <t>No</t>
        </is>
      </c>
      <c r="C13" t="inlineStr">
        <is>
          <t>Preserved case-specific RC7 contract/default; hidden in RC8 because it is not a normal business entry field.</t>
        </is>
      </c>
    </row>
    <row r="14">
      <c r="A14" t="inlineStr">
        <is>
          <t>count of associates</t>
        </is>
      </c>
      <c r="B14" t="n">
        <v>50</v>
      </c>
      <c r="C14" t="inlineStr">
        <is>
          <t>Preserved case-specific RC7 contract/default; hidden in RC8 because it is not a normal business entry field.</t>
        </is>
      </c>
    </row>
    <row r="15">
      <c r="A15" t="inlineStr">
        <is>
          <t>50</t>
        </is>
      </c>
      <c r="B15" t="inlineStr">
        <is>
          <t>Percent</t>
        </is>
      </c>
      <c r="C15" t="inlineStr">
        <is>
          <t>Preserved case-specific RC7 contract/default; hidden in RC8 because it is not a normal business entry field.</t>
        </is>
      </c>
    </row>
    <row r="16">
      <c r="A16" t="inlineStr">
        <is>
          <t>shrinkage per interval</t>
        </is>
      </c>
      <c r="B16" t="n">
        <v>0.1</v>
      </c>
      <c r="C16" t="inlineStr">
        <is>
          <t>Preserved case-specific RC7 contract/default; hidden in RC8 because it is not a normal business entry field.</t>
        </is>
      </c>
    </row>
    <row r="17">
      <c r="A17" t="inlineStr">
        <is>
          <t>0 9</t>
        </is>
      </c>
      <c r="B17" t="inlineStr">
        <is>
          <t>Ratio</t>
        </is>
      </c>
      <c r="C17" t="inlineStr">
        <is>
          <t>Preserved case-specific RC7 contract/default; hidden in RC8 because it is not a normal business entry field.</t>
        </is>
      </c>
    </row>
    <row r="18">
      <c r="A18" t="inlineStr">
        <is>
          <t>break duration</t>
        </is>
      </c>
      <c r="B18" t="n">
        <v>1</v>
      </c>
      <c r="C18" t="inlineStr">
        <is>
          <t>Preserved case-specific RC7 contract/default; hidden in RC8 because it is not a normal business entry field.</t>
        </is>
      </c>
    </row>
    <row r="19">
      <c r="A19" t="inlineStr">
        <is>
          <t>1</t>
        </is>
      </c>
      <c r="B19" t="inlineStr">
        <is>
          <t>Hours</t>
        </is>
      </c>
      <c r="C19" t="inlineStr">
        <is>
          <t>Preserved case-specific RC7 contract/default; hidden in RC8 because it is not a normal business entry field.</t>
        </is>
      </c>
    </row>
    <row r="20">
      <c r="A20" t="inlineStr">
        <is>
          <t>count of short break 15 mins</t>
        </is>
      </c>
      <c r="B20" t="n">
        <v>2</v>
      </c>
      <c r="C20" t="inlineStr">
        <is>
          <t>Preserved case-specific RC7 contract/default; hidden in RC8 because it is not a normal business entry field.</t>
        </is>
      </c>
    </row>
    <row r="21">
      <c r="A21" t="inlineStr">
        <is>
          <t>count of launch break 30 mins</t>
        </is>
      </c>
      <c r="B21" t="n">
        <v>1</v>
      </c>
      <c r="C21" t="inlineStr">
        <is>
          <t>Preserved case-specific RC7 contract/default; hidden in RC8 because it is not a normal business entry field.</t>
        </is>
      </c>
    </row>
    <row r="22">
      <c r="A22" t="inlineStr">
        <is>
          <t>interval complaince</t>
        </is>
      </c>
      <c r="B22" t="n">
        <v>0.9</v>
      </c>
      <c r="C22" t="inlineStr">
        <is>
          <t>Preserved case-specific RC7 contract/default; hidden in RC8 because it is not a normal business entry field.</t>
        </is>
      </c>
    </row>
    <row r="23">
      <c r="A23" t="inlineStr">
        <is>
          <t>0 8</t>
        </is>
      </c>
      <c r="B23" t="inlineStr">
        <is>
          <t>Ratio</t>
        </is>
      </c>
      <c r="C23" t="inlineStr">
        <is>
          <t>Preserved case-specific RC7 contract/default; hidden in RC8 because it is not a normal business entry field.</t>
        </is>
      </c>
    </row>
    <row r="24">
      <c r="A24" t="inlineStr">
        <is>
          <t>hard floor tolerance</t>
        </is>
      </c>
      <c r="B24" t="n">
        <v>0</v>
      </c>
      <c r="C24" t="inlineStr">
        <is>
          <t>Preserved case-specific RC7 contract/default; hidden in RC8 because it is not a normal business entry field.</t>
        </is>
      </c>
    </row>
    <row r="25">
      <c r="B25" t="inlineStr">
        <is>
          <t>Ratio</t>
        </is>
      </c>
      <c r="C25" t="inlineStr">
        <is>
          <t>Preserved case-specific RC7 contract/default; hidden in RC8 because it is not a normal business entry field.</t>
        </is>
      </c>
    </row>
    <row r="26">
      <c r="A26" t="inlineStr">
        <is>
          <t>formula max associates</t>
        </is>
      </c>
      <c r="B26" t="n">
        <v>50</v>
      </c>
      <c r="C26" t="inlineStr">
        <is>
          <t>Preserved case-specific RC7 contract/default; hidden in RC8 because it is not a normal business entry field.</t>
        </is>
      </c>
    </row>
    <row r="27">
      <c r="A27" t="inlineStr">
        <is>
          <t>allowed shift start window</t>
        </is>
      </c>
      <c r="B27" t="inlineStr">
        <is>
          <t>13:00 - 22:00</t>
        </is>
      </c>
      <c r="C27" t="inlineStr">
        <is>
          <t>Preserved case-specific RC7 contract/default; hidden in RC8 because it is not a normal business entry field.</t>
        </is>
      </c>
    </row>
    <row r="28">
      <c r="A28" t="inlineStr">
        <is>
          <t>blank requirement rule</t>
        </is>
      </c>
      <c r="B28" t="inlineStr">
        <is>
          <t>No current-week staffing where requirement is blank</t>
        </is>
      </c>
      <c r="C28" t="inlineStr">
        <is>
          <t>Preserved case-specific RC7 contract/default; hidden in RC8 because it is not a normal business entry field.</t>
        </is>
      </c>
    </row>
    <row r="29">
      <c r="A29" t="inlineStr">
        <is>
          <t>use 11h 3 off pattern</t>
        </is>
      </c>
      <c r="B29" t="inlineStr">
        <is>
          <t>No</t>
        </is>
      </c>
      <c r="C29" t="inlineStr">
        <is>
          <t>Preserved case-specific RC7 contract/default; hidden in RC8 because it is not a normal business entry field.</t>
        </is>
      </c>
    </row>
    <row r="30">
      <c r="A30" t="inlineStr">
        <is>
          <t>no</t>
        </is>
      </c>
      <c r="B30" t="inlineStr">
        <is>
          <t>Yes/No</t>
        </is>
      </c>
      <c r="C30" t="inlineStr">
        <is>
          <t>Preserved case-specific RC7 contract/default; hidden in RC8 because it is not a normal business entry field.</t>
        </is>
      </c>
    </row>
    <row r="31">
      <c r="A31" t="inlineStr">
        <is>
          <t>balance coverage</t>
        </is>
      </c>
      <c r="B31" t="inlineStr">
        <is>
          <t>Yes</t>
        </is>
      </c>
      <c r="C31" t="inlineStr">
        <is>
          <t>Preserved case-specific RC7 contract/default; hidden in RC8 because it is not a normal business entry field.</t>
        </is>
      </c>
    </row>
    <row r="32">
      <c r="A32" t="inlineStr">
        <is>
          <t>yes</t>
        </is>
      </c>
      <c r="B32" t="inlineStr">
        <is>
          <t>Yes/No</t>
        </is>
      </c>
      <c r="C32" t="inlineStr">
        <is>
          <t>Preserved case-specific RC7 contract/default; hidden in RC8 because it is not a normal business entry field.</t>
        </is>
      </c>
    </row>
    <row r="33">
      <c r="A33" t="inlineStr">
        <is>
          <t>optimizer method</t>
        </is>
      </c>
      <c r="B33" t="inlineStr">
        <is>
          <t>V10 Dynamic Interval Pattern MILP optimizer</t>
        </is>
      </c>
      <c r="C33" t="inlineStr">
        <is>
          <t>Preserved case-specific RC7 contract/default; hidden in RC8 because it is not a normal business entry field.</t>
        </is>
      </c>
    </row>
    <row r="34">
      <c r="A34" t="inlineStr">
        <is>
          <t>balance win reward</t>
        </is>
      </c>
      <c r="B34" t="n">
        <v>10000</v>
      </c>
      <c r="C34" t="inlineStr">
        <is>
          <t>Preserved case-specific RC7 contract/default; hidden in RC8 because it is not a normal business entry field.</t>
        </is>
      </c>
    </row>
    <row r="35">
      <c r="A35" t="inlineStr">
        <is>
          <t>use fixed shift requests</t>
        </is>
      </c>
      <c r="B35" t="inlineStr">
        <is>
          <t>No</t>
        </is>
      </c>
      <c r="C35" t="inlineStr">
        <is>
          <t>Preserved case-specific RC7 contract/default; hidden in RC8 because it is not a normal business entry field.</t>
        </is>
      </c>
    </row>
    <row r="36">
      <c r="A36" t="inlineStr">
        <is>
          <t>shrinkage less than 10 ftes</t>
        </is>
      </c>
      <c r="B36" t="n">
        <v>0.2</v>
      </c>
      <c r="C36" t="inlineStr">
        <is>
          <t>Preserved case-specific RC7 contract/default; hidden in RC8 because it is not a normal business entry field.</t>
        </is>
      </c>
    </row>
    <row r="37">
      <c r="A37" t="inlineStr">
        <is>
          <t>0 2</t>
        </is>
      </c>
      <c r="B37" t="inlineStr">
        <is>
          <t>Percentage</t>
        </is>
      </c>
      <c r="C37" t="inlineStr">
        <is>
          <t>Preserved case-specific RC7 contract/default; hidden in RC8 because it is not a normal business entry field.</t>
        </is>
      </c>
    </row>
    <row r="38">
      <c r="A38" t="inlineStr">
        <is>
          <t>shrinkage 10 or more ftes</t>
        </is>
      </c>
      <c r="B38" t="n">
        <v>0.12</v>
      </c>
      <c r="C38" t="inlineStr">
        <is>
          <t>Preserved case-specific RC7 contract/default; hidden in RC8 because it is not a normal business entry field.</t>
        </is>
      </c>
    </row>
    <row r="39">
      <c r="A39" t="inlineStr">
        <is>
          <t>0 12</t>
        </is>
      </c>
      <c r="B39" t="inlineStr">
        <is>
          <t>Percentage</t>
        </is>
      </c>
      <c r="C39" t="inlineStr">
        <is>
          <t>Preserved case-specific RC7 contract/default; hidden in RC8 because it is not a normal business entry field.</t>
        </is>
      </c>
    </row>
    <row r="40">
      <c r="A40" t="inlineStr">
        <is>
          <t>shrinkage threshold fte</t>
        </is>
      </c>
      <c r="B40" t="n">
        <v>10</v>
      </c>
      <c r="C40" t="inlineStr">
        <is>
          <t>Preserved case-specific RC7 contract/default; hidden in RC8 because it is not a normal business entry field.</t>
        </is>
      </c>
    </row>
    <row r="41">
      <c r="A41" t="inlineStr">
        <is>
          <t>10</t>
        </is>
      </c>
      <c r="B41" t="inlineStr">
        <is>
          <t>FTE</t>
        </is>
      </c>
      <c r="C41" t="inlineStr">
        <is>
          <t>Preserved case-specific RC7 contract/default; hidden in RC8 because it is not a normal business entry field.</t>
        </is>
      </c>
    </row>
    <row r="42">
      <c r="A42" t="inlineStr">
        <is>
          <t>shrinkage sheet</t>
        </is>
      </c>
      <c r="B42" t="inlineStr">
        <is>
          <t>Instruction Cells/Shrinkage Sheet</t>
        </is>
      </c>
      <c r="C42" t="inlineStr">
        <is>
          <t>Preserved case-specific RC7 contract/default; hidden in RC8 because it is not a normal business entry field.</t>
        </is>
      </c>
    </row>
    <row r="43">
      <c r="A43" t="inlineStr">
        <is>
          <t>use existing schedule as candidate</t>
        </is>
      </c>
      <c r="B43" t="inlineStr">
        <is>
          <t>No</t>
        </is>
      </c>
      <c r="C43" t="inlineStr">
        <is>
          <t>Preserved case-specific RC7 contract/default; hidden in RC8 because it is not a normal business entry field.</t>
        </is>
      </c>
    </row>
    <row r="44">
      <c r="A44" t="inlineStr">
        <is>
          <t>interval granularity minutes</t>
        </is>
      </c>
      <c r="B44" t="n">
        <v>30</v>
      </c>
      <c r="C44" t="inlineStr">
        <is>
          <t>Preserved case-specific RC7 contract/default; hidden in RC8 because it is not a normal business entry field.</t>
        </is>
      </c>
    </row>
    <row r="45">
      <c r="A45" t="inlineStr">
        <is>
          <t>shift start step minutes</t>
        </is>
      </c>
      <c r="B45" t="n">
        <v>60</v>
      </c>
      <c r="C45" t="inlineStr">
        <is>
          <t>Preserved case-specific RC7 contract/default; hidden in RC8 because it is not a normal business entry field.</t>
        </is>
      </c>
    </row>
    <row r="46">
      <c r="A46" t="inlineStr">
        <is>
          <t>active requirements used</t>
        </is>
      </c>
      <c r="B46" t="inlineStr">
        <is>
          <t>FT Wise</t>
        </is>
      </c>
      <c r="C46" t="inlineStr">
        <is>
          <t>Preserved case-specific RC7 contract/default; hidden in RC8 because it is not a normal business entry field.</t>
        </is>
      </c>
    </row>
    <row r="47">
      <c r="A47" t="inlineStr">
        <is>
          <t>active interval minutes used</t>
        </is>
      </c>
      <c r="B47" t="n">
        <v>60</v>
      </c>
      <c r="C47" t="inlineStr">
        <is>
          <t>Preserved case-specific RC7 contract/default; hidden in RC8 because it is not a normal business entry field.</t>
        </is>
      </c>
    </row>
    <row r="48">
      <c r="A48" t="inlineStr">
        <is>
          <t>max different shifts per week</t>
        </is>
      </c>
      <c r="B48" t="n">
        <v>3</v>
      </c>
      <c r="C48" t="inlineStr">
        <is>
          <t>Preserved case-specific RC7 contract/default; hidden in RC8 because it is not a normal business entry field.</t>
        </is>
      </c>
    </row>
    <row r="49">
      <c r="A49" t="inlineStr">
        <is>
          <t>3</t>
        </is>
      </c>
      <c r="B49" t="inlineStr">
        <is>
          <t>Hours</t>
        </is>
      </c>
      <c r="C49" t="inlineStr">
        <is>
          <t>Preserved case-specific RC7 contract/default; hidden in RC8 because it is not a normal business entry field.</t>
        </is>
      </c>
    </row>
    <row r="50">
      <c r="A50" t="inlineStr">
        <is>
          <t>active shrinkage sheet</t>
        </is>
      </c>
      <c r="B50" t="inlineStr">
        <is>
          <t>Shrinkage 30 Min</t>
        </is>
      </c>
      <c r="C50" t="inlineStr">
        <is>
          <t>Preserved case-specific RC7 contract/default; hidden in RC8 because it is not a normal business entry field.</t>
        </is>
      </c>
    </row>
    <row r="51">
      <c r="A51" t="inlineStr">
        <is>
          <t>interval compliance</t>
        </is>
      </c>
      <c r="B51" t="n">
        <v>0.9</v>
      </c>
      <c r="C51" t="inlineStr">
        <is>
          <t>Preserved case-specific RC7 contract/default; hidden in RC8 because it is not a normal business entry field.</t>
        </is>
      </c>
    </row>
    <row r="52">
      <c r="A52" t="inlineStr">
        <is>
          <t>production quality band</t>
        </is>
      </c>
      <c r="B52" t="n">
        <v>0.9</v>
      </c>
      <c r="C52" t="inlineStr">
        <is>
          <t>Preserved case-specific RC7 contract/default; hidden in RC8 because it is not a normal business entry field.</t>
        </is>
      </c>
    </row>
    <row r="53">
      <c r="A53" t="inlineStr">
        <is>
          <t>overall schedule kpi</t>
        </is>
      </c>
      <c r="B53" t="inlineStr">
        <is>
          <t>100% of active intervals &gt;= 90%</t>
        </is>
      </c>
      <c r="C53" t="inlineStr">
        <is>
          <t>Preserved case-specific RC7 contract/default; hidden in RC8 because it is not a normal business entry field.</t>
        </is>
      </c>
    </row>
    <row r="54">
      <c r="A54" t="inlineStr">
        <is>
          <t>100 of active intervals 90</t>
        </is>
      </c>
      <c r="B54" t="inlineStr">
        <is>
          <t>KPI</t>
        </is>
      </c>
      <c r="C54" t="inlineStr">
        <is>
          <t>Preserved case-specific RC7 contract/default; hidden in RC8 because it is not a normal business entry field.</t>
        </is>
      </c>
    </row>
    <row r="55">
      <c r="A55" t="inlineStr">
        <is>
          <t>operational risk polish</t>
        </is>
      </c>
      <c r="B55" t="inlineStr">
        <is>
          <t>Demand Fit Max Blank Span Minutes</t>
        </is>
      </c>
      <c r="C55" t="inlineStr">
        <is>
          <t>Preserved case-specific RC7 contract/default; hidden in RC8 because it is not a normal business entry field.</t>
        </is>
      </c>
    </row>
    <row r="56">
      <c r="A56" t="inlineStr">
        <is>
          <t>local polish enabled</t>
        </is>
      </c>
      <c r="B56" t="inlineStr">
        <is>
          <t>Yes</t>
        </is>
      </c>
      <c r="C56" t="inlineStr">
        <is>
          <t>Preserved case-specific RC7 contract/default; hidden in RC8 because it is not a normal business entry field.</t>
        </is>
      </c>
    </row>
    <row r="57">
      <c r="A57" t="inlineStr">
        <is>
          <t>local polish max moves tested</t>
        </is>
      </c>
      <c r="B57" t="n">
        <v>50</v>
      </c>
      <c r="C57" t="inlineStr">
        <is>
          <t>Preserved case-specific RC7 contract/default; hidden in RC8 because it is not a normal business entry field.</t>
        </is>
      </c>
    </row>
    <row r="58">
      <c r="A58" t="inlineStr">
        <is>
          <t>local polish max accepted moves</t>
        </is>
      </c>
      <c r="B58" t="n">
        <v>3</v>
      </c>
      <c r="C58" t="inlineStr">
        <is>
          <t>Preserved case-specific RC7 contract/default; hidden in RC8 because it is not a normal business entry field.</t>
        </is>
      </c>
    </row>
    <row r="59">
      <c r="A59" t="inlineStr">
        <is>
          <t>local polish rounds</t>
        </is>
      </c>
      <c r="B59" t="n">
        <v>2</v>
      </c>
      <c r="C59" t="inlineStr">
        <is>
          <t>Preserved case-specific RC7 contract/default; hidden in RC8 because it is not a normal business entry field.</t>
        </is>
      </c>
    </row>
    <row r="60">
      <c r="A60" t="inlineStr">
        <is>
          <t>local polish timeout per move seconds</t>
        </is>
      </c>
      <c r="B60" t="n">
        <v>75</v>
      </c>
      <c r="C60" t="inlineStr">
        <is>
          <t>Preserved case-specific RC7 contract/default; hidden in RC8 because it is not a normal business entry field.</t>
        </is>
      </c>
    </row>
    <row r="61">
      <c r="A61" t="inlineStr">
        <is>
          <t>local polish max shift move hours</t>
        </is>
      </c>
      <c r="B61" t="n">
        <v>3</v>
      </c>
      <c r="C61" t="inlineStr">
        <is>
          <t>Preserved case-specific RC7 contract/default; hidden in RC8 because it is not a normal business entry field.</t>
        </is>
      </c>
    </row>
    <row r="62">
      <c r="A62" t="inlineStr">
        <is>
          <t>demand fit guard enabled</t>
        </is>
      </c>
      <c r="B62" t="inlineStr">
        <is>
          <t>Auto</t>
        </is>
      </c>
      <c r="C62" t="inlineStr">
        <is>
          <t>Preserved case-specific RC7 contract/default; hidden in RC8 because it is not a normal business entry field.</t>
        </is>
      </c>
    </row>
    <row r="63">
      <c r="A63" t="inlineStr">
        <is>
          <t>demand fit max blank span minutes</t>
        </is>
      </c>
      <c r="B63" t="n">
        <v>180</v>
      </c>
      <c r="C63" t="inlineStr">
        <is>
          <t>Preserved case-specific RC7 contract/default; hidden in RC8 because it is not a normal business entry field.</t>
        </is>
      </c>
    </row>
    <row r="64">
      <c r="A64" t="inlineStr">
        <is>
          <t>local polish target priority guard</t>
        </is>
      </c>
      <c r="B64" t="inlineStr">
        <is>
          <t>Yes</t>
        </is>
      </c>
      <c r="C64" t="inlineStr">
        <is>
          <t>Preserved case-specific RC7 contract/default; hidden in RC8 because it is not a normal business entry field.</t>
        </is>
      </c>
    </row>
    <row r="65">
      <c r="A65" t="inlineStr">
        <is>
          <t>local polish move budget mode</t>
        </is>
      </c>
      <c r="B65" t="inlineStr">
        <is>
          <t>Percent of schedule slots</t>
        </is>
      </c>
      <c r="C65" t="inlineStr">
        <is>
          <t>Preserved case-specific RC7 contract/default; hidden in RC8 because it is not a normal business entry field.</t>
        </is>
      </c>
    </row>
    <row r="66">
      <c r="A66" t="inlineStr">
        <is>
          <t>percent of schedule slots</t>
        </is>
      </c>
      <c r="B66" t="inlineStr">
        <is>
          <t>Text</t>
        </is>
      </c>
      <c r="C66" t="inlineStr">
        <is>
          <t>Preserved case-specific RC7 contract/default; hidden in RC8 because it is not a normal business entry field.</t>
        </is>
      </c>
    </row>
    <row r="67">
      <c r="A67" t="inlineStr">
        <is>
          <t>local polish move budget percent</t>
        </is>
      </c>
      <c r="B67" t="n">
        <v>50</v>
      </c>
      <c r="C67" t="inlineStr">
        <is>
          <t>Preserved case-specific RC7 contract/default; hidden in RC8 because it is not a normal business entry field.</t>
        </is>
      </c>
    </row>
    <row r="68">
      <c r="A68" t="inlineStr">
        <is>
          <t>local polish min moves tested</t>
        </is>
      </c>
      <c r="B68" t="n">
        <v>30</v>
      </c>
      <c r="C68" t="inlineStr">
        <is>
          <t>Preserved case-specific RC7 contract/default; hidden in RC8 because it is not a normal business entry field.</t>
        </is>
      </c>
    </row>
    <row r="69">
      <c r="A69" t="inlineStr">
        <is>
          <t>30</t>
        </is>
      </c>
      <c r="B69" t="inlineStr">
        <is>
          <t>Count</t>
        </is>
      </c>
      <c r="C69" t="inlineStr">
        <is>
          <t>Preserved case-specific RC7 contract/default; hidden in RC8 because it is not a normal business entry field.</t>
        </is>
      </c>
    </row>
    <row r="70">
      <c r="A70" t="inlineStr">
        <is>
          <t>local polish max moves hard cap</t>
        </is>
      </c>
      <c r="B70" t="n">
        <v>250</v>
      </c>
      <c r="C70" t="inlineStr">
        <is>
          <t>Preserved case-specific RC7 contract/default; hidden in RC8 because it is not a normal business entry field.</t>
        </is>
      </c>
    </row>
    <row r="71">
      <c r="A71" t="inlineStr">
        <is>
          <t>250</t>
        </is>
      </c>
      <c r="B71" t="inlineStr">
        <is>
          <t>Count</t>
        </is>
      </c>
      <c r="C71" t="inlineStr">
        <is>
          <t>Preserved case-specific RC7 contract/default; hidden in RC8 because it is not a normal business entry field.</t>
        </is>
      </c>
    </row>
    <row r="72">
      <c r="A72" t="inlineStr">
        <is>
          <t>75</t>
        </is>
      </c>
      <c r="B72" t="inlineStr">
        <is>
          <t>Seconds</t>
        </is>
      </c>
      <c r="C72" t="inlineStr">
        <is>
          <t>Preserved case-specific RC7 contract/default; hidden in RC8 because it is not a normal business entry field.</t>
        </is>
      </c>
    </row>
    <row r="73">
      <c r="A73" t="inlineStr">
        <is>
          <t>quality identity</t>
        </is>
      </c>
      <c r="B73" t="inlineStr">
        <is>
          <t>Target Priority Confirmed</t>
        </is>
      </c>
      <c r="C73" t="inlineStr">
        <is>
          <t>Preserved case-specific RC7 contract/default; hidden in RC8 because it is not a normal business entry field.</t>
        </is>
      </c>
    </row>
    <row r="74">
      <c r="A74" t="inlineStr">
        <is>
          <t>quality benchmark</t>
        </is>
      </c>
      <c r="B74" t="inlineStr">
        <is>
          <t>Quality Benchmark Tolerance Intervals</t>
        </is>
      </c>
      <c r="C74" t="inlineStr">
        <is>
          <t>Preserved case-specific RC7 contract/default; hidden in RC8 because it is not a normal business entry field.</t>
        </is>
      </c>
    </row>
    <row r="75">
      <c r="A75" t="inlineStr">
        <is>
          <t>quality benchmark tolerance intervals</t>
        </is>
      </c>
      <c r="B75" t="n">
        <v>0</v>
      </c>
      <c r="C75" t="inlineStr">
        <is>
          <t>Preserved case-specific RC7 contract/default; hidden in RC8 because it is not a normal business entry field.</t>
        </is>
      </c>
    </row>
    <row r="76">
      <c r="A76" t="inlineStr">
        <is>
          <t>overage control</t>
        </is>
      </c>
      <c r="B76" t="inlineStr">
        <is>
          <t>Overage Penalty Weight</t>
        </is>
      </c>
      <c r="C76" t="inlineStr">
        <is>
          <t>Preserved case-specific RC7 contract/default; hidden in RC8 because it is not a normal business entry field.</t>
        </is>
      </c>
    </row>
    <row r="77">
      <c r="A77" t="inlineStr">
        <is>
          <t>overage control enabled</t>
        </is>
      </c>
      <c r="B77" t="inlineStr">
        <is>
          <t>Yes</t>
        </is>
      </c>
      <c r="C77" t="inlineStr">
        <is>
          <t>Preserved case-specific RC7 contract/default; hidden in RC8 because it is not a normal business entry field.</t>
        </is>
      </c>
    </row>
    <row r="78">
      <c r="A78" t="inlineStr">
        <is>
          <t>overage soft cap</t>
        </is>
      </c>
      <c r="B78" t="n">
        <v>1.1</v>
      </c>
      <c r="C78" t="inlineStr">
        <is>
          <t>Preserved case-specific RC7 contract/default; hidden in RC8 because it is not a normal business entry field.</t>
        </is>
      </c>
    </row>
    <row r="79">
      <c r="A79" t="inlineStr">
        <is>
          <t>overage severe cap</t>
        </is>
      </c>
      <c r="B79" t="n">
        <v>1.2</v>
      </c>
      <c r="C79" t="inlineStr">
        <is>
          <t>Preserved case-specific RC7 contract/default; hidden in RC8 because it is not a normal business entry field.</t>
        </is>
      </c>
    </row>
    <row r="80">
      <c r="A80" t="inlineStr">
        <is>
          <t>overage extreme cap</t>
        </is>
      </c>
      <c r="B80" t="n">
        <v>1.4</v>
      </c>
      <c r="C80" t="inlineStr">
        <is>
          <t>Preserved case-specific RC7 contract/default; hidden in RC8 because it is not a normal business entry field.</t>
        </is>
      </c>
    </row>
    <row r="81">
      <c r="A81" t="inlineStr">
        <is>
          <t>overage penalty weight</t>
        </is>
      </c>
      <c r="B81" t="n">
        <v>40</v>
      </c>
      <c r="C81" t="inlineStr">
        <is>
          <t>Preserved case-specific RC7 contract/default; hidden in RC8 because it is not a normal business entry field.</t>
        </is>
      </c>
    </row>
    <row r="82">
      <c r="A82" t="inlineStr">
        <is>
          <t>section</t>
        </is>
      </c>
      <c r="B82" t="inlineStr">
        <is>
          <t>Instruction</t>
        </is>
      </c>
      <c r="C82" t="inlineStr">
        <is>
          <t>Preserved case-specific RC7 contract/default; hidden in RC8 because it is not a normal business entry field.</t>
        </is>
      </c>
    </row>
    <row r="83">
      <c r="A83" t="inlineStr">
        <is>
          <t>case setup</t>
        </is>
      </c>
      <c r="B83" t="inlineStr">
        <is>
          <t>Shrinkage Source</t>
        </is>
      </c>
      <c r="C83" t="inlineStr">
        <is>
          <t>Preserved case-specific RC7 contract/default; hidden in RC8 because it is not a normal business entry field.</t>
        </is>
      </c>
    </row>
    <row r="84">
      <c r="A84" t="inlineStr">
        <is>
          <t>coverage</t>
        </is>
      </c>
      <c r="B84" t="inlineStr">
        <is>
          <t>Target Priority Confirmed</t>
        </is>
      </c>
      <c r="C84" t="inlineStr">
        <is>
          <t>Preserved case-specific RC7 contract/default; hidden in RC8 because it is not a normal business entry field.</t>
        </is>
      </c>
    </row>
    <row r="85">
      <c r="A85" t="inlineStr">
        <is>
          <t>shift off</t>
        </is>
      </c>
      <c r="B85" t="inlineStr">
        <is>
          <t>Count of Different Shifts Per week</t>
        </is>
      </c>
      <c r="C85" t="inlineStr">
        <is>
          <t>Preserved case-specific RC7 contract/default; hidden in RC8 because it is not a normal business entry field.</t>
        </is>
      </c>
    </row>
    <row r="86">
      <c r="A86" t="inlineStr">
        <is>
          <t>requests</t>
        </is>
      </c>
      <c r="B86" t="inlineStr">
        <is>
          <t>Use Preferences</t>
        </is>
      </c>
      <c r="C86" t="inlineStr">
        <is>
          <t>Preserved case-specific RC7 contract/default; hidden in RC8 because it is not a normal business entry field.</t>
        </is>
      </c>
    </row>
    <row r="87">
      <c r="A87" t="inlineStr">
        <is>
          <t>opening guard</t>
        </is>
      </c>
      <c r="B87" t="inlineStr">
        <is>
          <t>Opening Guard Intervals</t>
        </is>
      </c>
      <c r="C87" t="inlineStr">
        <is>
          <t>Preserved case-specific RC7 contract/default; hidden in RC8 because it is not a normal business entry field.</t>
        </is>
      </c>
    </row>
    <row r="88">
      <c r="A88" t="inlineStr">
        <is>
          <t>demand fit</t>
        </is>
      </c>
      <c r="B88" t="inlineStr">
        <is>
          <t>Demand Fit Maximum Blank Span Minutes</t>
        </is>
      </c>
      <c r="C88" t="inlineStr">
        <is>
          <t>Preserved case-specific RC7 contract/default; hidden in RC8 because it is not a normal business entry field.</t>
        </is>
      </c>
    </row>
    <row r="89">
      <c r="A89" t="inlineStr">
        <is>
          <t>demand fit minimum active minutes</t>
        </is>
      </c>
      <c r="B89" t="n">
        <v>180</v>
      </c>
      <c r="C89" t="inlineStr">
        <is>
          <t>Preserved case-specific RC7 contract/default; hidden in RC8 because it is not a normal business entry field.</t>
        </is>
      </c>
    </row>
    <row r="90">
      <c r="A90" t="inlineStr">
        <is>
          <t>demand fit minimum active ratio</t>
        </is>
      </c>
      <c r="B90" t="n">
        <v>0.45</v>
      </c>
      <c r="C90" t="inlineStr">
        <is>
          <t>Preserved case-specific RC7 contract/default; hidden in RC8 because it is not a normal business entry field.</t>
        </is>
      </c>
    </row>
    <row r="91">
      <c r="A91" t="inlineStr">
        <is>
          <t>demand fit maximum blank span minutes</t>
        </is>
      </c>
      <c r="B91" t="n">
        <v>180</v>
      </c>
      <c r="C91" t="inlineStr">
        <is>
          <t>Preserved case-specific RC7 contract/default; hidden in RC8 because it is not a normal business entry field.</t>
        </is>
      </c>
    </row>
    <row r="92">
      <c r="A92" t="inlineStr">
        <is>
          <t>identity</t>
        </is>
      </c>
      <c r="B92" t="inlineStr">
        <is>
          <t>Allow Headcount Mismatch</t>
        </is>
      </c>
      <c r="C92" t="inlineStr">
        <is>
          <t>Preserved case-specific RC7 contract/default; hidden in RC8 because it is not a normal business entry field.</t>
        </is>
      </c>
    </row>
    <row r="93">
      <c r="A93" t="inlineStr">
        <is>
          <t>rc7 input contract version</t>
        </is>
      </c>
      <c r="B93" t="inlineStr">
        <is>
          <t>L6.3.2.3-R1.3.0-C-C4-PHASE-C-FINAL-CONTRACT-SEMANTICS-RC7</t>
        </is>
      </c>
      <c r="C93" t="inlineStr">
        <is>
          <t>Preserved case-specific RC7 contract/default; hidden in RC8 because it is not a normal business entry field.</t>
        </is>
      </c>
    </row>
    <row r="94">
      <c r="A94" t="inlineStr">
        <is>
          <t>allow headcount mismatch</t>
        </is>
      </c>
      <c r="B94" t="inlineStr">
        <is>
          <t>No</t>
        </is>
      </c>
      <c r="C94" t="inlineStr">
        <is>
          <t>Preserved case-specific RC7 contract/default; hidden in RC8 because it is not a normal business entry field.</t>
        </is>
      </c>
    </row>
    <row r="95">
      <c r="A95" t="inlineStr">
        <is>
          <t>breaks</t>
        </is>
      </c>
      <c r="B95" t="inlineStr">
        <is>
          <t>Maximum Concurrent Breaks</t>
        </is>
      </c>
      <c r="C95" t="inlineStr">
        <is>
          <t>Preserved case-specific RC7 contract/default; hidden in RC8 because it is not a normal business entry field.</t>
        </is>
      </c>
    </row>
    <row r="96">
      <c r="A96" t="inlineStr">
        <is>
          <t>maximum concurrent break ratio</t>
        </is>
      </c>
      <c r="B96" t="n">
        <v>0.3</v>
      </c>
      <c r="C96" t="inlineStr">
        <is>
          <t>Preserved case-specific RC7 contract/default; hidden in RC8 because it is not a normal business entry field.</t>
        </is>
      </c>
    </row>
    <row r="97">
      <c r="A97" t="inlineStr">
        <is>
          <t>maximum concurrent breaks</t>
        </is>
      </c>
      <c r="B97" t="n">
        <v>4</v>
      </c>
      <c r="C97" t="inlineStr">
        <is>
          <t>Preserved case-specific RC7 contract/default; hidden in RC8 because it is not a normal business entry field.</t>
        </is>
      </c>
    </row>
    <row r="98">
      <c r="A98" t="inlineStr">
        <is>
          <t>quality semantics</t>
        </is>
      </c>
      <c r="B98" t="inlineStr">
        <is>
          <t>Skill Allocation Gate Mode</t>
        </is>
      </c>
      <c r="C98" t="inlineStr">
        <is>
          <t>Preserved case-specific RC7 contract/default; hidden in RC8 because it is not a normal business entry field.</t>
        </is>
      </c>
    </row>
    <row r="99">
      <c r="A99" t="inlineStr">
        <is>
          <t>break concurrency gate mode</t>
        </is>
      </c>
      <c r="B99" t="inlineStr">
        <is>
          <t>Warn</t>
        </is>
      </c>
      <c r="C99" t="inlineStr">
        <is>
          <t>Preserved case-specific RC7 contract/default; hidden in RC8 because it is not a normal business entry field.</t>
        </is>
      </c>
    </row>
    <row r="100">
      <c r="A100" t="inlineStr">
        <is>
          <t>exception policy</t>
        </is>
      </c>
      <c r="B100" t="inlineStr">
        <is>
          <t>Critical Coverage No-Break Max Associate-Days</t>
        </is>
      </c>
      <c r="C100" t="inlineStr">
        <is>
          <t>Preserved case-specific RC7 contract/default; hidden in RC8 because it is not a normal business entry field.</t>
        </is>
      </c>
    </row>
    <row r="101">
      <c r="A101" t="inlineStr">
        <is>
          <t>coverage quality</t>
        </is>
      </c>
      <c r="B101" t="inlineStr">
        <is>
          <t>Production Quality Gate Mode</t>
        </is>
      </c>
      <c r="C101" t="inlineStr">
        <is>
          <t>Preserved case-specific RC7 contract/default; hidden in RC8 because it is not a normal business entry field.</t>
        </is>
      </c>
    </row>
    <row r="102">
      <c r="A102" t="inlineStr">
        <is>
          <t>production maximum floor gap ratio</t>
        </is>
      </c>
      <c r="B102" t="n">
        <v>0.1</v>
      </c>
      <c r="C102" t="inlineStr">
        <is>
          <t>Preserved case-specific RC7 contract/default; hidden in RC8 because it is not a normal business entry field.</t>
        </is>
      </c>
    </row>
    <row r="103">
      <c r="A103" t="inlineStr">
        <is>
          <t>production maximum severe gap ratio</t>
        </is>
      </c>
      <c r="B103" t="n">
        <v>0.05</v>
      </c>
      <c r="C103" t="inlineStr">
        <is>
          <t>Preserved case-specific RC7 contract/default; hidden in RC8 because it is not a normal business entry field.</t>
        </is>
      </c>
    </row>
    <row r="104">
      <c r="A104" t="inlineStr">
        <is>
          <t>production maximum consecutive floor gaps</t>
        </is>
      </c>
      <c r="B104" t="n">
        <v>3</v>
      </c>
      <c r="C104" t="inlineStr">
        <is>
          <t>Preserved case-specific RC7 contract/default; hidden in RC8 because it is not a normal business entry field.</t>
        </is>
      </c>
    </row>
    <row r="105">
      <c r="A105" t="inlineStr">
        <is>
          <t>language skill</t>
        </is>
      </c>
      <c r="B105" t="inlineStr">
        <is>
          <t>Qualified Language Break Certificate Waiver Penalty</t>
        </is>
      </c>
      <c r="C105" t="inlineStr">
        <is>
          <t>Preserved case-specific RC7 contract/default; hidden in RC8 because it is not a normal business entry field.</t>
        </is>
      </c>
    </row>
    <row r="106">
      <c r="A106" t="inlineStr">
        <is>
          <t>language operational reserve enabled</t>
        </is>
      </c>
      <c r="B106" t="inlineStr">
        <is>
          <t>Yes</t>
        </is>
      </c>
      <c r="C106" t="inlineStr">
        <is>
          <t>Preserved case-specific RC7 contract/default; hidden in RC8 because it is not a normal business entry field.</t>
        </is>
      </c>
    </row>
    <row r="107">
      <c r="A107" t="inlineStr">
        <is>
          <t>language operational reserve extra fte</t>
        </is>
      </c>
      <c r="B107" t="n">
        <v>1</v>
      </c>
      <c r="C107" t="inlineStr">
        <is>
          <t>Preserved case-specific RC7 contract/default; hidden in RC8 because it is not a normal business entry field.</t>
        </is>
      </c>
    </row>
    <row r="108">
      <c r="A108" t="inlineStr">
        <is>
          <t>language reserve gate mode</t>
        </is>
      </c>
      <c r="B108" t="inlineStr">
        <is>
          <t>Warn</t>
        </is>
      </c>
      <c r="C108" t="inlineStr">
        <is>
          <t>Preserved case-specific RC7 contract/default; hidden in RC8 because it is not a normal business entry field.</t>
        </is>
      </c>
    </row>
    <row r="109">
      <c r="A109" t="inlineStr">
        <is>
          <t>language maximum minimum only ratio</t>
        </is>
      </c>
      <c r="B109" t="n">
        <v>0.25</v>
      </c>
      <c r="C109" t="inlineStr">
        <is>
          <t>Preserved case-specific RC7 contract/default; hidden in RC8 because it is not a normal business entry field.</t>
        </is>
      </c>
    </row>
    <row r="110">
      <c r="A110" t="inlineStr">
        <is>
          <t>qualified language break certificate enabled</t>
        </is>
      </c>
      <c r="B110" t="inlineStr">
        <is>
          <t>Yes</t>
        </is>
      </c>
      <c r="C110" t="inlineStr">
        <is>
          <t>Preserved case-specific RC7 contract/default; hidden in RC8 because it is not a normal business entry field.</t>
        </is>
      </c>
    </row>
    <row r="111">
      <c r="A111" t="inlineStr">
        <is>
          <t>qualified language break certificate pattern limit</t>
        </is>
      </c>
      <c r="B111" t="n">
        <v>1260</v>
      </c>
      <c r="C111" t="inlineStr">
        <is>
          <t>Preserved case-specific RC7 contract/default; hidden in RC8 because it is not a normal business entry field.</t>
        </is>
      </c>
    </row>
    <row r="112">
      <c r="A112" t="inlineStr">
        <is>
          <t>qualified language break certificate maximum cells</t>
        </is>
      </c>
      <c r="B112" t="n">
        <v>8</v>
      </c>
      <c r="C112" t="inlineStr">
        <is>
          <t>Preserved case-specific RC7 contract/default; hidden in RC8 because it is not a normal business entry field.</t>
        </is>
      </c>
    </row>
    <row r="113">
      <c r="A113" t="inlineStr">
        <is>
          <t>qualified language break certificate shift span minutes</t>
        </is>
      </c>
      <c r="B113" t="n">
        <v>360</v>
      </c>
      <c r="C113" t="inlineStr">
        <is>
          <t>Preserved case-specific RC7 contract/default; hidden in RC8 because it is not a normal business entry field.</t>
        </is>
      </c>
    </row>
    <row r="114">
      <c r="A114" t="inlineStr">
        <is>
          <t>qualified language break certificate waiver penalty</t>
        </is>
      </c>
      <c r="B114" t="n">
        <v>50000000</v>
      </c>
      <c r="C114" t="inlineStr">
        <is>
          <t>Preserved case-specific RC7 contract/default; hidden in RC8 because it is not a normal business entry field.</t>
        </is>
      </c>
    </row>
    <row r="115">
      <c r="A115" t="inlineStr">
        <is>
          <t>week boundary</t>
        </is>
      </c>
      <c r="B115" t="inlineStr">
        <is>
          <t>Next Sunday Maximum Adjacent Raw Change</t>
        </is>
      </c>
      <c r="C115" t="inlineStr">
        <is>
          <t>Preserved case-specific RC7 contract/default; hidden in RC8 because it is not a normal business entry field.</t>
        </is>
      </c>
    </row>
    <row r="116">
      <c r="A116" t="inlineStr">
        <is>
          <t>next sunday balance enabled</t>
        </is>
      </c>
      <c r="B116" t="inlineStr">
        <is>
          <t>Yes</t>
        </is>
      </c>
      <c r="C116" t="inlineStr">
        <is>
          <t>Preserved case-specific RC7 contract/default; hidden in RC8 because it is not a normal business entry field.</t>
        </is>
      </c>
    </row>
    <row r="117">
      <c r="A117" t="inlineStr">
        <is>
          <t>next sunday overage cap</t>
        </is>
      </c>
      <c r="B117" t="n">
        <v>1.3</v>
      </c>
      <c r="C117" t="inlineStr">
        <is>
          <t>Preserved case-specific RC7 contract/default; hidden in RC8 because it is not a normal business entry field.</t>
        </is>
      </c>
    </row>
    <row r="118">
      <c r="A118" t="inlineStr">
        <is>
          <t>next sunday maximum adjacent raw change</t>
        </is>
      </c>
      <c r="B118" t="n">
        <v>3</v>
      </c>
      <c r="C118" t="inlineStr">
        <is>
          <t>Preserved case-specific RC7 contract/default; hidden in RC8 because it is not a normal business entry field.</t>
        </is>
      </c>
    </row>
    <row r="119">
      <c r="A119" t="inlineStr">
        <is>
          <t>next sunday balance gate mode</t>
        </is>
      </c>
      <c r="B119" t="inlineStr">
        <is>
          <t>Warn</t>
        </is>
      </c>
      <c r="C119" t="inlineStr">
        <is>
          <t>Preserved case-specific RC7 contract/default; hidden in RC8 because it is not a normal business entry field.</t>
        </is>
      </c>
    </row>
    <row r="120">
      <c r="A120" t="inlineStr">
        <is>
          <t>whole week</t>
        </is>
      </c>
      <c r="B120" t="inlineStr">
        <is>
          <t>Whole Week Maximum Adjacent Imbalance Violations</t>
        </is>
      </c>
      <c r="C120" t="inlineStr">
        <is>
          <t>Preserved case-specific RC7 contract/default; hidden in RC8 because it is not a normal business entry field.</t>
        </is>
      </c>
    </row>
    <row r="121">
      <c r="A121" t="inlineStr">
        <is>
          <t>whole week balance enabled</t>
        </is>
      </c>
      <c r="B121" t="inlineStr">
        <is>
          <t>Yes</t>
        </is>
      </c>
      <c r="C121" t="inlineStr">
        <is>
          <t>Preserved case-specific RC7 contract/default; hidden in RC8 because it is not a normal business entry field.</t>
        </is>
      </c>
    </row>
    <row r="122">
      <c r="A122" t="inlineStr">
        <is>
          <t>whole week overage cap</t>
        </is>
      </c>
      <c r="B122" t="n">
        <v>1.35</v>
      </c>
      <c r="C122" t="inlineStr">
        <is>
          <t>Preserved case-specific RC7 contract/default; hidden in RC8 because it is not a normal business entry field.</t>
        </is>
      </c>
    </row>
    <row r="123">
      <c r="A123" t="inlineStr">
        <is>
          <t>whole week maximum adjacent raw change</t>
        </is>
      </c>
      <c r="B123" t="n">
        <v>3</v>
      </c>
      <c r="C123" t="inlineStr">
        <is>
          <t>Preserved case-specific RC7 contract/default; hidden in RC8 because it is not a normal business entry field.</t>
        </is>
      </c>
    </row>
    <row r="124">
      <c r="A124" t="inlineStr">
        <is>
          <t>whole week maximum overage cap violations</t>
        </is>
      </c>
      <c r="B124" t="n">
        <v>0</v>
      </c>
      <c r="C124" t="inlineStr">
        <is>
          <t>Preserved case-specific RC7 contract/default; hidden in RC8 because it is not a normal business entry field.</t>
        </is>
      </c>
    </row>
    <row r="125">
      <c r="A125" t="inlineStr">
        <is>
          <t>whole week maximum adjacent imbalance violations</t>
        </is>
      </c>
      <c r="B125" t="n">
        <v>0</v>
      </c>
      <c r="C125" t="inlineStr">
        <is>
          <t>Preserved case-specific RC7 contract/default; hidden in RC8 because it is not a normal business entry field.</t>
        </is>
      </c>
    </row>
    <row r="126">
      <c r="A126" t="inlineStr">
        <is>
          <t>whole week balance gate mode</t>
        </is>
      </c>
      <c r="B126" t="inlineStr">
        <is>
          <t>Warn</t>
        </is>
      </c>
      <c r="C126" t="inlineStr">
        <is>
          <t>Preserved case-specific RC7 contract/default; hidden in RC8 because it is not a normal business entry field.</t>
        </is>
      </c>
    </row>
    <row r="127">
      <c r="A127" t="inlineStr">
        <is>
          <t>target loss from breaks gate mode</t>
        </is>
      </c>
      <c r="B127" t="inlineStr">
        <is>
          <t>Warn</t>
        </is>
      </c>
      <c r="C127" t="inlineStr">
        <is>
          <t>Preserved case-specific RC7 contract/default; hidden in RC8 because it is not a normal business entry field.</t>
        </is>
      </c>
    </row>
    <row r="128">
      <c r="A128" t="inlineStr">
        <is>
          <t>employee schedule quality gate mode</t>
        </is>
      </c>
      <c r="B128" t="inlineStr">
        <is>
          <t>Warn</t>
        </is>
      </c>
      <c r="C128" t="inlineStr">
        <is>
          <t>Preserved case-specific RC7 contract/default; hidden in RC8 because it is not a normal business entry field.</t>
        </is>
      </c>
    </row>
    <row r="129">
      <c r="A129" t="inlineStr">
        <is>
          <t>employee quality</t>
        </is>
      </c>
      <c r="B129" t="inlineStr">
        <is>
          <t>Employee Minimum Preference Satisfaction Ratio</t>
        </is>
      </c>
      <c r="C129" t="inlineStr">
        <is>
          <t>Preserved case-specific RC7 contract/default; hidden in RC8 because it is not a normal business entry field.</t>
        </is>
      </c>
    </row>
    <row r="130">
      <c r="A130" t="inlineStr">
        <is>
          <t>employee maximum start time swing minutes</t>
        </is>
      </c>
      <c r="B130" t="n">
        <v>360</v>
      </c>
      <c r="C130" t="inlineStr">
        <is>
          <t>Preserved case-specific RC7 contract/default; hidden in RC8 because it is not a normal business entry field.</t>
        </is>
      </c>
    </row>
    <row r="131">
      <c r="A131" t="inlineStr">
        <is>
          <t>employee maximum isolated workdays</t>
        </is>
      </c>
      <c r="B131" t="n">
        <v>1</v>
      </c>
      <c r="C131" t="inlineStr">
        <is>
          <t>Preserved case-specific RC7 contract/default; hidden in RC8 because it is not a normal business entry field.</t>
        </is>
      </c>
    </row>
    <row r="132">
      <c r="A132" t="inlineStr">
        <is>
          <t>employee maximum isolated off days</t>
        </is>
      </c>
      <c r="B132" t="n">
        <v>0</v>
      </c>
      <c r="C132" t="inlineStr">
        <is>
          <t>Preserved case-specific RC7 contract/default; hidden in RC8 because it is not a normal business entry field.</t>
        </is>
      </c>
    </row>
    <row r="133">
      <c r="A133" t="inlineStr">
        <is>
          <t>employee maximum late shift load delta</t>
        </is>
      </c>
      <c r="B133" t="n">
        <v>3</v>
      </c>
      <c r="C133" t="inlineStr">
        <is>
          <t>Preserved case-specific RC7 contract/default; hidden in RC8 because it is not a normal business entry field.</t>
        </is>
      </c>
    </row>
    <row r="134">
      <c r="A134" t="inlineStr">
        <is>
          <t>employee maximum overnight load delta</t>
        </is>
      </c>
      <c r="B134" t="n">
        <v>3</v>
      </c>
      <c r="C134" t="inlineStr">
        <is>
          <t>Preserved case-specific RC7 contract/default; hidden in RC8 because it is not a normal business entry field.</t>
        </is>
      </c>
    </row>
    <row r="135">
      <c r="A135" t="inlineStr">
        <is>
          <t>employee maximum weekend load delta</t>
        </is>
      </c>
      <c r="B135" t="n">
        <v>3</v>
      </c>
      <c r="C135" t="inlineStr">
        <is>
          <t>Preserved case-specific RC7 contract/default; hidden in RC8 because it is not a normal business entry field.</t>
        </is>
      </c>
    </row>
    <row r="136">
      <c r="A136" t="inlineStr">
        <is>
          <t>employee minimum preference satisfaction ratio</t>
        </is>
      </c>
      <c r="B136" t="n">
        <v>0.5</v>
      </c>
      <c r="C136" t="inlineStr">
        <is>
          <t>Preserved case-specific RC7 contract/default; hidden in RC8 because it is not a normal business entry field.</t>
        </is>
      </c>
    </row>
    <row r="137">
      <c r="A137" t="inlineStr">
        <is>
          <t>diagnostics</t>
        </is>
      </c>
      <c r="B137" t="inlineStr">
        <is>
          <t>Maximum Skill Allocation Gap Quarters</t>
        </is>
      </c>
      <c r="C137" t="inlineStr">
        <is>
          <t>Preserved case-specific RC7 contract/default; hidden in RC8 because it is not a normal business entry field.</t>
        </is>
      </c>
    </row>
    <row r="138">
      <c r="A138" t="inlineStr">
        <is>
          <t>break infeasibility core enabled</t>
        </is>
      </c>
      <c r="B138" t="inlineStr">
        <is>
          <t>Yes</t>
        </is>
      </c>
      <c r="C138" t="inlineStr">
        <is>
          <t>Preserved case-specific RC7 contract/default; hidden in RC8 because it is not a normal business entry field.</t>
        </is>
      </c>
    </row>
    <row r="139">
      <c r="A139" t="inlineStr">
        <is>
          <t>logic based break feedback enabled</t>
        </is>
      </c>
      <c r="B139" t="inlineStr">
        <is>
          <t>Yes</t>
        </is>
      </c>
      <c r="C139" t="inlineStr">
        <is>
          <t>Preserved case-specific RC7 contract/default; hidden in RC8 because it is not a normal business entry field.</t>
        </is>
      </c>
    </row>
    <row r="140">
      <c r="A140" t="inlineStr">
        <is>
          <t>logic based break feedback rounds</t>
        </is>
      </c>
      <c r="B140" t="n">
        <v>3</v>
      </c>
      <c r="C140" t="inlineStr">
        <is>
          <t>Preserved case-specific RC7 contract/default; hidden in RC8 because it is not a normal business entry field.</t>
        </is>
      </c>
    </row>
    <row r="141">
      <c r="A141" t="inlineStr">
        <is>
          <t>logic based break feedback maximum changes</t>
        </is>
      </c>
      <c r="B141" t="n">
        <v>18</v>
      </c>
      <c r="C141" t="inlineStr">
        <is>
          <t>Preserved case-specific RC7 contract/default; hidden in RC8 because it is not a normal business entry field.</t>
        </is>
      </c>
    </row>
    <row r="142">
      <c r="A142" t="inlineStr">
        <is>
          <t>skill allocation audit enabled</t>
        </is>
      </c>
      <c r="B142" t="inlineStr">
        <is>
          <t>Yes</t>
        </is>
      </c>
      <c r="C142" t="inlineStr">
        <is>
          <t>Preserved case-specific RC7 contract/default; hidden in RC8 because it is not a normal business entry field.</t>
        </is>
      </c>
    </row>
    <row r="143">
      <c r="A143" t="inlineStr">
        <is>
          <t>skill allocation gate mode</t>
        </is>
      </c>
      <c r="B143" t="inlineStr">
        <is>
          <t>Warn</t>
        </is>
      </c>
      <c r="C143" t="inlineStr">
        <is>
          <t>Preserved case-specific RC7 contract/default; hidden in RC8 because it is not a normal business entry field.</t>
        </is>
      </c>
    </row>
    <row r="144">
      <c r="A144" t="inlineStr">
        <is>
          <t>maximum skill allocation gap quarters</t>
        </is>
      </c>
      <c r="B144" t="n">
        <v>0</v>
      </c>
      <c r="C144" t="inlineStr">
        <is>
          <t>Preserved case-specific RC7 contract/default; hidden in RC8 because it is not a normal business entry field.</t>
        </is>
      </c>
    </row>
    <row r="145">
      <c r="A145" t="inlineStr">
        <is>
          <t>overage</t>
        </is>
      </c>
      <c r="B145" t="inlineStr">
        <is>
          <t>Overage Penalty Weight</t>
        </is>
      </c>
      <c r="C145" t="inlineStr">
        <is>
          <t>Preserved case-specific RC7 contract/default; hidden in RC8 because it is not a normal business entry field.</t>
        </is>
      </c>
    </row>
    <row r="146">
      <c r="A146" t="inlineStr">
        <is>
          <t>Break Concurrency Penalty Weight</t>
        </is>
      </c>
      <c r="B146" t="n">
        <v>5000</v>
      </c>
      <c r="C146" t="inlineStr">
        <is>
          <t>Internal objective weight.</t>
        </is>
      </c>
    </row>
    <row r="147">
      <c r="A147" t="inlineStr">
        <is>
          <t>Whole Week Gate Mode</t>
        </is>
      </c>
      <c r="B147" t="inlineStr">
        <is>
          <t>Warn</t>
        </is>
      </c>
      <c r="C147" t="inlineStr">
        <is>
          <t>Operational warning by default.</t>
        </is>
      </c>
    </row>
    <row r="148">
      <c r="A148" t="inlineStr">
        <is>
          <t>Whole Week Maximum Imbalance Violations</t>
        </is>
      </c>
      <c r="B148" t="n">
        <v>0</v>
      </c>
      <c r="C148" t="inlineStr">
        <is>
          <t>Quality default.</t>
        </is>
      </c>
    </row>
    <row r="149">
      <c r="A149" t="inlineStr">
        <is>
          <t>Maximum Target Losses From Breaks</t>
        </is>
      </c>
      <c r="B149" t="n">
        <v>6</v>
      </c>
      <c r="C149" t="inlineStr">
        <is>
          <t>Quality default.</t>
        </is>
      </c>
    </row>
    <row r="150">
      <c r="A150" t="inlineStr">
        <is>
          <t>Target Loss Gate Mode</t>
        </is>
      </c>
      <c r="B150" t="inlineStr">
        <is>
          <t>Warn</t>
        </is>
      </c>
      <c r="C150" t="inlineStr">
        <is>
          <t>Operational warning by default.</t>
        </is>
      </c>
    </row>
    <row r="151">
      <c r="A151" t="inlineStr">
        <is>
          <t>Employee Quality Gate Mode</t>
        </is>
      </c>
      <c r="B151" t="inlineStr">
        <is>
          <t>Warn</t>
        </is>
      </c>
      <c r="C151" t="inlineStr">
        <is>
          <t>Operational warning by default.</t>
        </is>
      </c>
    </row>
    <row r="152">
      <c r="A152" t="inlineStr">
        <is>
          <t>Employee Maximum Start Swing Minutes</t>
        </is>
      </c>
      <c r="B152" t="n">
        <v>360</v>
      </c>
      <c r="C152" t="inlineStr">
        <is>
          <t>Quality default.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1"/>
  <sheetViews>
    <sheetView showGridLines="0" topLeftCell="A18" workbookViewId="0">
      <selection activeCell="D2" sqref="D2:D52"/>
    </sheetView>
  </sheetViews>
  <sheetFormatPr baseColWidth="8" defaultRowHeight="15"/>
  <cols>
    <col width="12" customWidth="1" style="45" min="1" max="1"/>
    <col width="26" customWidth="1" style="45" min="2" max="2"/>
    <col width="16" customWidth="1" style="45" min="3" max="3"/>
    <col width="20" customWidth="1" style="45" min="4" max="4"/>
  </cols>
  <sheetData>
    <row r="1">
      <c r="A1" s="7" t="inlineStr">
        <is>
          <t>Slot</t>
        </is>
      </c>
      <c r="B1" s="7" t="inlineStr">
        <is>
          <t>Name</t>
        </is>
      </c>
      <c r="C1" s="7" t="inlineStr">
        <is>
          <t>Language</t>
        </is>
      </c>
      <c r="D1" s="7" t="inlineStr">
        <is>
          <t>Previous Saturday Shift</t>
        </is>
      </c>
    </row>
    <row r="2">
      <c r="A2" s="8" t="n">
        <v>1</v>
      </c>
      <c r="B2" s="8" t="inlineStr">
        <is>
          <t>Associate 001</t>
        </is>
      </c>
      <c r="C2" s="8" t="inlineStr">
        <is>
          <t>English</t>
        </is>
      </c>
      <c r="D2" s="8" t="inlineStr">
        <is>
          <t>13:00 - 22:00</t>
        </is>
      </c>
    </row>
    <row r="3">
      <c r="A3" s="8" t="n">
        <v>2</v>
      </c>
      <c r="B3" s="8" t="inlineStr">
        <is>
          <t>Associate 002</t>
        </is>
      </c>
      <c r="C3" s="8" t="inlineStr">
        <is>
          <t>English</t>
        </is>
      </c>
      <c r="D3" s="8" t="inlineStr">
        <is>
          <t>13:00 - 22:00</t>
        </is>
      </c>
    </row>
    <row r="4">
      <c r="A4" s="8" t="n">
        <v>3</v>
      </c>
      <c r="B4" s="8" t="inlineStr">
        <is>
          <t>Associate 003</t>
        </is>
      </c>
      <c r="C4" s="8" t="inlineStr">
        <is>
          <t>English</t>
        </is>
      </c>
      <c r="D4" s="8" t="inlineStr">
        <is>
          <t>13:00 - 22:00</t>
        </is>
      </c>
    </row>
    <row r="5">
      <c r="A5" s="8" t="n">
        <v>4</v>
      </c>
      <c r="B5" s="8" t="inlineStr">
        <is>
          <t>Associate 004</t>
        </is>
      </c>
      <c r="C5" s="8" t="inlineStr">
        <is>
          <t>English</t>
        </is>
      </c>
      <c r="D5" s="8" t="inlineStr">
        <is>
          <t>14:00 - 23:00</t>
        </is>
      </c>
    </row>
    <row r="6">
      <c r="A6" s="8" t="n">
        <v>5</v>
      </c>
      <c r="B6" s="8" t="inlineStr">
        <is>
          <t>Associate 005</t>
        </is>
      </c>
      <c r="C6" s="8" t="inlineStr">
        <is>
          <t>English</t>
        </is>
      </c>
      <c r="D6" s="8" t="inlineStr">
        <is>
          <t>OFF</t>
        </is>
      </c>
    </row>
    <row r="7">
      <c r="A7" s="8" t="n">
        <v>6</v>
      </c>
      <c r="B7" s="8" t="inlineStr">
        <is>
          <t>Associate 006</t>
        </is>
      </c>
      <c r="C7" s="8" t="inlineStr">
        <is>
          <t>English</t>
        </is>
      </c>
      <c r="D7" s="8" t="inlineStr">
        <is>
          <t>OFF</t>
        </is>
      </c>
    </row>
    <row r="8">
      <c r="A8" s="8" t="n">
        <v>7</v>
      </c>
      <c r="B8" s="8" t="inlineStr">
        <is>
          <t>Associate 007</t>
        </is>
      </c>
      <c r="C8" s="8" t="inlineStr">
        <is>
          <t>English</t>
        </is>
      </c>
      <c r="D8" s="8" t="inlineStr">
        <is>
          <t>OFF</t>
        </is>
      </c>
    </row>
    <row r="9">
      <c r="A9" s="8" t="n">
        <v>8</v>
      </c>
      <c r="B9" s="8" t="inlineStr">
        <is>
          <t>Associate 008</t>
        </is>
      </c>
      <c r="C9" s="8" t="inlineStr">
        <is>
          <t>English</t>
        </is>
      </c>
      <c r="D9" s="8" t="inlineStr">
        <is>
          <t>OFF</t>
        </is>
      </c>
    </row>
    <row r="10">
      <c r="A10" s="8" t="n">
        <v>9</v>
      </c>
      <c r="B10" s="8" t="inlineStr">
        <is>
          <t>Associate 009</t>
        </is>
      </c>
      <c r="C10" s="8" t="inlineStr">
        <is>
          <t>English</t>
        </is>
      </c>
      <c r="D10" s="8" t="inlineStr">
        <is>
          <t>OFF</t>
        </is>
      </c>
    </row>
    <row r="11">
      <c r="A11" s="8" t="n">
        <v>10</v>
      </c>
      <c r="B11" s="8" t="inlineStr">
        <is>
          <t>Associate 010</t>
        </is>
      </c>
      <c r="C11" s="8" t="inlineStr">
        <is>
          <t>English</t>
        </is>
      </c>
      <c r="D11" s="8" t="inlineStr">
        <is>
          <t>OFF</t>
        </is>
      </c>
    </row>
    <row r="12">
      <c r="A12" s="8" t="n">
        <v>11</v>
      </c>
      <c r="B12" s="8" t="inlineStr">
        <is>
          <t>Associate 011</t>
        </is>
      </c>
      <c r="C12" s="8" t="inlineStr">
        <is>
          <t>English</t>
        </is>
      </c>
      <c r="D12" s="8" t="inlineStr">
        <is>
          <t>OFF</t>
        </is>
      </c>
    </row>
    <row r="13">
      <c r="A13" s="8" t="n">
        <v>12</v>
      </c>
      <c r="B13" s="8" t="inlineStr">
        <is>
          <t>Associate 012</t>
        </is>
      </c>
      <c r="C13" s="8" t="inlineStr">
        <is>
          <t>English</t>
        </is>
      </c>
      <c r="D13" s="8" t="inlineStr">
        <is>
          <t>OFF</t>
        </is>
      </c>
    </row>
    <row r="14">
      <c r="A14" s="8" t="n">
        <v>13</v>
      </c>
      <c r="B14" s="8" t="inlineStr">
        <is>
          <t>Associate 013</t>
        </is>
      </c>
      <c r="C14" s="8" t="inlineStr">
        <is>
          <t>English</t>
        </is>
      </c>
      <c r="D14" s="8" t="inlineStr">
        <is>
          <t>OFF</t>
        </is>
      </c>
    </row>
    <row r="15">
      <c r="A15" s="8" t="n">
        <v>14</v>
      </c>
      <c r="B15" s="8" t="inlineStr">
        <is>
          <t>Associate 014</t>
        </is>
      </c>
      <c r="C15" s="8" t="inlineStr">
        <is>
          <t>English</t>
        </is>
      </c>
      <c r="D15" s="8" t="inlineStr">
        <is>
          <t>OFF</t>
        </is>
      </c>
    </row>
    <row r="16">
      <c r="A16" s="8" t="n">
        <v>15</v>
      </c>
      <c r="B16" s="8" t="inlineStr">
        <is>
          <t>Associate 015</t>
        </is>
      </c>
      <c r="C16" s="8" t="inlineStr">
        <is>
          <t>English</t>
        </is>
      </c>
      <c r="D16" s="8" t="inlineStr">
        <is>
          <t>OFF</t>
        </is>
      </c>
    </row>
    <row r="17">
      <c r="A17" s="8" t="n">
        <v>16</v>
      </c>
      <c r="B17" s="8" t="inlineStr">
        <is>
          <t>Associate 016</t>
        </is>
      </c>
      <c r="C17" s="8" t="inlineStr">
        <is>
          <t>English</t>
        </is>
      </c>
      <c r="D17" s="8" t="inlineStr">
        <is>
          <t>OFF</t>
        </is>
      </c>
    </row>
    <row r="18">
      <c r="A18" s="8" t="n">
        <v>17</v>
      </c>
      <c r="B18" s="8" t="inlineStr">
        <is>
          <t>Associate 017</t>
        </is>
      </c>
      <c r="C18" s="8" t="inlineStr">
        <is>
          <t>English</t>
        </is>
      </c>
      <c r="D18" s="8" t="inlineStr">
        <is>
          <t>OFF</t>
        </is>
      </c>
    </row>
    <row r="19">
      <c r="A19" s="8" t="n">
        <v>18</v>
      </c>
      <c r="B19" s="8" t="inlineStr">
        <is>
          <t>Associate 018</t>
        </is>
      </c>
      <c r="C19" s="8" t="inlineStr">
        <is>
          <t>English</t>
        </is>
      </c>
      <c r="D19" s="8" t="inlineStr">
        <is>
          <t>OFF</t>
        </is>
      </c>
    </row>
    <row r="20">
      <c r="A20" s="8" t="n">
        <v>19</v>
      </c>
      <c r="B20" s="8" t="inlineStr">
        <is>
          <t>Associate 019</t>
        </is>
      </c>
      <c r="C20" s="8" t="inlineStr">
        <is>
          <t>English</t>
        </is>
      </c>
      <c r="D20" s="8" t="inlineStr">
        <is>
          <t>OFF</t>
        </is>
      </c>
    </row>
    <row r="21">
      <c r="A21" s="8" t="n">
        <v>20</v>
      </c>
      <c r="B21" s="8" t="inlineStr">
        <is>
          <t>Associate 020</t>
        </is>
      </c>
      <c r="C21" s="8" t="inlineStr">
        <is>
          <t>English</t>
        </is>
      </c>
      <c r="D21" s="8" t="inlineStr">
        <is>
          <t>OFF</t>
        </is>
      </c>
    </row>
    <row r="22">
      <c r="A22" s="8" t="n">
        <v>21</v>
      </c>
      <c r="B22" s="8" t="inlineStr">
        <is>
          <t>Associate 021</t>
        </is>
      </c>
      <c r="C22" s="8" t="inlineStr">
        <is>
          <t>English</t>
        </is>
      </c>
      <c r="D22" s="8" t="inlineStr">
        <is>
          <t>OFF</t>
        </is>
      </c>
    </row>
    <row r="23">
      <c r="A23" s="8" t="n">
        <v>22</v>
      </c>
      <c r="B23" s="8" t="inlineStr">
        <is>
          <t>Associate 022</t>
        </is>
      </c>
      <c r="C23" s="8" t="inlineStr">
        <is>
          <t>English</t>
        </is>
      </c>
      <c r="D23" s="8" t="inlineStr">
        <is>
          <t>13:00 - 22:00</t>
        </is>
      </c>
    </row>
    <row r="24">
      <c r="A24" s="8" t="n">
        <v>23</v>
      </c>
      <c r="B24" s="8" t="inlineStr">
        <is>
          <t>Associate 023</t>
        </is>
      </c>
      <c r="C24" s="8" t="inlineStr">
        <is>
          <t>English</t>
        </is>
      </c>
      <c r="D24" s="8" t="inlineStr">
        <is>
          <t>13:00 - 22:00</t>
        </is>
      </c>
    </row>
    <row r="25">
      <c r="A25" s="8" t="n">
        <v>24</v>
      </c>
      <c r="B25" s="8" t="inlineStr">
        <is>
          <t>Associate 024</t>
        </is>
      </c>
      <c r="C25" s="8" t="inlineStr">
        <is>
          <t>English</t>
        </is>
      </c>
      <c r="D25" s="8" t="inlineStr">
        <is>
          <t>13:00 - 22:00</t>
        </is>
      </c>
    </row>
    <row r="26">
      <c r="A26" s="8" t="n">
        <v>25</v>
      </c>
      <c r="B26" s="8" t="inlineStr">
        <is>
          <t>Associate 025</t>
        </is>
      </c>
      <c r="C26" s="8" t="inlineStr">
        <is>
          <t>English</t>
        </is>
      </c>
      <c r="D26" s="8" t="inlineStr">
        <is>
          <t>13:00 - 22:00</t>
        </is>
      </c>
    </row>
    <row r="27">
      <c r="A27" s="8" t="n">
        <v>26</v>
      </c>
      <c r="B27" s="8" t="inlineStr">
        <is>
          <t>Associate 026</t>
        </is>
      </c>
      <c r="C27" s="8" t="inlineStr">
        <is>
          <t>English</t>
        </is>
      </c>
      <c r="D27" s="8" t="inlineStr">
        <is>
          <t>14:00 - 23:00</t>
        </is>
      </c>
    </row>
    <row r="28">
      <c r="A28" s="8" t="n">
        <v>27</v>
      </c>
      <c r="B28" s="8" t="inlineStr">
        <is>
          <t>Associate 027</t>
        </is>
      </c>
      <c r="C28" s="8" t="inlineStr">
        <is>
          <t>English</t>
        </is>
      </c>
      <c r="D28" s="8" t="inlineStr">
        <is>
          <t>15:00 - 00:00</t>
        </is>
      </c>
    </row>
    <row r="29">
      <c r="A29" s="8" t="n">
        <v>28</v>
      </c>
      <c r="B29" s="8" t="inlineStr">
        <is>
          <t>Associate 028</t>
        </is>
      </c>
      <c r="C29" s="8" t="inlineStr">
        <is>
          <t>English</t>
        </is>
      </c>
      <c r="D29" s="8" t="inlineStr">
        <is>
          <t>15:00 - 00:00</t>
        </is>
      </c>
    </row>
    <row r="30">
      <c r="A30" s="8" t="n">
        <v>29</v>
      </c>
      <c r="B30" s="8" t="inlineStr">
        <is>
          <t>Associate 029</t>
        </is>
      </c>
      <c r="C30" s="8" t="inlineStr">
        <is>
          <t>English</t>
        </is>
      </c>
      <c r="D30" s="8" t="inlineStr">
        <is>
          <t>15:00 - 00:00</t>
        </is>
      </c>
    </row>
    <row r="31">
      <c r="A31" s="8" t="n">
        <v>30</v>
      </c>
      <c r="B31" s="8" t="inlineStr">
        <is>
          <t>Associate 030</t>
        </is>
      </c>
      <c r="C31" s="8" t="inlineStr">
        <is>
          <t>English</t>
        </is>
      </c>
      <c r="D31" s="8" t="inlineStr">
        <is>
          <t>OFF</t>
        </is>
      </c>
    </row>
    <row r="32">
      <c r="A32" s="8" t="n">
        <v>31</v>
      </c>
      <c r="B32" s="8" t="inlineStr">
        <is>
          <t>Associate 031</t>
        </is>
      </c>
      <c r="C32" s="8" t="inlineStr">
        <is>
          <t>English</t>
        </is>
      </c>
      <c r="D32" s="8" t="inlineStr">
        <is>
          <t>OFF</t>
        </is>
      </c>
    </row>
    <row r="33">
      <c r="A33" s="8" t="n">
        <v>32</v>
      </c>
      <c r="B33" s="8" t="inlineStr">
        <is>
          <t>Associate 032</t>
        </is>
      </c>
      <c r="C33" s="8" t="inlineStr">
        <is>
          <t>English</t>
        </is>
      </c>
      <c r="D33" s="8" t="inlineStr">
        <is>
          <t>16:00 - 01:00</t>
        </is>
      </c>
    </row>
    <row r="34">
      <c r="A34" s="8" t="n">
        <v>33</v>
      </c>
      <c r="B34" s="8" t="inlineStr">
        <is>
          <t>Associate 033</t>
        </is>
      </c>
      <c r="C34" s="8" t="inlineStr">
        <is>
          <t>English</t>
        </is>
      </c>
      <c r="D34" s="8" t="inlineStr">
        <is>
          <t>16:00 - 01:00</t>
        </is>
      </c>
    </row>
    <row r="35">
      <c r="A35" s="8" t="n">
        <v>34</v>
      </c>
      <c r="B35" s="8" t="inlineStr">
        <is>
          <t>Associate 034</t>
        </is>
      </c>
      <c r="C35" s="8" t="inlineStr">
        <is>
          <t>English</t>
        </is>
      </c>
      <c r="D35" s="8" t="inlineStr">
        <is>
          <t>16:00 - 01:00</t>
        </is>
      </c>
    </row>
    <row r="36">
      <c r="A36" s="8" t="n">
        <v>35</v>
      </c>
      <c r="B36" s="8" t="inlineStr">
        <is>
          <t>Associate 035</t>
        </is>
      </c>
      <c r="C36" s="8" t="inlineStr">
        <is>
          <t>English</t>
        </is>
      </c>
      <c r="D36" s="8" t="inlineStr">
        <is>
          <t>16:00 - 01:00</t>
        </is>
      </c>
    </row>
    <row r="37">
      <c r="A37" s="8" t="n">
        <v>36</v>
      </c>
      <c r="B37" s="8" t="inlineStr">
        <is>
          <t>Associate 036</t>
        </is>
      </c>
      <c r="C37" s="8" t="inlineStr">
        <is>
          <t>English</t>
        </is>
      </c>
      <c r="D37" s="8" t="inlineStr">
        <is>
          <t>17:00 - 02:00</t>
        </is>
      </c>
    </row>
    <row r="38">
      <c r="A38" s="8" t="n">
        <v>37</v>
      </c>
      <c r="B38" s="8" t="inlineStr">
        <is>
          <t>Associate 037</t>
        </is>
      </c>
      <c r="C38" s="8" t="inlineStr">
        <is>
          <t>English</t>
        </is>
      </c>
      <c r="D38" s="8" t="inlineStr">
        <is>
          <t>17:00 - 02:00</t>
        </is>
      </c>
    </row>
    <row r="39">
      <c r="A39" s="8" t="n">
        <v>38</v>
      </c>
      <c r="B39" s="8" t="inlineStr">
        <is>
          <t>Associate 038</t>
        </is>
      </c>
      <c r="C39" s="8" t="inlineStr">
        <is>
          <t>English</t>
        </is>
      </c>
      <c r="D39" s="8" t="inlineStr">
        <is>
          <t>18:00 - 03:00</t>
        </is>
      </c>
    </row>
    <row r="40">
      <c r="A40" s="8" t="n">
        <v>39</v>
      </c>
      <c r="B40" s="8" t="inlineStr">
        <is>
          <t>Associate 039</t>
        </is>
      </c>
      <c r="C40" s="8" t="inlineStr">
        <is>
          <t>English</t>
        </is>
      </c>
      <c r="D40" s="8" t="inlineStr">
        <is>
          <t>18:00 - 03:00</t>
        </is>
      </c>
    </row>
    <row r="41">
      <c r="A41" s="8" t="n">
        <v>40</v>
      </c>
      <c r="B41" s="8" t="inlineStr">
        <is>
          <t>Associate 040</t>
        </is>
      </c>
      <c r="C41" s="8" t="inlineStr">
        <is>
          <t>English</t>
        </is>
      </c>
      <c r="D41" s="8" t="inlineStr">
        <is>
          <t>18:00 - 03:00</t>
        </is>
      </c>
    </row>
    <row r="42">
      <c r="A42" s="8" t="n">
        <v>41</v>
      </c>
      <c r="B42" s="8" t="inlineStr">
        <is>
          <t>Associate 041</t>
        </is>
      </c>
      <c r="C42" s="8" t="inlineStr">
        <is>
          <t>English</t>
        </is>
      </c>
      <c r="D42" s="8" t="inlineStr">
        <is>
          <t>19:00 - 04:00</t>
        </is>
      </c>
    </row>
    <row r="43">
      <c r="A43" s="8" t="n">
        <v>42</v>
      </c>
      <c r="B43" s="8" t="inlineStr">
        <is>
          <t>Associate 042</t>
        </is>
      </c>
      <c r="C43" s="8" t="inlineStr">
        <is>
          <t>English</t>
        </is>
      </c>
      <c r="D43" s="8" t="inlineStr">
        <is>
          <t>19:00 - 04:00</t>
        </is>
      </c>
    </row>
    <row r="44">
      <c r="A44" s="8" t="n">
        <v>43</v>
      </c>
      <c r="B44" s="8" t="inlineStr">
        <is>
          <t>Associate 043</t>
        </is>
      </c>
      <c r="C44" s="8" t="inlineStr">
        <is>
          <t>English</t>
        </is>
      </c>
      <c r="D44" s="8" t="inlineStr">
        <is>
          <t>20:00 - 05:00</t>
        </is>
      </c>
    </row>
    <row r="45">
      <c r="A45" s="8" t="n">
        <v>44</v>
      </c>
      <c r="B45" s="8" t="inlineStr">
        <is>
          <t>Associate 044</t>
        </is>
      </c>
      <c r="C45" s="8" t="inlineStr">
        <is>
          <t>English</t>
        </is>
      </c>
      <c r="D45" s="8" t="inlineStr">
        <is>
          <t>21:00 - 06:00</t>
        </is>
      </c>
    </row>
    <row r="46">
      <c r="A46" s="8" t="n">
        <v>45</v>
      </c>
      <c r="B46" s="8" t="inlineStr">
        <is>
          <t>Associate 045</t>
        </is>
      </c>
      <c r="C46" s="8" t="inlineStr">
        <is>
          <t>English</t>
        </is>
      </c>
      <c r="D46" s="8" t="inlineStr">
        <is>
          <t>22:00 - 07:00</t>
        </is>
      </c>
    </row>
    <row r="47">
      <c r="A47" s="8" t="n">
        <v>46</v>
      </c>
      <c r="B47" s="8" t="inlineStr">
        <is>
          <t>Associate 046</t>
        </is>
      </c>
      <c r="C47" s="8" t="inlineStr">
        <is>
          <t>English</t>
        </is>
      </c>
      <c r="D47" s="8" t="inlineStr">
        <is>
          <t>22:00 - 07:00</t>
        </is>
      </c>
    </row>
    <row r="48">
      <c r="A48" s="8" t="n">
        <v>47</v>
      </c>
      <c r="B48" s="8" t="inlineStr">
        <is>
          <t>Associate 047</t>
        </is>
      </c>
      <c r="C48" s="8" t="inlineStr">
        <is>
          <t>English</t>
        </is>
      </c>
      <c r="D48" s="8" t="inlineStr">
        <is>
          <t>22:00 - 07:00</t>
        </is>
      </c>
    </row>
    <row r="49">
      <c r="A49" s="8" t="n">
        <v>48</v>
      </c>
      <c r="B49" s="8" t="inlineStr">
        <is>
          <t>Associate 048</t>
        </is>
      </c>
      <c r="C49" s="8" t="inlineStr">
        <is>
          <t>English</t>
        </is>
      </c>
      <c r="D49" s="8" t="inlineStr">
        <is>
          <t>22:00 - 07:00</t>
        </is>
      </c>
    </row>
    <row r="50">
      <c r="A50" s="8" t="n">
        <v>49</v>
      </c>
      <c r="B50" s="8" t="inlineStr">
        <is>
          <t>Associate 049</t>
        </is>
      </c>
      <c r="C50" s="8" t="inlineStr">
        <is>
          <t>English</t>
        </is>
      </c>
      <c r="D50" s="8" t="inlineStr">
        <is>
          <t>22:00 - 07:00</t>
        </is>
      </c>
    </row>
    <row r="51">
      <c r="A51" s="8" t="n">
        <v>50</v>
      </c>
      <c r="B51" s="8" t="inlineStr">
        <is>
          <t>Associate 050</t>
        </is>
      </c>
      <c r="C51" s="8" t="inlineStr">
        <is>
          <t>English</t>
        </is>
      </c>
      <c r="D51" s="8" t="inlineStr">
        <is>
          <t>22:00 - 07:00</t>
        </is>
      </c>
    </row>
    <row r="52">
      <c r="A52" s="8" t="n">
        <v>51</v>
      </c>
      <c r="B52" s="8" t="inlineStr">
        <is>
          <t>Associate 051</t>
        </is>
      </c>
      <c r="C52" s="8" t="inlineStr">
        <is>
          <t>English</t>
        </is>
      </c>
      <c r="D52" s="8" t="inlineStr">
        <is>
          <t>22:00 - 07:00</t>
        </is>
      </c>
    </row>
    <row r="53">
      <c r="A53" s="8" t="n"/>
      <c r="B53" s="8" t="n"/>
      <c r="C53" s="8" t="n"/>
      <c r="D53" s="8" t="n"/>
    </row>
    <row r="54">
      <c r="A54" s="8" t="n"/>
      <c r="B54" s="8" t="n"/>
      <c r="C54" s="8" t="n"/>
      <c r="D54" s="8" t="n"/>
    </row>
    <row r="55">
      <c r="A55" s="8" t="n"/>
      <c r="B55" s="8" t="n"/>
      <c r="C55" s="8" t="n"/>
      <c r="D55" s="8" t="n"/>
    </row>
    <row r="56">
      <c r="A56" s="8" t="n"/>
      <c r="B56" s="8" t="n"/>
      <c r="C56" s="8" t="n"/>
      <c r="D56" s="8" t="n"/>
    </row>
    <row r="57">
      <c r="A57" s="8" t="n"/>
      <c r="B57" s="8" t="n"/>
      <c r="C57" s="8" t="n"/>
      <c r="D57" s="8" t="n"/>
    </row>
    <row r="58">
      <c r="A58" s="8" t="n"/>
      <c r="B58" s="8" t="n"/>
      <c r="C58" s="8" t="n"/>
      <c r="D58" s="8" t="n"/>
    </row>
    <row r="59">
      <c r="A59" s="8" t="n"/>
      <c r="B59" s="8" t="n"/>
      <c r="C59" s="8" t="n"/>
      <c r="D59" s="8" t="n"/>
    </row>
    <row r="60">
      <c r="A60" s="8" t="n"/>
      <c r="B60" s="8" t="n"/>
      <c r="C60" s="8" t="n"/>
      <c r="D60" s="8" t="n"/>
    </row>
    <row r="61">
      <c r="A61" s="8" t="n"/>
      <c r="B61" s="8" t="n"/>
      <c r="C61" s="8" t="n"/>
      <c r="D61" s="8" t="n"/>
    </row>
    <row r="62">
      <c r="A62" s="8" t="n"/>
      <c r="B62" s="8" t="n"/>
      <c r="C62" s="8" t="n"/>
      <c r="D62" s="8" t="n"/>
    </row>
    <row r="63">
      <c r="A63" s="8" t="n"/>
      <c r="B63" s="8" t="n"/>
      <c r="C63" s="8" t="n"/>
      <c r="D63" s="8" t="n"/>
    </row>
    <row r="64">
      <c r="A64" s="8" t="n"/>
      <c r="B64" s="8" t="n"/>
      <c r="C64" s="8" t="n"/>
      <c r="D64" s="8" t="n"/>
    </row>
    <row r="65">
      <c r="A65" s="8" t="n"/>
      <c r="B65" s="8" t="n"/>
      <c r="C65" s="8" t="n"/>
      <c r="D65" s="8" t="n"/>
    </row>
    <row r="66">
      <c r="A66" s="8" t="n"/>
      <c r="B66" s="8" t="n"/>
      <c r="C66" s="8" t="n"/>
      <c r="D66" s="8" t="n"/>
    </row>
    <row r="67">
      <c r="A67" s="8" t="n"/>
      <c r="B67" s="8" t="n"/>
      <c r="C67" s="8" t="n"/>
      <c r="D67" s="8" t="n"/>
    </row>
    <row r="68">
      <c r="A68" s="8" t="n"/>
      <c r="B68" s="8" t="n"/>
      <c r="C68" s="8" t="n"/>
      <c r="D68" s="8" t="n"/>
    </row>
    <row r="69">
      <c r="A69" s="8" t="n"/>
      <c r="B69" s="8" t="n"/>
      <c r="C69" s="8" t="n"/>
      <c r="D69" s="8" t="n"/>
    </row>
    <row r="70">
      <c r="A70" s="8" t="n"/>
      <c r="B70" s="8" t="n"/>
      <c r="C70" s="8" t="n"/>
      <c r="D70" s="8" t="n"/>
    </row>
    <row r="71">
      <c r="A71" s="8" t="n"/>
      <c r="B71" s="8" t="n"/>
      <c r="C71" s="8" t="n"/>
      <c r="D71" s="8" t="n"/>
    </row>
    <row r="72">
      <c r="A72" s="8" t="n"/>
      <c r="B72" s="8" t="n"/>
      <c r="C72" s="8" t="n"/>
      <c r="D72" s="8" t="n"/>
    </row>
    <row r="73">
      <c r="A73" s="8" t="n"/>
      <c r="B73" s="8" t="n"/>
      <c r="C73" s="8" t="n"/>
      <c r="D73" s="8" t="n"/>
    </row>
    <row r="74">
      <c r="A74" s="8" t="n"/>
      <c r="B74" s="8" t="n"/>
      <c r="C74" s="8" t="n"/>
      <c r="D74" s="8" t="n"/>
    </row>
    <row r="75">
      <c r="A75" s="8" t="n"/>
      <c r="B75" s="8" t="n"/>
      <c r="C75" s="8" t="n"/>
      <c r="D75" s="8" t="n"/>
    </row>
    <row r="76">
      <c r="A76" s="8" t="n"/>
      <c r="B76" s="8" t="n"/>
      <c r="C76" s="8" t="n"/>
      <c r="D76" s="8" t="n"/>
    </row>
    <row r="77">
      <c r="A77" s="8" t="n"/>
      <c r="B77" s="8" t="n"/>
      <c r="C77" s="8" t="n"/>
      <c r="D77" s="8" t="n"/>
    </row>
    <row r="78">
      <c r="A78" s="8" t="n"/>
      <c r="B78" s="8" t="n"/>
      <c r="C78" s="8" t="n"/>
      <c r="D78" s="8" t="n"/>
    </row>
    <row r="79">
      <c r="A79" s="8" t="n"/>
      <c r="B79" s="8" t="n"/>
      <c r="C79" s="8" t="n"/>
      <c r="D79" s="8" t="n"/>
    </row>
    <row r="80">
      <c r="A80" s="8" t="n"/>
      <c r="B80" s="8" t="n"/>
      <c r="C80" s="8" t="n"/>
      <c r="D80" s="8" t="n"/>
    </row>
    <row r="81">
      <c r="A81" s="8" t="n"/>
      <c r="B81" s="8" t="n"/>
      <c r="C81" s="8" t="n"/>
      <c r="D81" s="8" t="n"/>
    </row>
    <row r="82">
      <c r="A82" s="8" t="n"/>
      <c r="B82" s="8" t="n"/>
      <c r="C82" s="8" t="n"/>
      <c r="D82" s="8" t="n"/>
    </row>
    <row r="83">
      <c r="A83" s="8" t="n"/>
      <c r="B83" s="8" t="n"/>
      <c r="C83" s="8" t="n"/>
      <c r="D83" s="8" t="n"/>
    </row>
    <row r="84">
      <c r="A84" s="8" t="n"/>
      <c r="B84" s="8" t="n"/>
      <c r="C84" s="8" t="n"/>
      <c r="D84" s="8" t="n"/>
    </row>
    <row r="85">
      <c r="A85" s="8" t="n"/>
      <c r="B85" s="8" t="n"/>
      <c r="C85" s="8" t="n"/>
      <c r="D85" s="8" t="n"/>
    </row>
    <row r="86">
      <c r="A86" s="8" t="n"/>
      <c r="B86" s="8" t="n"/>
      <c r="C86" s="8" t="n"/>
      <c r="D86" s="8" t="n"/>
    </row>
    <row r="87">
      <c r="A87" s="8" t="n"/>
      <c r="B87" s="8" t="n"/>
      <c r="C87" s="8" t="n"/>
      <c r="D87" s="8" t="n"/>
    </row>
    <row r="88">
      <c r="A88" s="8" t="n"/>
      <c r="B88" s="8" t="n"/>
      <c r="C88" s="8" t="n"/>
      <c r="D88" s="8" t="n"/>
    </row>
    <row r="89">
      <c r="A89" s="8" t="n"/>
      <c r="B89" s="8" t="n"/>
      <c r="C89" s="8" t="n"/>
      <c r="D89" s="8" t="n"/>
    </row>
    <row r="90">
      <c r="A90" s="8" t="n"/>
      <c r="B90" s="8" t="n"/>
      <c r="C90" s="8" t="n"/>
      <c r="D90" s="8" t="n"/>
    </row>
    <row r="91">
      <c r="A91" s="8" t="n"/>
      <c r="B91" s="8" t="n"/>
      <c r="C91" s="8" t="n"/>
      <c r="D91" s="8" t="n"/>
    </row>
    <row r="92">
      <c r="A92" s="8" t="n"/>
      <c r="B92" s="8" t="n"/>
      <c r="C92" s="8" t="n"/>
      <c r="D92" s="8" t="n"/>
    </row>
    <row r="93">
      <c r="A93" s="8" t="n"/>
      <c r="B93" s="8" t="n"/>
      <c r="C93" s="8" t="n"/>
      <c r="D93" s="8" t="n"/>
    </row>
    <row r="94">
      <c r="A94" s="8" t="n"/>
      <c r="B94" s="8" t="n"/>
      <c r="C94" s="8" t="n"/>
      <c r="D94" s="8" t="n"/>
    </row>
    <row r="95">
      <c r="A95" s="8" t="n"/>
      <c r="B95" s="8" t="n"/>
      <c r="C95" s="8" t="n"/>
      <c r="D95" s="8" t="n"/>
    </row>
    <row r="96">
      <c r="A96" s="8" t="n"/>
      <c r="B96" s="8" t="n"/>
      <c r="C96" s="8" t="n"/>
      <c r="D96" s="8" t="n"/>
    </row>
    <row r="97">
      <c r="A97" s="8" t="n"/>
      <c r="B97" s="8" t="n"/>
      <c r="C97" s="8" t="n"/>
      <c r="D97" s="8" t="n"/>
    </row>
    <row r="98">
      <c r="A98" s="8" t="n"/>
      <c r="B98" s="8" t="n"/>
      <c r="C98" s="8" t="n"/>
      <c r="D98" s="8" t="n"/>
    </row>
    <row r="99">
      <c r="A99" s="8" t="n"/>
      <c r="B99" s="8" t="n"/>
      <c r="C99" s="8" t="n"/>
      <c r="D99" s="8" t="n"/>
    </row>
    <row r="100">
      <c r="A100" s="8" t="n"/>
      <c r="B100" s="8" t="n"/>
      <c r="C100" s="8" t="n"/>
      <c r="D100" s="8" t="n"/>
    </row>
    <row r="101">
      <c r="A101" s="8" t="n"/>
      <c r="B101" s="8" t="n"/>
      <c r="C101" s="8" t="n"/>
      <c r="D101" s="8" t="n"/>
    </row>
    <row r="102">
      <c r="A102" s="8" t="n"/>
      <c r="B102" s="8" t="n"/>
      <c r="C102" s="8" t="n"/>
      <c r="D102" s="8" t="n"/>
    </row>
    <row r="103">
      <c r="A103" s="8" t="n"/>
      <c r="B103" s="8" t="n"/>
      <c r="C103" s="8" t="n"/>
      <c r="D103" s="8" t="n"/>
    </row>
    <row r="104">
      <c r="A104" s="8" t="n"/>
      <c r="B104" s="8" t="n"/>
      <c r="C104" s="8" t="n"/>
      <c r="D104" s="8" t="n"/>
    </row>
    <row r="105">
      <c r="A105" s="8" t="n"/>
      <c r="B105" s="8" t="n"/>
      <c r="C105" s="8" t="n"/>
      <c r="D105" s="8" t="n"/>
    </row>
    <row r="106">
      <c r="A106" s="8" t="n"/>
      <c r="B106" s="8" t="n"/>
      <c r="C106" s="8" t="n"/>
      <c r="D106" s="8" t="n"/>
    </row>
    <row r="107">
      <c r="A107" s="8" t="n"/>
      <c r="B107" s="8" t="n"/>
      <c r="C107" s="8" t="n"/>
      <c r="D107" s="8" t="n"/>
    </row>
    <row r="108">
      <c r="A108" s="8" t="n"/>
      <c r="B108" s="8" t="n"/>
      <c r="C108" s="8" t="n"/>
      <c r="D108" s="8" t="n"/>
    </row>
    <row r="109">
      <c r="A109" s="8" t="n"/>
      <c r="B109" s="8" t="n"/>
      <c r="C109" s="8" t="n"/>
      <c r="D109" s="8" t="n"/>
    </row>
    <row r="110">
      <c r="A110" s="8" t="n"/>
      <c r="B110" s="8" t="n"/>
      <c r="C110" s="8" t="n"/>
      <c r="D110" s="8" t="n"/>
    </row>
    <row r="111">
      <c r="A111" s="8" t="n"/>
      <c r="B111" s="8" t="n"/>
      <c r="C111" s="8" t="n"/>
      <c r="D111" s="8" t="n"/>
    </row>
    <row r="112">
      <c r="A112" s="8" t="n"/>
      <c r="B112" s="8" t="n"/>
      <c r="C112" s="8" t="n"/>
      <c r="D112" s="8" t="n"/>
    </row>
    <row r="113">
      <c r="A113" s="8" t="n"/>
      <c r="B113" s="8" t="n"/>
      <c r="C113" s="8" t="n"/>
      <c r="D113" s="8" t="n"/>
    </row>
    <row r="114">
      <c r="A114" s="8" t="n"/>
      <c r="B114" s="8" t="n"/>
      <c r="C114" s="8" t="n"/>
      <c r="D114" s="8" t="n"/>
    </row>
    <row r="115">
      <c r="A115" s="8" t="n"/>
      <c r="B115" s="8" t="n"/>
      <c r="C115" s="8" t="n"/>
      <c r="D115" s="8" t="n"/>
    </row>
    <row r="116">
      <c r="A116" s="8" t="n"/>
      <c r="B116" s="8" t="n"/>
      <c r="C116" s="8" t="n"/>
      <c r="D116" s="8" t="n"/>
    </row>
    <row r="117">
      <c r="A117" s="8" t="n"/>
      <c r="B117" s="8" t="n"/>
      <c r="C117" s="8" t="n"/>
      <c r="D117" s="8" t="n"/>
    </row>
    <row r="118">
      <c r="A118" s="8" t="n"/>
      <c r="B118" s="8" t="n"/>
      <c r="C118" s="8" t="n"/>
      <c r="D118" s="8" t="n"/>
    </row>
    <row r="119">
      <c r="A119" s="8" t="n"/>
      <c r="B119" s="8" t="n"/>
      <c r="C119" s="8" t="n"/>
      <c r="D119" s="8" t="n"/>
    </row>
    <row r="120">
      <c r="A120" s="8" t="n"/>
      <c r="B120" s="8" t="n"/>
      <c r="C120" s="8" t="n"/>
      <c r="D120" s="8" t="n"/>
    </row>
    <row r="121">
      <c r="A121" s="8" t="n"/>
      <c r="B121" s="8" t="n"/>
      <c r="C121" s="8" t="n"/>
      <c r="D121" s="8" t="n"/>
    </row>
    <row r="122">
      <c r="A122" s="8" t="n"/>
      <c r="B122" s="8" t="n"/>
      <c r="C122" s="8" t="n"/>
      <c r="D122" s="8" t="n"/>
    </row>
    <row r="123">
      <c r="A123" s="8" t="n"/>
      <c r="B123" s="8" t="n"/>
      <c r="C123" s="8" t="n"/>
      <c r="D123" s="8" t="n"/>
    </row>
    <row r="124">
      <c r="A124" s="8" t="n"/>
      <c r="B124" s="8" t="n"/>
      <c r="C124" s="8" t="n"/>
      <c r="D124" s="8" t="n"/>
    </row>
    <row r="125">
      <c r="A125" s="8" t="n"/>
      <c r="B125" s="8" t="n"/>
      <c r="C125" s="8" t="n"/>
      <c r="D125" s="8" t="n"/>
    </row>
    <row r="126">
      <c r="A126" s="8" t="n"/>
      <c r="B126" s="8" t="n"/>
      <c r="C126" s="8" t="n"/>
      <c r="D126" s="8" t="n"/>
    </row>
    <row r="127">
      <c r="A127" s="8" t="n"/>
      <c r="B127" s="8" t="n"/>
      <c r="C127" s="8" t="n"/>
      <c r="D127" s="8" t="n"/>
    </row>
    <row r="128">
      <c r="A128" s="8" t="n"/>
      <c r="B128" s="8" t="n"/>
      <c r="C128" s="8" t="n"/>
      <c r="D128" s="8" t="n"/>
    </row>
    <row r="129">
      <c r="A129" s="8" t="n"/>
      <c r="B129" s="8" t="n"/>
      <c r="C129" s="8" t="n"/>
      <c r="D129" s="8" t="n"/>
    </row>
    <row r="130">
      <c r="A130" s="8" t="n"/>
      <c r="B130" s="8" t="n"/>
      <c r="C130" s="8" t="n"/>
      <c r="D130" s="8" t="n"/>
    </row>
    <row r="131">
      <c r="A131" s="8" t="n"/>
      <c r="B131" s="8" t="n"/>
      <c r="C131" s="8" t="n"/>
      <c r="D131" s="8" t="n"/>
    </row>
    <row r="132">
      <c r="A132" s="8" t="n"/>
      <c r="B132" s="8" t="n"/>
      <c r="C132" s="8" t="n"/>
      <c r="D132" s="8" t="n"/>
    </row>
    <row r="133">
      <c r="A133" s="8" t="n"/>
      <c r="B133" s="8" t="n"/>
      <c r="C133" s="8" t="n"/>
      <c r="D133" s="8" t="n"/>
    </row>
    <row r="134">
      <c r="A134" s="8" t="n"/>
      <c r="B134" s="8" t="n"/>
      <c r="C134" s="8" t="n"/>
      <c r="D134" s="8" t="n"/>
    </row>
    <row r="135">
      <c r="A135" s="8" t="n"/>
      <c r="B135" s="8" t="n"/>
      <c r="C135" s="8" t="n"/>
      <c r="D135" s="8" t="n"/>
    </row>
    <row r="136">
      <c r="A136" s="8" t="n"/>
      <c r="B136" s="8" t="n"/>
      <c r="C136" s="8" t="n"/>
      <c r="D136" s="8" t="n"/>
    </row>
    <row r="137">
      <c r="A137" s="8" t="n"/>
      <c r="B137" s="8" t="n"/>
      <c r="C137" s="8" t="n"/>
      <c r="D137" s="8" t="n"/>
    </row>
    <row r="138">
      <c r="A138" s="8" t="n"/>
      <c r="B138" s="8" t="n"/>
      <c r="C138" s="8" t="n"/>
      <c r="D138" s="8" t="n"/>
    </row>
    <row r="139">
      <c r="A139" s="8" t="n"/>
      <c r="B139" s="8" t="n"/>
      <c r="C139" s="8" t="n"/>
      <c r="D139" s="8" t="n"/>
    </row>
    <row r="140">
      <c r="A140" s="8" t="n"/>
      <c r="B140" s="8" t="n"/>
      <c r="C140" s="8" t="n"/>
      <c r="D140" s="8" t="n"/>
    </row>
    <row r="141">
      <c r="A141" s="8" t="n"/>
      <c r="B141" s="8" t="n"/>
      <c r="C141" s="8" t="n"/>
      <c r="D141" s="8" t="n"/>
    </row>
    <row r="142">
      <c r="A142" s="8" t="n"/>
      <c r="B142" s="8" t="n"/>
      <c r="C142" s="8" t="n"/>
      <c r="D142" s="8" t="n"/>
    </row>
    <row r="143">
      <c r="A143" s="8" t="n"/>
      <c r="B143" s="8" t="n"/>
      <c r="C143" s="8" t="n"/>
      <c r="D143" s="8" t="n"/>
    </row>
    <row r="144">
      <c r="A144" s="8" t="n"/>
      <c r="B144" s="8" t="n"/>
      <c r="C144" s="8" t="n"/>
      <c r="D144" s="8" t="n"/>
    </row>
    <row r="145">
      <c r="A145" s="8" t="n"/>
      <c r="B145" s="8" t="n"/>
      <c r="C145" s="8" t="n"/>
      <c r="D145" s="8" t="n"/>
    </row>
    <row r="146">
      <c r="A146" s="8" t="n"/>
      <c r="B146" s="8" t="n"/>
      <c r="C146" s="8" t="n"/>
      <c r="D146" s="8" t="n"/>
    </row>
    <row r="147">
      <c r="A147" s="8" t="n"/>
      <c r="B147" s="8" t="n"/>
      <c r="C147" s="8" t="n"/>
      <c r="D147" s="8" t="n"/>
    </row>
    <row r="148">
      <c r="A148" s="8" t="n"/>
      <c r="B148" s="8" t="n"/>
      <c r="C148" s="8" t="n"/>
      <c r="D148" s="8" t="n"/>
    </row>
    <row r="149">
      <c r="A149" s="8" t="n"/>
      <c r="B149" s="8" t="n"/>
      <c r="C149" s="8" t="n"/>
      <c r="D149" s="8" t="n"/>
    </row>
    <row r="150">
      <c r="A150" s="8" t="n"/>
      <c r="B150" s="8" t="n"/>
      <c r="C150" s="8" t="n"/>
      <c r="D150" s="8" t="n"/>
    </row>
    <row r="151">
      <c r="A151" s="8" t="n"/>
      <c r="B151" s="8" t="n"/>
      <c r="C151" s="8" t="n"/>
      <c r="D151" s="8" t="n"/>
    </row>
    <row r="152">
      <c r="A152" s="8" t="n"/>
      <c r="B152" s="8" t="n"/>
      <c r="C152" s="8" t="n"/>
      <c r="D152" s="8" t="n"/>
    </row>
    <row r="153">
      <c r="A153" s="8" t="n"/>
      <c r="B153" s="8" t="n"/>
      <c r="C153" s="8" t="n"/>
      <c r="D153" s="8" t="n"/>
    </row>
    <row r="154">
      <c r="A154" s="8" t="n"/>
      <c r="B154" s="8" t="n"/>
      <c r="C154" s="8" t="n"/>
      <c r="D154" s="8" t="n"/>
    </row>
    <row r="155">
      <c r="A155" s="8" t="n"/>
      <c r="B155" s="8" t="n"/>
      <c r="C155" s="8" t="n"/>
      <c r="D155" s="8" t="n"/>
    </row>
    <row r="156">
      <c r="A156" s="8" t="n"/>
      <c r="B156" s="8" t="n"/>
      <c r="C156" s="8" t="n"/>
      <c r="D156" s="8" t="n"/>
    </row>
    <row r="157">
      <c r="A157" s="8" t="n"/>
      <c r="B157" s="8" t="n"/>
      <c r="C157" s="8" t="n"/>
      <c r="D157" s="8" t="n"/>
    </row>
    <row r="158">
      <c r="A158" s="8" t="n"/>
      <c r="B158" s="8" t="n"/>
      <c r="C158" s="8" t="n"/>
      <c r="D158" s="8" t="n"/>
    </row>
    <row r="159">
      <c r="A159" s="8" t="n"/>
      <c r="B159" s="8" t="n"/>
      <c r="C159" s="8" t="n"/>
      <c r="D159" s="8" t="n"/>
    </row>
    <row r="160">
      <c r="A160" s="8" t="n"/>
      <c r="B160" s="8" t="n"/>
      <c r="C160" s="8" t="n"/>
      <c r="D160" s="8" t="n"/>
    </row>
    <row r="161">
      <c r="A161" s="8" t="n"/>
      <c r="B161" s="8" t="n"/>
      <c r="C161" s="8" t="n"/>
      <c r="D161" s="8" t="n"/>
    </row>
    <row r="162">
      <c r="A162" s="8" t="n"/>
      <c r="B162" s="8" t="n"/>
      <c r="C162" s="8" t="n"/>
      <c r="D162" s="8" t="n"/>
    </row>
    <row r="163">
      <c r="A163" s="8" t="n"/>
      <c r="B163" s="8" t="n"/>
      <c r="C163" s="8" t="n"/>
      <c r="D163" s="8" t="n"/>
    </row>
    <row r="164">
      <c r="A164" s="8" t="n"/>
      <c r="B164" s="8" t="n"/>
      <c r="C164" s="8" t="n"/>
      <c r="D164" s="8" t="n"/>
    </row>
    <row r="165">
      <c r="A165" s="8" t="n"/>
      <c r="B165" s="8" t="n"/>
      <c r="C165" s="8" t="n"/>
      <c r="D165" s="8" t="n"/>
    </row>
    <row r="166">
      <c r="A166" s="8" t="n"/>
      <c r="B166" s="8" t="n"/>
      <c r="C166" s="8" t="n"/>
      <c r="D166" s="8" t="n"/>
    </row>
    <row r="167">
      <c r="A167" s="8" t="n"/>
      <c r="B167" s="8" t="n"/>
      <c r="C167" s="8" t="n"/>
      <c r="D167" s="8" t="n"/>
    </row>
    <row r="168">
      <c r="A168" s="8" t="n"/>
      <c r="B168" s="8" t="n"/>
      <c r="C168" s="8" t="n"/>
      <c r="D168" s="8" t="n"/>
    </row>
    <row r="169">
      <c r="A169" s="8" t="n"/>
      <c r="B169" s="8" t="n"/>
      <c r="C169" s="8" t="n"/>
      <c r="D169" s="8" t="n"/>
    </row>
    <row r="170">
      <c r="A170" s="8" t="n"/>
      <c r="B170" s="8" t="n"/>
      <c r="C170" s="8" t="n"/>
      <c r="D170" s="8" t="n"/>
    </row>
    <row r="171">
      <c r="A171" s="8" t="n"/>
      <c r="B171" s="8" t="n"/>
      <c r="C171" s="8" t="n"/>
      <c r="D171" s="8" t="n"/>
    </row>
    <row r="172">
      <c r="A172" s="8" t="n"/>
      <c r="B172" s="8" t="n"/>
      <c r="C172" s="8" t="n"/>
      <c r="D172" s="8" t="n"/>
    </row>
    <row r="173">
      <c r="A173" s="8" t="n"/>
      <c r="B173" s="8" t="n"/>
      <c r="C173" s="8" t="n"/>
      <c r="D173" s="8" t="n"/>
    </row>
    <row r="174">
      <c r="A174" s="8" t="n"/>
      <c r="B174" s="8" t="n"/>
      <c r="C174" s="8" t="n"/>
      <c r="D174" s="8" t="n"/>
    </row>
    <row r="175">
      <c r="A175" s="8" t="n"/>
      <c r="B175" s="8" t="n"/>
      <c r="C175" s="8" t="n"/>
      <c r="D175" s="8" t="n"/>
    </row>
    <row r="176">
      <c r="A176" s="8" t="n"/>
      <c r="B176" s="8" t="n"/>
      <c r="C176" s="8" t="n"/>
      <c r="D176" s="8" t="n"/>
    </row>
    <row r="177">
      <c r="A177" s="8" t="n"/>
      <c r="B177" s="8" t="n"/>
      <c r="C177" s="8" t="n"/>
      <c r="D177" s="8" t="n"/>
    </row>
    <row r="178">
      <c r="A178" s="8" t="n"/>
      <c r="B178" s="8" t="n"/>
      <c r="C178" s="8" t="n"/>
      <c r="D178" s="8" t="n"/>
    </row>
    <row r="179">
      <c r="A179" s="8" t="n"/>
      <c r="B179" s="8" t="n"/>
      <c r="C179" s="8" t="n"/>
      <c r="D179" s="8" t="n"/>
    </row>
    <row r="180">
      <c r="A180" s="8" t="n"/>
      <c r="B180" s="8" t="n"/>
      <c r="C180" s="8" t="n"/>
      <c r="D180" s="8" t="n"/>
    </row>
    <row r="181">
      <c r="A181" s="8" t="n"/>
      <c r="B181" s="8" t="n"/>
      <c r="C181" s="8" t="n"/>
      <c r="D181" s="8" t="n"/>
    </row>
    <row r="182">
      <c r="A182" s="8" t="n"/>
      <c r="B182" s="8" t="n"/>
      <c r="C182" s="8" t="n"/>
      <c r="D182" s="8" t="n"/>
    </row>
    <row r="183">
      <c r="A183" s="8" t="n"/>
      <c r="B183" s="8" t="n"/>
      <c r="C183" s="8" t="n"/>
      <c r="D183" s="8" t="n"/>
    </row>
    <row r="184">
      <c r="A184" s="8" t="n"/>
      <c r="B184" s="8" t="n"/>
      <c r="C184" s="8" t="n"/>
      <c r="D184" s="8" t="n"/>
    </row>
    <row r="185">
      <c r="A185" s="8" t="n"/>
      <c r="B185" s="8" t="n"/>
      <c r="C185" s="8" t="n"/>
      <c r="D185" s="8" t="n"/>
    </row>
    <row r="186">
      <c r="A186" s="8" t="n"/>
      <c r="B186" s="8" t="n"/>
      <c r="C186" s="8" t="n"/>
      <c r="D186" s="8" t="n"/>
    </row>
    <row r="187">
      <c r="A187" s="8" t="n"/>
      <c r="B187" s="8" t="n"/>
      <c r="C187" s="8" t="n"/>
      <c r="D187" s="8" t="n"/>
    </row>
    <row r="188">
      <c r="A188" s="8" t="n"/>
      <c r="B188" s="8" t="n"/>
      <c r="C188" s="8" t="n"/>
      <c r="D188" s="8" t="n"/>
    </row>
    <row r="189">
      <c r="A189" s="8" t="n"/>
      <c r="B189" s="8" t="n"/>
      <c r="C189" s="8" t="n"/>
      <c r="D189" s="8" t="n"/>
    </row>
    <row r="190">
      <c r="A190" s="8" t="n"/>
      <c r="B190" s="8" t="n"/>
      <c r="C190" s="8" t="n"/>
      <c r="D190" s="8" t="n"/>
    </row>
    <row r="191">
      <c r="A191" s="8" t="n"/>
      <c r="B191" s="8" t="n"/>
      <c r="C191" s="8" t="n"/>
      <c r="D191" s="8" t="n"/>
    </row>
    <row r="192">
      <c r="A192" s="8" t="n"/>
      <c r="B192" s="8" t="n"/>
      <c r="C192" s="8" t="n"/>
      <c r="D192" s="8" t="n"/>
    </row>
    <row r="193">
      <c r="A193" s="8" t="n"/>
      <c r="B193" s="8" t="n"/>
      <c r="C193" s="8" t="n"/>
      <c r="D193" s="8" t="n"/>
    </row>
    <row r="194">
      <c r="A194" s="8" t="n"/>
      <c r="B194" s="8" t="n"/>
      <c r="C194" s="8" t="n"/>
      <c r="D194" s="8" t="n"/>
    </row>
    <row r="195">
      <c r="A195" s="8" t="n"/>
      <c r="B195" s="8" t="n"/>
      <c r="C195" s="8" t="n"/>
      <c r="D195" s="8" t="n"/>
    </row>
    <row r="196">
      <c r="A196" s="8" t="n"/>
      <c r="B196" s="8" t="n"/>
      <c r="C196" s="8" t="n"/>
      <c r="D196" s="8" t="n"/>
    </row>
    <row r="197">
      <c r="A197" s="8" t="n"/>
      <c r="B197" s="8" t="n"/>
      <c r="C197" s="8" t="n"/>
      <c r="D197" s="8" t="n"/>
    </row>
    <row r="198">
      <c r="A198" s="8" t="n"/>
      <c r="B198" s="8" t="n"/>
      <c r="C198" s="8" t="n"/>
      <c r="D198" s="8" t="n"/>
    </row>
    <row r="199">
      <c r="A199" s="8" t="n"/>
      <c r="B199" s="8" t="n"/>
      <c r="C199" s="8" t="n"/>
      <c r="D199" s="8" t="n"/>
    </row>
    <row r="200">
      <c r="A200" s="8" t="n"/>
      <c r="B200" s="8" t="n"/>
      <c r="C200" s="8" t="n"/>
      <c r="D200" s="8" t="n"/>
    </row>
    <row r="201">
      <c r="A201" s="8" t="n"/>
      <c r="B201" s="8" t="n"/>
      <c r="C201" s="8" t="n"/>
      <c r="D201" s="8" t="n"/>
    </row>
    <row r="202">
      <c r="A202" s="8" t="n"/>
      <c r="B202" s="8" t="n"/>
      <c r="C202" s="8" t="n"/>
      <c r="D202" s="8" t="n"/>
    </row>
    <row r="203">
      <c r="A203" s="8" t="n"/>
      <c r="B203" s="8" t="n"/>
      <c r="C203" s="8" t="n"/>
      <c r="D203" s="8" t="n"/>
    </row>
    <row r="204">
      <c r="A204" s="8" t="n"/>
      <c r="B204" s="8" t="n"/>
      <c r="C204" s="8" t="n"/>
      <c r="D204" s="8" t="n"/>
    </row>
    <row r="205">
      <c r="A205" s="8" t="n"/>
      <c r="B205" s="8" t="n"/>
      <c r="C205" s="8" t="n"/>
      <c r="D205" s="8" t="n"/>
    </row>
    <row r="206">
      <c r="A206" s="8" t="n"/>
      <c r="B206" s="8" t="n"/>
      <c r="C206" s="8" t="n"/>
      <c r="D206" s="8" t="n"/>
    </row>
    <row r="207">
      <c r="A207" s="8" t="n"/>
      <c r="B207" s="8" t="n"/>
      <c r="C207" s="8" t="n"/>
      <c r="D207" s="8" t="n"/>
    </row>
    <row r="208">
      <c r="A208" s="8" t="n"/>
      <c r="B208" s="8" t="n"/>
      <c r="C208" s="8" t="n"/>
      <c r="D208" s="8" t="n"/>
    </row>
    <row r="209">
      <c r="A209" s="8" t="n"/>
      <c r="B209" s="8" t="n"/>
      <c r="C209" s="8" t="n"/>
      <c r="D209" s="8" t="n"/>
    </row>
    <row r="210">
      <c r="A210" s="8" t="n"/>
      <c r="B210" s="8" t="n"/>
      <c r="C210" s="8" t="n"/>
      <c r="D210" s="8" t="n"/>
    </row>
    <row r="211">
      <c r="A211" s="8" t="n"/>
      <c r="B211" s="8" t="n"/>
      <c r="C211" s="8" t="n"/>
      <c r="D211" s="8" t="n"/>
    </row>
    <row r="212">
      <c r="A212" s="8" t="n"/>
      <c r="B212" s="8" t="n"/>
      <c r="C212" s="8" t="n"/>
      <c r="D212" s="8" t="n"/>
    </row>
    <row r="213">
      <c r="A213" s="8" t="n"/>
      <c r="B213" s="8" t="n"/>
      <c r="C213" s="8" t="n"/>
      <c r="D213" s="8" t="n"/>
    </row>
    <row r="214">
      <c r="A214" s="8" t="n"/>
      <c r="B214" s="8" t="n"/>
      <c r="C214" s="8" t="n"/>
      <c r="D214" s="8" t="n"/>
    </row>
    <row r="215">
      <c r="A215" s="8" t="n"/>
      <c r="B215" s="8" t="n"/>
      <c r="C215" s="8" t="n"/>
      <c r="D215" s="8" t="n"/>
    </row>
    <row r="216">
      <c r="A216" s="8" t="n"/>
      <c r="B216" s="8" t="n"/>
      <c r="C216" s="8" t="n"/>
      <c r="D216" s="8" t="n"/>
    </row>
    <row r="217">
      <c r="A217" s="8" t="n"/>
      <c r="B217" s="8" t="n"/>
      <c r="C217" s="8" t="n"/>
      <c r="D217" s="8" t="n"/>
    </row>
    <row r="218">
      <c r="A218" s="8" t="n"/>
      <c r="B218" s="8" t="n"/>
      <c r="C218" s="8" t="n"/>
      <c r="D218" s="8" t="n"/>
    </row>
    <row r="219">
      <c r="A219" s="8" t="n"/>
      <c r="B219" s="8" t="n"/>
      <c r="C219" s="8" t="n"/>
      <c r="D219" s="8" t="n"/>
    </row>
    <row r="220">
      <c r="A220" s="8" t="n"/>
      <c r="B220" s="8" t="n"/>
      <c r="C220" s="8" t="n"/>
      <c r="D220" s="8" t="n"/>
    </row>
    <row r="221">
      <c r="A221" s="8" t="n"/>
      <c r="B221" s="8" t="n"/>
      <c r="C221" s="8" t="n"/>
      <c r="D221" s="8" t="n"/>
    </row>
    <row r="222">
      <c r="A222" s="8" t="n"/>
      <c r="B222" s="8" t="n"/>
      <c r="C222" s="8" t="n"/>
      <c r="D222" s="8" t="n"/>
    </row>
    <row r="223">
      <c r="A223" s="8" t="n"/>
      <c r="B223" s="8" t="n"/>
      <c r="C223" s="8" t="n"/>
      <c r="D223" s="8" t="n"/>
    </row>
    <row r="224">
      <c r="A224" s="8" t="n"/>
      <c r="B224" s="8" t="n"/>
      <c r="C224" s="8" t="n"/>
      <c r="D224" s="8" t="n"/>
    </row>
    <row r="225">
      <c r="A225" s="8" t="n"/>
      <c r="B225" s="8" t="n"/>
      <c r="C225" s="8" t="n"/>
      <c r="D225" s="8" t="n"/>
    </row>
    <row r="226">
      <c r="A226" s="8" t="n"/>
      <c r="B226" s="8" t="n"/>
      <c r="C226" s="8" t="n"/>
      <c r="D226" s="8" t="n"/>
    </row>
    <row r="227">
      <c r="A227" s="8" t="n"/>
      <c r="B227" s="8" t="n"/>
      <c r="C227" s="8" t="n"/>
      <c r="D227" s="8" t="n"/>
    </row>
    <row r="228">
      <c r="A228" s="8" t="n"/>
      <c r="B228" s="8" t="n"/>
      <c r="C228" s="8" t="n"/>
      <c r="D228" s="8" t="n"/>
    </row>
    <row r="229">
      <c r="A229" s="8" t="n"/>
      <c r="B229" s="8" t="n"/>
      <c r="C229" s="8" t="n"/>
      <c r="D229" s="8" t="n"/>
    </row>
    <row r="230">
      <c r="A230" s="8" t="n"/>
      <c r="B230" s="8" t="n"/>
      <c r="C230" s="8" t="n"/>
      <c r="D230" s="8" t="n"/>
    </row>
    <row r="231">
      <c r="A231" s="8" t="n"/>
      <c r="B231" s="8" t="n"/>
      <c r="C231" s="8" t="n"/>
      <c r="D231" s="8" t="n"/>
    </row>
    <row r="232">
      <c r="A232" s="8" t="n"/>
      <c r="B232" s="8" t="n"/>
      <c r="C232" s="8" t="n"/>
      <c r="D232" s="8" t="n"/>
    </row>
    <row r="233">
      <c r="A233" s="8" t="n"/>
      <c r="B233" s="8" t="n"/>
      <c r="C233" s="8" t="n"/>
      <c r="D233" s="8" t="n"/>
    </row>
    <row r="234">
      <c r="A234" s="8" t="n"/>
      <c r="B234" s="8" t="n"/>
      <c r="C234" s="8" t="n"/>
      <c r="D234" s="8" t="n"/>
    </row>
    <row r="235">
      <c r="A235" s="8" t="n"/>
      <c r="B235" s="8" t="n"/>
      <c r="C235" s="8" t="n"/>
      <c r="D235" s="8" t="n"/>
    </row>
    <row r="236">
      <c r="A236" s="8" t="n"/>
      <c r="B236" s="8" t="n"/>
      <c r="C236" s="8" t="n"/>
      <c r="D236" s="8" t="n"/>
    </row>
    <row r="237">
      <c r="A237" s="8" t="n"/>
      <c r="B237" s="8" t="n"/>
      <c r="C237" s="8" t="n"/>
      <c r="D237" s="8" t="n"/>
    </row>
    <row r="238">
      <c r="A238" s="8" t="n"/>
      <c r="B238" s="8" t="n"/>
      <c r="C238" s="8" t="n"/>
      <c r="D238" s="8" t="n"/>
    </row>
    <row r="239">
      <c r="A239" s="8" t="n"/>
      <c r="B239" s="8" t="n"/>
      <c r="C239" s="8" t="n"/>
      <c r="D239" s="8" t="n"/>
    </row>
    <row r="240">
      <c r="A240" s="8" t="n"/>
      <c r="B240" s="8" t="n"/>
      <c r="C240" s="8" t="n"/>
      <c r="D240" s="8" t="n"/>
    </row>
    <row r="241">
      <c r="A241" s="8" t="n"/>
      <c r="B241" s="8" t="n"/>
      <c r="C241" s="8" t="n"/>
      <c r="D241" s="8" t="n"/>
    </row>
    <row r="242">
      <c r="A242" s="8" t="n"/>
      <c r="B242" s="8" t="n"/>
      <c r="C242" s="8" t="n"/>
      <c r="D242" s="8" t="n"/>
    </row>
    <row r="243">
      <c r="A243" s="8" t="n"/>
      <c r="B243" s="8" t="n"/>
      <c r="C243" s="8" t="n"/>
      <c r="D243" s="8" t="n"/>
    </row>
    <row r="244">
      <c r="A244" s="8" t="n"/>
      <c r="B244" s="8" t="n"/>
      <c r="C244" s="8" t="n"/>
      <c r="D244" s="8" t="n"/>
    </row>
    <row r="245">
      <c r="A245" s="8" t="n"/>
      <c r="B245" s="8" t="n"/>
      <c r="C245" s="8" t="n"/>
      <c r="D245" s="8" t="n"/>
    </row>
    <row r="246">
      <c r="A246" s="8" t="n"/>
      <c r="B246" s="8" t="n"/>
      <c r="C246" s="8" t="n"/>
      <c r="D246" s="8" t="n"/>
    </row>
    <row r="247">
      <c r="A247" s="8" t="n"/>
      <c r="B247" s="8" t="n"/>
      <c r="C247" s="8" t="n"/>
      <c r="D247" s="8" t="n"/>
    </row>
    <row r="248">
      <c r="A248" s="8" t="n"/>
      <c r="B248" s="8" t="n"/>
      <c r="C248" s="8" t="n"/>
      <c r="D248" s="8" t="n"/>
    </row>
    <row r="249">
      <c r="A249" s="8" t="n"/>
      <c r="B249" s="8" t="n"/>
      <c r="C249" s="8" t="n"/>
      <c r="D249" s="8" t="n"/>
    </row>
    <row r="250">
      <c r="A250" s="8" t="n"/>
      <c r="B250" s="8" t="n"/>
      <c r="C250" s="8" t="n"/>
      <c r="D250" s="8" t="n"/>
    </row>
    <row r="251">
      <c r="A251" s="8" t="n"/>
      <c r="B251" s="8" t="n"/>
      <c r="C251" s="8" t="n"/>
      <c r="D251" s="8" t="n"/>
    </row>
  </sheetData>
  <conditionalFormatting sqref="D2:D25">
    <cfRule type="cellIs" priority="1" operator="equal" dxfId="10">
      <formula>"Planned"</formula>
    </cfRule>
    <cfRule type="cellIs" priority="2" operator="equal" dxfId="9">
      <formula>"EXAM"</formula>
    </cfRule>
    <cfRule type="cellIs" priority="3" operator="equal" dxfId="8">
      <formula>"OFF"</formula>
    </cfRule>
    <cfRule type="cellIs" priority="4" operator="equal" dxfId="7">
      <formula>"22:00 - 07:00"</formula>
    </cfRule>
    <cfRule type="cellIs" priority="5" operator="equal" dxfId="6">
      <formula>"21:00 - 06:00"</formula>
    </cfRule>
    <cfRule type="cellIs" priority="6" operator="equal" dxfId="5">
      <formula>"20:00 - 05:00"</formula>
    </cfRule>
    <cfRule type="cellIs" priority="7" operator="equal" dxfId="4">
      <formula>"19:00 - 04:00"</formula>
    </cfRule>
    <cfRule type="cellIs" priority="8" operator="equal" dxfId="3">
      <formula>"18:00 - 03:00"</formula>
    </cfRule>
    <cfRule type="cellIs" priority="9" operator="equal" dxfId="2">
      <formula>"17:00 - 02:00"</formula>
    </cfRule>
    <cfRule type="cellIs" priority="10" operator="equal" dxfId="1">
      <formula>"16:00 - 01:00"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:E1"/>
    </sheetView>
  </sheetViews>
  <sheetFormatPr baseColWidth="8" defaultRowHeight="15"/>
  <cols>
    <col width="18" customWidth="1" style="45" min="1" max="1"/>
    <col width="12" customWidth="1" style="45" min="2" max="3"/>
    <col width="16" customWidth="1" style="45" min="4" max="4"/>
    <col width="26" customWidth="1" style="45" min="5" max="5"/>
    <col width="22.42578125" customWidth="1" style="45" min="6" max="6"/>
    <col width="24" customWidth="1" style="45" min="8" max="12"/>
  </cols>
  <sheetData>
    <row r="1" ht="30" customHeight="1" s="45">
      <c r="A1" s="52" t="inlineStr">
        <is>
          <t>Shift Library / Drop-down Options</t>
        </is>
      </c>
    </row>
    <row r="2" ht="45" customHeight="1" s="45">
      <c r="A2" s="7" t="inlineStr">
        <is>
          <t>Shift or Status</t>
        </is>
      </c>
      <c r="B2" s="7" t="inlineStr">
        <is>
          <t>Start Hour</t>
        </is>
      </c>
      <c r="C2" s="7" t="inlineStr">
        <is>
          <t>End Hour</t>
        </is>
      </c>
      <c r="D2" s="7" t="inlineStr">
        <is>
          <t>Duration Hours</t>
        </is>
      </c>
      <c r="E2" s="7" t="inlineStr">
        <is>
          <t>Type / Notes</t>
        </is>
      </c>
    </row>
    <row r="3" ht="75" customHeight="1" s="45">
      <c r="A3" s="12" t="inlineStr">
        <is>
          <t>OFF</t>
        </is>
      </c>
      <c r="B3" s="12" t="n"/>
      <c r="C3" s="12" t="n"/>
      <c r="D3" s="12" t="n"/>
      <c r="E3" s="12" t="inlineStr">
        <is>
          <t>Status</t>
        </is>
      </c>
    </row>
    <row r="4" ht="60" customHeight="1" s="45">
      <c r="A4" s="12" t="inlineStr">
        <is>
          <t>Leave</t>
        </is>
      </c>
      <c r="B4" s="12" t="n"/>
      <c r="C4" s="12" t="n"/>
      <c r="D4" s="12" t="n"/>
      <c r="E4" s="12" t="inlineStr">
        <is>
          <t>Status</t>
        </is>
      </c>
    </row>
    <row r="5" ht="60" customHeight="1" s="45">
      <c r="A5" s="12" t="inlineStr">
        <is>
          <t>Planned</t>
        </is>
      </c>
      <c r="B5" s="12" t="n"/>
      <c r="C5" s="12" t="n"/>
      <c r="D5" s="12" t="n"/>
      <c r="E5" s="12" t="inlineStr">
        <is>
          <t>Status / previous week only</t>
        </is>
      </c>
    </row>
    <row r="6" ht="45" customHeight="1" s="45">
      <c r="A6" s="12" t="inlineStr">
        <is>
          <t>11:00 - 20:00</t>
        </is>
      </c>
      <c r="B6" s="12" t="inlineStr">
        <is>
          <t>11:00</t>
        </is>
      </c>
      <c r="C6" s="12" t="inlineStr">
        <is>
          <t>20:00</t>
        </is>
      </c>
      <c r="D6" s="12" t="n">
        <v>9</v>
      </c>
      <c r="E6" s="12" t="inlineStr">
        <is>
          <t>9-hour / 2 OFF</t>
        </is>
      </c>
    </row>
    <row r="7" ht="30" customHeight="1" s="45">
      <c r="A7" s="12" t="inlineStr">
        <is>
          <t>12:00 - 21:00</t>
        </is>
      </c>
      <c r="B7" s="12" t="inlineStr">
        <is>
          <t>12:00</t>
        </is>
      </c>
      <c r="C7" s="12" t="inlineStr">
        <is>
          <t>21:00</t>
        </is>
      </c>
      <c r="D7" s="12" t="n">
        <v>9</v>
      </c>
      <c r="E7" s="12" t="inlineStr">
        <is>
          <t>9-hour / 2 OFF</t>
        </is>
      </c>
    </row>
    <row r="8">
      <c r="A8" s="12" t="inlineStr">
        <is>
          <t>13:00 - 22:00</t>
        </is>
      </c>
      <c r="B8" s="12" t="inlineStr">
        <is>
          <t>13:00</t>
        </is>
      </c>
      <c r="C8" s="12" t="inlineStr">
        <is>
          <t>22:00</t>
        </is>
      </c>
      <c r="D8" s="12" t="n">
        <v>9</v>
      </c>
      <c r="E8" s="12" t="inlineStr">
        <is>
          <t>9-hour / 2 OFF</t>
        </is>
      </c>
    </row>
    <row r="9">
      <c r="A9" s="12" t="inlineStr">
        <is>
          <t>14:00 - 23:00</t>
        </is>
      </c>
      <c r="B9" s="12" t="inlineStr">
        <is>
          <t>14:00</t>
        </is>
      </c>
      <c r="C9" s="12" t="inlineStr">
        <is>
          <t>23:00</t>
        </is>
      </c>
      <c r="D9" s="12" t="n">
        <v>9</v>
      </c>
      <c r="E9" s="12" t="inlineStr">
        <is>
          <t>9-hour / 2 OFF</t>
        </is>
      </c>
    </row>
    <row r="10">
      <c r="A10" s="12" t="inlineStr">
        <is>
          <t>15:00 - 00:00</t>
        </is>
      </c>
      <c r="B10" s="12" t="inlineStr">
        <is>
          <t>15:00</t>
        </is>
      </c>
      <c r="C10" s="12" t="inlineStr">
        <is>
          <t>00:00</t>
        </is>
      </c>
      <c r="D10" s="12" t="n">
        <v>9</v>
      </c>
      <c r="E10" s="12" t="inlineStr">
        <is>
          <t>9-hour / 2 OFF</t>
        </is>
      </c>
    </row>
    <row r="11">
      <c r="A11" s="12" t="inlineStr">
        <is>
          <t>16:00 - 01:00</t>
        </is>
      </c>
      <c r="B11" s="12" t="inlineStr">
        <is>
          <t>16:00</t>
        </is>
      </c>
      <c r="C11" s="12" t="inlineStr">
        <is>
          <t>01:00</t>
        </is>
      </c>
      <c r="D11" s="12" t="n">
        <v>9</v>
      </c>
      <c r="E11" s="12" t="inlineStr">
        <is>
          <t>9-hour / 2 OFF</t>
        </is>
      </c>
    </row>
    <row r="12">
      <c r="A12" s="12" t="inlineStr">
        <is>
          <t>17:00 - 02:00</t>
        </is>
      </c>
      <c r="B12" s="12" t="inlineStr">
        <is>
          <t>17:00</t>
        </is>
      </c>
      <c r="C12" s="12" t="inlineStr">
        <is>
          <t>02:00</t>
        </is>
      </c>
      <c r="D12" s="12" t="n">
        <v>9</v>
      </c>
      <c r="E12" s="12" t="inlineStr">
        <is>
          <t>9-hour / 2 OFF</t>
        </is>
      </c>
    </row>
    <row r="13">
      <c r="A13" s="12" t="inlineStr">
        <is>
          <t>18:00 - 03:00</t>
        </is>
      </c>
      <c r="B13" s="12" t="inlineStr">
        <is>
          <t>18:00</t>
        </is>
      </c>
      <c r="C13" s="12" t="inlineStr">
        <is>
          <t>03:00</t>
        </is>
      </c>
      <c r="D13" s="12" t="n">
        <v>9</v>
      </c>
      <c r="E13" s="12" t="inlineStr">
        <is>
          <t>9-hour / 2 OFF</t>
        </is>
      </c>
    </row>
    <row r="14">
      <c r="A14" s="12" t="inlineStr">
        <is>
          <t>19:00 - 04:00</t>
        </is>
      </c>
      <c r="B14" s="12" t="inlineStr">
        <is>
          <t>19:00</t>
        </is>
      </c>
      <c r="C14" s="12" t="inlineStr">
        <is>
          <t>04:00</t>
        </is>
      </c>
      <c r="D14" s="12" t="n">
        <v>9</v>
      </c>
      <c r="E14" s="12" t="inlineStr">
        <is>
          <t>9-hour / 2 OFF</t>
        </is>
      </c>
    </row>
    <row r="15">
      <c r="A15" s="12" t="inlineStr">
        <is>
          <t>20:00 - 05:00</t>
        </is>
      </c>
      <c r="B15" s="12" t="inlineStr">
        <is>
          <t>20:00</t>
        </is>
      </c>
      <c r="C15" s="12" t="inlineStr">
        <is>
          <t>05:00</t>
        </is>
      </c>
      <c r="D15" s="12" t="n">
        <v>9</v>
      </c>
      <c r="E15" s="12" t="inlineStr">
        <is>
          <t>9-hour / 2 OFF</t>
        </is>
      </c>
    </row>
    <row r="16">
      <c r="A16" s="12" t="inlineStr">
        <is>
          <t>21:00 - 06:00</t>
        </is>
      </c>
      <c r="B16" s="12" t="inlineStr">
        <is>
          <t>21:00</t>
        </is>
      </c>
      <c r="C16" s="12" t="inlineStr">
        <is>
          <t>06:00</t>
        </is>
      </c>
      <c r="D16" s="12" t="n">
        <v>9</v>
      </c>
      <c r="E16" s="12" t="inlineStr">
        <is>
          <t>9-hour / 2 OFF</t>
        </is>
      </c>
    </row>
    <row r="17">
      <c r="A17" s="12" t="inlineStr">
        <is>
          <t>22:00 - 07:00</t>
        </is>
      </c>
      <c r="B17" s="12" t="inlineStr">
        <is>
          <t>22:00</t>
        </is>
      </c>
      <c r="C17" s="12" t="inlineStr">
        <is>
          <t>07:00</t>
        </is>
      </c>
      <c r="D17" s="12" t="n">
        <v>9</v>
      </c>
      <c r="E17" s="12" t="inlineStr">
        <is>
          <t>9-hour / 2 OFF</t>
        </is>
      </c>
    </row>
    <row r="18">
      <c r="A18" s="12" t="inlineStr">
        <is>
          <t>11:00 - 22:00</t>
        </is>
      </c>
      <c r="B18" s="12" t="inlineStr">
        <is>
          <t>11:00</t>
        </is>
      </c>
      <c r="C18" s="12" t="inlineStr">
        <is>
          <t>22:00</t>
        </is>
      </c>
      <c r="D18" s="12" t="n">
        <v>11</v>
      </c>
      <c r="E18" s="12" t="inlineStr">
        <is>
          <t>11-hour / 3 OFF</t>
        </is>
      </c>
    </row>
    <row r="19">
      <c r="A19" s="12" t="inlineStr">
        <is>
          <t>12:00 - 23:00</t>
        </is>
      </c>
      <c r="B19" s="12" t="inlineStr">
        <is>
          <t>12:00</t>
        </is>
      </c>
      <c r="C19" s="12" t="inlineStr">
        <is>
          <t>23:00</t>
        </is>
      </c>
      <c r="D19" s="12" t="n">
        <v>11</v>
      </c>
      <c r="E19" s="12" t="inlineStr">
        <is>
          <t>11-hour / 3 OFF</t>
        </is>
      </c>
    </row>
    <row r="20">
      <c r="A20" s="12" t="inlineStr">
        <is>
          <t>13:00 - 00:00</t>
        </is>
      </c>
      <c r="B20" s="12" t="inlineStr">
        <is>
          <t>13:00</t>
        </is>
      </c>
      <c r="C20" s="12" t="inlineStr">
        <is>
          <t>00:00</t>
        </is>
      </c>
      <c r="D20" s="12" t="n">
        <v>11</v>
      </c>
      <c r="E20" s="12" t="inlineStr">
        <is>
          <t>11-hour / 3 OFF</t>
        </is>
      </c>
    </row>
    <row r="21">
      <c r="A21" s="12" t="inlineStr">
        <is>
          <t>14:00 - 01:00</t>
        </is>
      </c>
      <c r="B21" s="12" t="inlineStr">
        <is>
          <t>14:00</t>
        </is>
      </c>
      <c r="C21" s="12" t="inlineStr">
        <is>
          <t>01:00</t>
        </is>
      </c>
      <c r="D21" s="12" t="n">
        <v>11</v>
      </c>
      <c r="E21" s="12" t="inlineStr">
        <is>
          <t>11-hour / 3 OFF</t>
        </is>
      </c>
    </row>
    <row r="22">
      <c r="A22" s="12" t="inlineStr">
        <is>
          <t>15:00 - 02:00</t>
        </is>
      </c>
      <c r="B22" s="12" t="inlineStr">
        <is>
          <t>15:00</t>
        </is>
      </c>
      <c r="C22" s="12" t="inlineStr">
        <is>
          <t>02:00</t>
        </is>
      </c>
      <c r="D22" s="12" t="n">
        <v>11</v>
      </c>
      <c r="E22" s="12" t="inlineStr">
        <is>
          <t>11-hour / 3 OFF</t>
        </is>
      </c>
    </row>
    <row r="23">
      <c r="A23" s="12" t="inlineStr">
        <is>
          <t>16:00 - 03:00</t>
        </is>
      </c>
      <c r="B23" s="12" t="inlineStr">
        <is>
          <t>16:00</t>
        </is>
      </c>
      <c r="C23" s="12" t="inlineStr">
        <is>
          <t>03:00</t>
        </is>
      </c>
      <c r="D23" s="12" t="n">
        <v>11</v>
      </c>
      <c r="E23" s="12" t="inlineStr">
        <is>
          <t>11-hour / 3 OFF</t>
        </is>
      </c>
    </row>
    <row r="24">
      <c r="A24" s="12" t="inlineStr">
        <is>
          <t>17:00 - 04:00</t>
        </is>
      </c>
      <c r="B24" s="12" t="inlineStr">
        <is>
          <t>17:00</t>
        </is>
      </c>
      <c r="C24" s="12" t="inlineStr">
        <is>
          <t>04:00</t>
        </is>
      </c>
      <c r="D24" s="12" t="n">
        <v>11</v>
      </c>
      <c r="E24" s="12" t="inlineStr">
        <is>
          <t>11-hour / 3 OFF</t>
        </is>
      </c>
    </row>
    <row r="25">
      <c r="A25" s="12" t="inlineStr">
        <is>
          <t>18:00 - 05:00</t>
        </is>
      </c>
      <c r="B25" s="12" t="inlineStr">
        <is>
          <t>18:00</t>
        </is>
      </c>
      <c r="C25" s="12" t="inlineStr">
        <is>
          <t>05:00</t>
        </is>
      </c>
      <c r="D25" s="12" t="n">
        <v>11</v>
      </c>
      <c r="E25" s="12" t="inlineStr">
        <is>
          <t>11-hour / 3 OFF</t>
        </is>
      </c>
    </row>
    <row r="26">
      <c r="A26" s="12" t="inlineStr">
        <is>
          <t>19:00 - 06:00</t>
        </is>
      </c>
      <c r="B26" s="12" t="inlineStr">
        <is>
          <t>19:00</t>
        </is>
      </c>
      <c r="C26" s="12" t="inlineStr">
        <is>
          <t>06:00</t>
        </is>
      </c>
      <c r="D26" s="12" t="n">
        <v>11</v>
      </c>
      <c r="E26" s="12" t="inlineStr">
        <is>
          <t>11-hour / 3 OFF</t>
        </is>
      </c>
    </row>
    <row r="27">
      <c r="A27" s="12" t="inlineStr">
        <is>
          <t>20:00 - 07:00</t>
        </is>
      </c>
      <c r="B27" s="12" t="inlineStr">
        <is>
          <t>20:00</t>
        </is>
      </c>
      <c r="C27" s="12" t="inlineStr">
        <is>
          <t>07:00</t>
        </is>
      </c>
      <c r="D27" s="12" t="n">
        <v>11</v>
      </c>
      <c r="E27" s="12" t="inlineStr">
        <is>
          <t>11-hour / 3 OFF</t>
        </is>
      </c>
    </row>
  </sheetData>
  <mergeCells count="1">
    <mergeCell ref="A1:E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tabColor rgb="FFD9EAD3"/>
    <outlinePr summaryBelow="1" summaryRight="1"/>
    <pageSetUpPr/>
  </sheetPr>
  <dimension ref="A1:Q1751"/>
  <sheetViews>
    <sheetView showGridLines="0" workbookViewId="0">
      <selection activeCell="A1" sqref="A1"/>
    </sheetView>
  </sheetViews>
  <sheetFormatPr baseColWidth="8" defaultRowHeight="15"/>
  <cols>
    <col width="14" customWidth="1" style="45" min="1" max="17"/>
  </cols>
  <sheetData>
    <row r="1" ht="30" customHeight="1" s="45">
      <c r="A1" s="6" t="inlineStr">
        <is>
          <t>Engine Row</t>
        </is>
      </c>
      <c r="B1" s="6" t="inlineStr">
        <is>
          <t>Slot</t>
        </is>
      </c>
      <c r="C1" s="6" t="inlineStr">
        <is>
          <t>Name</t>
        </is>
      </c>
      <c r="D1" s="6" t="inlineStr">
        <is>
          <t>Language</t>
        </is>
      </c>
      <c r="E1" s="6" t="inlineStr">
        <is>
          <t>Day Index</t>
        </is>
      </c>
      <c r="F1" s="6" t="inlineStr">
        <is>
          <t>Day</t>
        </is>
      </c>
      <c r="G1" s="6" t="inlineStr">
        <is>
          <t>Date</t>
        </is>
      </c>
      <c r="H1" s="6" t="inlineStr">
        <is>
          <t>Shift</t>
        </is>
      </c>
      <c r="I1" s="6" t="inlineStr">
        <is>
          <t>Start Hour</t>
        </is>
      </c>
      <c r="J1" s="6" t="inlineStr">
        <is>
          <t>End Hour</t>
        </is>
      </c>
      <c r="K1" s="6" t="inlineStr">
        <is>
          <t>Duration</t>
        </is>
      </c>
      <c r="L1" s="6" t="inlineStr">
        <is>
          <t>Start Abs</t>
        </is>
      </c>
      <c r="M1" s="6" t="inlineStr">
        <is>
          <t>End Abs</t>
        </is>
      </c>
      <c r="N1" s="6" t="inlineStr">
        <is>
          <t>Is Work</t>
        </is>
      </c>
      <c r="O1" s="6" t="inlineStr">
        <is>
          <t>Is Leave</t>
        </is>
      </c>
      <c r="P1" s="6" t="inlineStr">
        <is>
          <t>Work Hours</t>
        </is>
      </c>
      <c r="Q1" s="6" t="inlineStr">
        <is>
          <t>Rest Gap From Previous</t>
        </is>
      </c>
    </row>
    <row r="2">
      <c r="A2" t="n">
        <v>1</v>
      </c>
      <c r="B2">
        <f>Schedule!$A$3</f>
        <v/>
      </c>
      <c r="C2">
        <f>Schedule!$D$3</f>
        <v/>
      </c>
      <c r="D2">
        <f>Schedule!$F$3</f>
        <v/>
      </c>
      <c r="E2" t="n">
        <v>0</v>
      </c>
      <c r="F2">
        <f>Schedule!$G$1</f>
        <v/>
      </c>
      <c r="G2">
        <f>Schedule!$G$2</f>
        <v/>
      </c>
      <c r="H2">
        <f>Schedule!$G$3</f>
        <v/>
      </c>
      <c r="I2">
        <f>IF($N2=1,VALUE(LEFT($H2,2)),"")</f>
        <v/>
      </c>
      <c r="J2">
        <f>IF($N2=1,VALUE(MID($H2,9,2)),"")</f>
        <v/>
      </c>
      <c r="K2">
        <f>IF($N2=1,MOD($J2-$I2,24),0)</f>
        <v/>
      </c>
      <c r="L2">
        <f>IF($N2=1,$E2*24+$I2,"")</f>
        <v/>
      </c>
      <c r="M2">
        <f>IF($N2=1,$L2+$K2,"")</f>
        <v/>
      </c>
      <c r="N2">
        <f>IF(ISNUMBER(SEARCH(" - ",$H2&amp;"")),1,0)</f>
        <v/>
      </c>
      <c r="O2">
        <f>IF(UPPER($H2&amp;"")="LEAVE",1,0)</f>
        <v/>
      </c>
      <c r="P2">
        <f>IF($N2=1,$K2,0)</f>
        <v/>
      </c>
      <c r="Q2">
        <f>IF($N2=0,"",IFERROR($L2-'Previous Engine'!$M$2,""))</f>
        <v/>
      </c>
    </row>
    <row r="3">
      <c r="A3" t="n">
        <v>2</v>
      </c>
      <c r="B3">
        <f>Schedule!$A$3</f>
        <v/>
      </c>
      <c r="C3">
        <f>Schedule!$D$3</f>
        <v/>
      </c>
      <c r="D3">
        <f>Schedule!$F$3</f>
        <v/>
      </c>
      <c r="E3" t="n">
        <v>1</v>
      </c>
      <c r="F3">
        <f>Schedule!$H$1</f>
        <v/>
      </c>
      <c r="G3">
        <f>Schedule!$H$2</f>
        <v/>
      </c>
      <c r="H3">
        <f>Schedule!$H$3</f>
        <v/>
      </c>
      <c r="I3">
        <f>IF($N3=1,VALUE(LEFT($H3,2)),"")</f>
        <v/>
      </c>
      <c r="J3">
        <f>IF($N3=1,VALUE(MID($H3,9,2)),"")</f>
        <v/>
      </c>
      <c r="K3">
        <f>IF($N3=1,MOD($J3-$I3,24),0)</f>
        <v/>
      </c>
      <c r="L3">
        <f>IF($N3=1,$E3*24+$I3,"")</f>
        <v/>
      </c>
      <c r="M3">
        <f>IF($N3=1,$L3+$K3,"")</f>
        <v/>
      </c>
      <c r="N3">
        <f>IF(ISNUMBER(SEARCH(" - ",$H3&amp;"")),1,0)</f>
        <v/>
      </c>
      <c r="O3">
        <f>IF(UPPER($H3&amp;"")="LEAVE",1,0)</f>
        <v/>
      </c>
      <c r="P3">
        <f>IF($N3=1,$K3,0)</f>
        <v/>
      </c>
      <c r="Q3">
        <f>IF($N3=0,"",IFERROR($L3-LOOKUP(2,1/(($B$2:$B2=$B3)*($N$2:$N2=1)),$M$2:$M2),""))</f>
        <v/>
      </c>
    </row>
    <row r="4">
      <c r="A4" t="n">
        <v>3</v>
      </c>
      <c r="B4">
        <f>Schedule!$A$3</f>
        <v/>
      </c>
      <c r="C4">
        <f>Schedule!$D$3</f>
        <v/>
      </c>
      <c r="D4">
        <f>Schedule!$F$3</f>
        <v/>
      </c>
      <c r="E4" t="n">
        <v>2</v>
      </c>
      <c r="F4">
        <f>Schedule!$I$1</f>
        <v/>
      </c>
      <c r="G4">
        <f>Schedule!$I$2</f>
        <v/>
      </c>
      <c r="H4">
        <f>Schedule!$I$3</f>
        <v/>
      </c>
      <c r="I4">
        <f>IF($N4=1,VALUE(LEFT($H4,2)),"")</f>
        <v/>
      </c>
      <c r="J4">
        <f>IF($N4=1,VALUE(MID($H4,9,2)),"")</f>
        <v/>
      </c>
      <c r="K4">
        <f>IF($N4=1,MOD($J4-$I4,24),0)</f>
        <v/>
      </c>
      <c r="L4">
        <f>IF($N4=1,$E4*24+$I4,"")</f>
        <v/>
      </c>
      <c r="M4">
        <f>IF($N4=1,$L4+$K4,"")</f>
        <v/>
      </c>
      <c r="N4">
        <f>IF(ISNUMBER(SEARCH(" - ",$H4&amp;"")),1,0)</f>
        <v/>
      </c>
      <c r="O4">
        <f>IF(UPPER($H4&amp;"")="LEAVE",1,0)</f>
        <v/>
      </c>
      <c r="P4">
        <f>IF($N4=1,$K4,0)</f>
        <v/>
      </c>
      <c r="Q4">
        <f>IF($N4=0,"",IFERROR($L4-LOOKUP(2,1/(($B$2:$B3=$B4)*($N$2:$N3=1)),$M$2:$M3),""))</f>
        <v/>
      </c>
    </row>
    <row r="5">
      <c r="A5" t="n">
        <v>4</v>
      </c>
      <c r="B5">
        <f>Schedule!$A$3</f>
        <v/>
      </c>
      <c r="C5">
        <f>Schedule!$D$3</f>
        <v/>
      </c>
      <c r="D5">
        <f>Schedule!$F$3</f>
        <v/>
      </c>
      <c r="E5" t="n">
        <v>3</v>
      </c>
      <c r="F5">
        <f>Schedule!$J$1</f>
        <v/>
      </c>
      <c r="G5">
        <f>Schedule!$J$2</f>
        <v/>
      </c>
      <c r="H5">
        <f>Schedule!$J$3</f>
        <v/>
      </c>
      <c r="I5">
        <f>IF($N5=1,VALUE(LEFT($H5,2)),"")</f>
        <v/>
      </c>
      <c r="J5">
        <f>IF($N5=1,VALUE(MID($H5,9,2)),"")</f>
        <v/>
      </c>
      <c r="K5">
        <f>IF($N5=1,MOD($J5-$I5,24),0)</f>
        <v/>
      </c>
      <c r="L5">
        <f>IF($N5=1,$E5*24+$I5,"")</f>
        <v/>
      </c>
      <c r="M5">
        <f>IF($N5=1,$L5+$K5,"")</f>
        <v/>
      </c>
      <c r="N5">
        <f>IF(ISNUMBER(SEARCH(" - ",$H5&amp;"")),1,0)</f>
        <v/>
      </c>
      <c r="O5">
        <f>IF(UPPER($H5&amp;"")="LEAVE",1,0)</f>
        <v/>
      </c>
      <c r="P5">
        <f>IF($N5=1,$K5,0)</f>
        <v/>
      </c>
      <c r="Q5">
        <f>IF($N5=0,"",IFERROR($L5-LOOKUP(2,1/(($B$2:$B4=$B5)*($N$2:$N4=1)),$M$2:$M4),""))</f>
        <v/>
      </c>
    </row>
    <row r="6">
      <c r="A6" t="n">
        <v>5</v>
      </c>
      <c r="B6">
        <f>Schedule!$A$3</f>
        <v/>
      </c>
      <c r="C6">
        <f>Schedule!$D$3</f>
        <v/>
      </c>
      <c r="D6">
        <f>Schedule!$F$3</f>
        <v/>
      </c>
      <c r="E6" t="n">
        <v>4</v>
      </c>
      <c r="F6">
        <f>Schedule!$K$1</f>
        <v/>
      </c>
      <c r="G6">
        <f>Schedule!$K$2</f>
        <v/>
      </c>
      <c r="H6">
        <f>Schedule!$K$3</f>
        <v/>
      </c>
      <c r="I6">
        <f>IF($N6=1,VALUE(LEFT($H6,2)),"")</f>
        <v/>
      </c>
      <c r="J6">
        <f>IF($N6=1,VALUE(MID($H6,9,2)),"")</f>
        <v/>
      </c>
      <c r="K6">
        <f>IF($N6=1,MOD($J6-$I6,24),0)</f>
        <v/>
      </c>
      <c r="L6">
        <f>IF($N6=1,$E6*24+$I6,"")</f>
        <v/>
      </c>
      <c r="M6">
        <f>IF($N6=1,$L6+$K6,"")</f>
        <v/>
      </c>
      <c r="N6">
        <f>IF(ISNUMBER(SEARCH(" - ",$H6&amp;"")),1,0)</f>
        <v/>
      </c>
      <c r="O6">
        <f>IF(UPPER($H6&amp;"")="LEAVE",1,0)</f>
        <v/>
      </c>
      <c r="P6">
        <f>IF($N6=1,$K6,0)</f>
        <v/>
      </c>
      <c r="Q6">
        <f>IF($N6=0,"",IFERROR($L6-LOOKUP(2,1/(($B$2:$B5=$B6)*($N$2:$N5=1)),$M$2:$M5),""))</f>
        <v/>
      </c>
    </row>
    <row r="7">
      <c r="A7" t="n">
        <v>6</v>
      </c>
      <c r="B7">
        <f>Schedule!$A$3</f>
        <v/>
      </c>
      <c r="C7">
        <f>Schedule!$D$3</f>
        <v/>
      </c>
      <c r="D7">
        <f>Schedule!$F$3</f>
        <v/>
      </c>
      <c r="E7" t="n">
        <v>5</v>
      </c>
      <c r="F7">
        <f>Schedule!$L$1</f>
        <v/>
      </c>
      <c r="G7">
        <f>Schedule!$L$2</f>
        <v/>
      </c>
      <c r="H7">
        <f>Schedule!$L$3</f>
        <v/>
      </c>
      <c r="I7">
        <f>IF($N7=1,VALUE(LEFT($H7,2)),"")</f>
        <v/>
      </c>
      <c r="J7">
        <f>IF($N7=1,VALUE(MID($H7,9,2)),"")</f>
        <v/>
      </c>
      <c r="K7">
        <f>IF($N7=1,MOD($J7-$I7,24),0)</f>
        <v/>
      </c>
      <c r="L7">
        <f>IF($N7=1,$E7*24+$I7,"")</f>
        <v/>
      </c>
      <c r="M7">
        <f>IF($N7=1,$L7+$K7,"")</f>
        <v/>
      </c>
      <c r="N7">
        <f>IF(ISNUMBER(SEARCH(" - ",$H7&amp;"")),1,0)</f>
        <v/>
      </c>
      <c r="O7">
        <f>IF(UPPER($H7&amp;"")="LEAVE",1,0)</f>
        <v/>
      </c>
      <c r="P7">
        <f>IF($N7=1,$K7,0)</f>
        <v/>
      </c>
      <c r="Q7">
        <f>IF($N7=0,"",IFERROR($L7-LOOKUP(2,1/(($B$2:$B6=$B7)*($N$2:$N6=1)),$M$2:$M6),""))</f>
        <v/>
      </c>
    </row>
    <row r="8">
      <c r="A8" t="n">
        <v>7</v>
      </c>
      <c r="B8">
        <f>Schedule!$A$3</f>
        <v/>
      </c>
      <c r="C8">
        <f>Schedule!$D$3</f>
        <v/>
      </c>
      <c r="D8">
        <f>Schedule!$F$3</f>
        <v/>
      </c>
      <c r="E8" t="n">
        <v>6</v>
      </c>
      <c r="F8">
        <f>Schedule!$M$1</f>
        <v/>
      </c>
      <c r="G8">
        <f>Schedule!$M$2</f>
        <v/>
      </c>
      <c r="H8">
        <f>Schedule!$M$3</f>
        <v/>
      </c>
      <c r="I8">
        <f>IF($N8=1,VALUE(LEFT($H8,2)),"")</f>
        <v/>
      </c>
      <c r="J8">
        <f>IF($N8=1,VALUE(MID($H8,9,2)),"")</f>
        <v/>
      </c>
      <c r="K8">
        <f>IF($N8=1,MOD($J8-$I8,24),0)</f>
        <v/>
      </c>
      <c r="L8">
        <f>IF($N8=1,$E8*24+$I8,"")</f>
        <v/>
      </c>
      <c r="M8">
        <f>IF($N8=1,$L8+$K8,"")</f>
        <v/>
      </c>
      <c r="N8">
        <f>IF(ISNUMBER(SEARCH(" - ",$H8&amp;"")),1,0)</f>
        <v/>
      </c>
      <c r="O8">
        <f>IF(UPPER($H8&amp;"")="LEAVE",1,0)</f>
        <v/>
      </c>
      <c r="P8">
        <f>IF($N8=1,$K8,0)</f>
        <v/>
      </c>
      <c r="Q8">
        <f>IF($N8=0,"",IFERROR($L8-LOOKUP(2,1/(($B$2:$B7=$B8)*($N$2:$N7=1)),$M$2:$M7),""))</f>
        <v/>
      </c>
    </row>
    <row r="9">
      <c r="A9" t="n">
        <v>8</v>
      </c>
      <c r="B9">
        <f>Schedule!$A$4</f>
        <v/>
      </c>
      <c r="C9">
        <f>Schedule!$D$4</f>
        <v/>
      </c>
      <c r="D9">
        <f>Schedule!$F$4</f>
        <v/>
      </c>
      <c r="E9" t="n">
        <v>0</v>
      </c>
      <c r="F9">
        <f>Schedule!$G$1</f>
        <v/>
      </c>
      <c r="G9">
        <f>Schedule!$G$2</f>
        <v/>
      </c>
      <c r="H9">
        <f>Schedule!$G$4</f>
        <v/>
      </c>
      <c r="I9">
        <f>IF($N9=1,VALUE(LEFT($H9,2)),"")</f>
        <v/>
      </c>
      <c r="J9">
        <f>IF($N9=1,VALUE(MID($H9,9,2)),"")</f>
        <v/>
      </c>
      <c r="K9">
        <f>IF($N9=1,MOD($J9-$I9,24),0)</f>
        <v/>
      </c>
      <c r="L9">
        <f>IF($N9=1,$E9*24+$I9,"")</f>
        <v/>
      </c>
      <c r="M9">
        <f>IF($N9=1,$L9+$K9,"")</f>
        <v/>
      </c>
      <c r="N9">
        <f>IF(ISNUMBER(SEARCH(" - ",$H9&amp;"")),1,0)</f>
        <v/>
      </c>
      <c r="O9">
        <f>IF(UPPER($H9&amp;"")="LEAVE",1,0)</f>
        <v/>
      </c>
      <c r="P9">
        <f>IF($N9=1,$K9,0)</f>
        <v/>
      </c>
      <c r="Q9">
        <f>IF($N9=0,"",IFERROR($L9-'Previous Engine'!$M$3,""))</f>
        <v/>
      </c>
    </row>
    <row r="10">
      <c r="A10" t="n">
        <v>9</v>
      </c>
      <c r="B10">
        <f>Schedule!$A$4</f>
        <v/>
      </c>
      <c r="C10">
        <f>Schedule!$D$4</f>
        <v/>
      </c>
      <c r="D10">
        <f>Schedule!$F$4</f>
        <v/>
      </c>
      <c r="E10" t="n">
        <v>1</v>
      </c>
      <c r="F10">
        <f>Schedule!$H$1</f>
        <v/>
      </c>
      <c r="G10">
        <f>Schedule!$H$2</f>
        <v/>
      </c>
      <c r="H10">
        <f>Schedule!$H$4</f>
        <v/>
      </c>
      <c r="I10">
        <f>IF($N10=1,VALUE(LEFT($H10,2)),"")</f>
        <v/>
      </c>
      <c r="J10">
        <f>IF($N10=1,VALUE(MID($H10,9,2)),"")</f>
        <v/>
      </c>
      <c r="K10">
        <f>IF($N10=1,MOD($J10-$I10,24),0)</f>
        <v/>
      </c>
      <c r="L10">
        <f>IF($N10=1,$E10*24+$I10,"")</f>
        <v/>
      </c>
      <c r="M10">
        <f>IF($N10=1,$L10+$K10,"")</f>
        <v/>
      </c>
      <c r="N10">
        <f>IF(ISNUMBER(SEARCH(" - ",$H10&amp;"")),1,0)</f>
        <v/>
      </c>
      <c r="O10">
        <f>IF(UPPER($H10&amp;"")="LEAVE",1,0)</f>
        <v/>
      </c>
      <c r="P10">
        <f>IF($N10=1,$K10,0)</f>
        <v/>
      </c>
      <c r="Q10">
        <f>IF($N10=0,"",IFERROR($L10-LOOKUP(2,1/(($B$2:$B9=$B10)*($N$2:$N9=1)),$M$2:$M9),""))</f>
        <v/>
      </c>
    </row>
    <row r="11">
      <c r="A11" t="n">
        <v>10</v>
      </c>
      <c r="B11">
        <f>Schedule!$A$4</f>
        <v/>
      </c>
      <c r="C11">
        <f>Schedule!$D$4</f>
        <v/>
      </c>
      <c r="D11">
        <f>Schedule!$F$4</f>
        <v/>
      </c>
      <c r="E11" t="n">
        <v>2</v>
      </c>
      <c r="F11">
        <f>Schedule!$I$1</f>
        <v/>
      </c>
      <c r="G11">
        <f>Schedule!$I$2</f>
        <v/>
      </c>
      <c r="H11">
        <f>Schedule!$I$4</f>
        <v/>
      </c>
      <c r="I11">
        <f>IF($N11=1,VALUE(LEFT($H11,2)),"")</f>
        <v/>
      </c>
      <c r="J11">
        <f>IF($N11=1,VALUE(MID($H11,9,2)),"")</f>
        <v/>
      </c>
      <c r="K11">
        <f>IF($N11=1,MOD($J11-$I11,24),0)</f>
        <v/>
      </c>
      <c r="L11">
        <f>IF($N11=1,$E11*24+$I11,"")</f>
        <v/>
      </c>
      <c r="M11">
        <f>IF($N11=1,$L11+$K11,"")</f>
        <v/>
      </c>
      <c r="N11">
        <f>IF(ISNUMBER(SEARCH(" - ",$H11&amp;"")),1,0)</f>
        <v/>
      </c>
      <c r="O11">
        <f>IF(UPPER($H11&amp;"")="LEAVE",1,0)</f>
        <v/>
      </c>
      <c r="P11">
        <f>IF($N11=1,$K11,0)</f>
        <v/>
      </c>
      <c r="Q11">
        <f>IF($N11=0,"",IFERROR($L11-LOOKUP(2,1/(($B$2:$B10=$B11)*($N$2:$N10=1)),$M$2:$M10),""))</f>
        <v/>
      </c>
    </row>
    <row r="12">
      <c r="A12" t="n">
        <v>11</v>
      </c>
      <c r="B12">
        <f>Schedule!$A$4</f>
        <v/>
      </c>
      <c r="C12">
        <f>Schedule!$D$4</f>
        <v/>
      </c>
      <c r="D12">
        <f>Schedule!$F$4</f>
        <v/>
      </c>
      <c r="E12" t="n">
        <v>3</v>
      </c>
      <c r="F12">
        <f>Schedule!$J$1</f>
        <v/>
      </c>
      <c r="G12">
        <f>Schedule!$J$2</f>
        <v/>
      </c>
      <c r="H12">
        <f>Schedule!$J$4</f>
        <v/>
      </c>
      <c r="I12">
        <f>IF($N12=1,VALUE(LEFT($H12,2)),"")</f>
        <v/>
      </c>
      <c r="J12">
        <f>IF($N12=1,VALUE(MID($H12,9,2)),"")</f>
        <v/>
      </c>
      <c r="K12">
        <f>IF($N12=1,MOD($J12-$I12,24),0)</f>
        <v/>
      </c>
      <c r="L12">
        <f>IF($N12=1,$E12*24+$I12,"")</f>
        <v/>
      </c>
      <c r="M12">
        <f>IF($N12=1,$L12+$K12,"")</f>
        <v/>
      </c>
      <c r="N12">
        <f>IF(ISNUMBER(SEARCH(" - ",$H12&amp;"")),1,0)</f>
        <v/>
      </c>
      <c r="O12">
        <f>IF(UPPER($H12&amp;"")="LEAVE",1,0)</f>
        <v/>
      </c>
      <c r="P12">
        <f>IF($N12=1,$K12,0)</f>
        <v/>
      </c>
      <c r="Q12">
        <f>IF($N12=0,"",IFERROR($L12-LOOKUP(2,1/(($B$2:$B11=$B12)*($N$2:$N11=1)),$M$2:$M11),""))</f>
        <v/>
      </c>
    </row>
    <row r="13">
      <c r="A13" t="n">
        <v>12</v>
      </c>
      <c r="B13">
        <f>Schedule!$A$4</f>
        <v/>
      </c>
      <c r="C13">
        <f>Schedule!$D$4</f>
        <v/>
      </c>
      <c r="D13">
        <f>Schedule!$F$4</f>
        <v/>
      </c>
      <c r="E13" t="n">
        <v>4</v>
      </c>
      <c r="F13">
        <f>Schedule!$K$1</f>
        <v/>
      </c>
      <c r="G13">
        <f>Schedule!$K$2</f>
        <v/>
      </c>
      <c r="H13">
        <f>Schedule!$K$4</f>
        <v/>
      </c>
      <c r="I13">
        <f>IF($N13=1,VALUE(LEFT($H13,2)),"")</f>
        <v/>
      </c>
      <c r="J13">
        <f>IF($N13=1,VALUE(MID($H13,9,2)),"")</f>
        <v/>
      </c>
      <c r="K13">
        <f>IF($N13=1,MOD($J13-$I13,24),0)</f>
        <v/>
      </c>
      <c r="L13">
        <f>IF($N13=1,$E13*24+$I13,"")</f>
        <v/>
      </c>
      <c r="M13">
        <f>IF($N13=1,$L13+$K13,"")</f>
        <v/>
      </c>
      <c r="N13">
        <f>IF(ISNUMBER(SEARCH(" - ",$H13&amp;"")),1,0)</f>
        <v/>
      </c>
      <c r="O13">
        <f>IF(UPPER($H13&amp;"")="LEAVE",1,0)</f>
        <v/>
      </c>
      <c r="P13">
        <f>IF($N13=1,$K13,0)</f>
        <v/>
      </c>
      <c r="Q13">
        <f>IF($N13=0,"",IFERROR($L13-LOOKUP(2,1/(($B$2:$B12=$B13)*($N$2:$N12=1)),$M$2:$M12),""))</f>
        <v/>
      </c>
    </row>
    <row r="14">
      <c r="A14" t="n">
        <v>13</v>
      </c>
      <c r="B14">
        <f>Schedule!$A$4</f>
        <v/>
      </c>
      <c r="C14">
        <f>Schedule!$D$4</f>
        <v/>
      </c>
      <c r="D14">
        <f>Schedule!$F$4</f>
        <v/>
      </c>
      <c r="E14" t="n">
        <v>5</v>
      </c>
      <c r="F14">
        <f>Schedule!$L$1</f>
        <v/>
      </c>
      <c r="G14">
        <f>Schedule!$L$2</f>
        <v/>
      </c>
      <c r="H14">
        <f>Schedule!$L$4</f>
        <v/>
      </c>
      <c r="I14">
        <f>IF($N14=1,VALUE(LEFT($H14,2)),"")</f>
        <v/>
      </c>
      <c r="J14">
        <f>IF($N14=1,VALUE(MID($H14,9,2)),"")</f>
        <v/>
      </c>
      <c r="K14">
        <f>IF($N14=1,MOD($J14-$I14,24),0)</f>
        <v/>
      </c>
      <c r="L14">
        <f>IF($N14=1,$E14*24+$I14,"")</f>
        <v/>
      </c>
      <c r="M14">
        <f>IF($N14=1,$L14+$K14,"")</f>
        <v/>
      </c>
      <c r="N14">
        <f>IF(ISNUMBER(SEARCH(" - ",$H14&amp;"")),1,0)</f>
        <v/>
      </c>
      <c r="O14">
        <f>IF(UPPER($H14&amp;"")="LEAVE",1,0)</f>
        <v/>
      </c>
      <c r="P14">
        <f>IF($N14=1,$K14,0)</f>
        <v/>
      </c>
      <c r="Q14">
        <f>IF($N14=0,"",IFERROR($L14-LOOKUP(2,1/(($B$2:$B13=$B14)*($N$2:$N13=1)),$M$2:$M13),""))</f>
        <v/>
      </c>
    </row>
    <row r="15">
      <c r="A15" t="n">
        <v>14</v>
      </c>
      <c r="B15">
        <f>Schedule!$A$4</f>
        <v/>
      </c>
      <c r="C15">
        <f>Schedule!$D$4</f>
        <v/>
      </c>
      <c r="D15">
        <f>Schedule!$F$4</f>
        <v/>
      </c>
      <c r="E15" t="n">
        <v>6</v>
      </c>
      <c r="F15">
        <f>Schedule!$M$1</f>
        <v/>
      </c>
      <c r="G15">
        <f>Schedule!$M$2</f>
        <v/>
      </c>
      <c r="H15">
        <f>Schedule!$M$4</f>
        <v/>
      </c>
      <c r="I15">
        <f>IF($N15=1,VALUE(LEFT($H15,2)),"")</f>
        <v/>
      </c>
      <c r="J15">
        <f>IF($N15=1,VALUE(MID($H15,9,2)),"")</f>
        <v/>
      </c>
      <c r="K15">
        <f>IF($N15=1,MOD($J15-$I15,24),0)</f>
        <v/>
      </c>
      <c r="L15">
        <f>IF($N15=1,$E15*24+$I15,"")</f>
        <v/>
      </c>
      <c r="M15">
        <f>IF($N15=1,$L15+$K15,"")</f>
        <v/>
      </c>
      <c r="N15">
        <f>IF(ISNUMBER(SEARCH(" - ",$H15&amp;"")),1,0)</f>
        <v/>
      </c>
      <c r="O15">
        <f>IF(UPPER($H15&amp;"")="LEAVE",1,0)</f>
        <v/>
      </c>
      <c r="P15">
        <f>IF($N15=1,$K15,0)</f>
        <v/>
      </c>
      <c r="Q15">
        <f>IF($N15=0,"",IFERROR($L15-LOOKUP(2,1/(($B$2:$B14=$B15)*($N$2:$N14=1)),$M$2:$M14),""))</f>
        <v/>
      </c>
    </row>
    <row r="16">
      <c r="A16" t="n">
        <v>15</v>
      </c>
      <c r="B16">
        <f>Schedule!$A$5</f>
        <v/>
      </c>
      <c r="C16">
        <f>Schedule!$D$5</f>
        <v/>
      </c>
      <c r="D16">
        <f>Schedule!$F$5</f>
        <v/>
      </c>
      <c r="E16" t="n">
        <v>0</v>
      </c>
      <c r="F16">
        <f>Schedule!$G$1</f>
        <v/>
      </c>
      <c r="G16">
        <f>Schedule!$G$2</f>
        <v/>
      </c>
      <c r="H16">
        <f>Schedule!$G$5</f>
        <v/>
      </c>
      <c r="I16">
        <f>IF($N16=1,VALUE(LEFT($H16,2)),"")</f>
        <v/>
      </c>
      <c r="J16">
        <f>IF($N16=1,VALUE(MID($H16,9,2)),"")</f>
        <v/>
      </c>
      <c r="K16">
        <f>IF($N16=1,MOD($J16-$I16,24),0)</f>
        <v/>
      </c>
      <c r="L16">
        <f>IF($N16=1,$E16*24+$I16,"")</f>
        <v/>
      </c>
      <c r="M16">
        <f>IF($N16=1,$L16+$K16,"")</f>
        <v/>
      </c>
      <c r="N16">
        <f>IF(ISNUMBER(SEARCH(" - ",$H16&amp;"")),1,0)</f>
        <v/>
      </c>
      <c r="O16">
        <f>IF(UPPER($H16&amp;"")="LEAVE",1,0)</f>
        <v/>
      </c>
      <c r="P16">
        <f>IF($N16=1,$K16,0)</f>
        <v/>
      </c>
      <c r="Q16">
        <f>IF($N16=0,"",IFERROR($L16-'Previous Engine'!$M$4,""))</f>
        <v/>
      </c>
    </row>
    <row r="17">
      <c r="A17" t="n">
        <v>16</v>
      </c>
      <c r="B17">
        <f>Schedule!$A$5</f>
        <v/>
      </c>
      <c r="C17">
        <f>Schedule!$D$5</f>
        <v/>
      </c>
      <c r="D17">
        <f>Schedule!$F$5</f>
        <v/>
      </c>
      <c r="E17" t="n">
        <v>1</v>
      </c>
      <c r="F17">
        <f>Schedule!$H$1</f>
        <v/>
      </c>
      <c r="G17">
        <f>Schedule!$H$2</f>
        <v/>
      </c>
      <c r="H17">
        <f>Schedule!$H$5</f>
        <v/>
      </c>
      <c r="I17">
        <f>IF($N17=1,VALUE(LEFT($H17,2)),"")</f>
        <v/>
      </c>
      <c r="J17">
        <f>IF($N17=1,VALUE(MID($H17,9,2)),"")</f>
        <v/>
      </c>
      <c r="K17">
        <f>IF($N17=1,MOD($J17-$I17,24),0)</f>
        <v/>
      </c>
      <c r="L17">
        <f>IF($N17=1,$E17*24+$I17,"")</f>
        <v/>
      </c>
      <c r="M17">
        <f>IF($N17=1,$L17+$K17,"")</f>
        <v/>
      </c>
      <c r="N17">
        <f>IF(ISNUMBER(SEARCH(" - ",$H17&amp;"")),1,0)</f>
        <v/>
      </c>
      <c r="O17">
        <f>IF(UPPER($H17&amp;"")="LEAVE",1,0)</f>
        <v/>
      </c>
      <c r="P17">
        <f>IF($N17=1,$K17,0)</f>
        <v/>
      </c>
      <c r="Q17">
        <f>IF($N17=0,"",IFERROR($L17-LOOKUP(2,1/(($B$2:$B16=$B17)*($N$2:$N16=1)),$M$2:$M16),""))</f>
        <v/>
      </c>
    </row>
    <row r="18">
      <c r="A18" t="n">
        <v>17</v>
      </c>
      <c r="B18">
        <f>Schedule!$A$5</f>
        <v/>
      </c>
      <c r="C18">
        <f>Schedule!$D$5</f>
        <v/>
      </c>
      <c r="D18">
        <f>Schedule!$F$5</f>
        <v/>
      </c>
      <c r="E18" t="n">
        <v>2</v>
      </c>
      <c r="F18">
        <f>Schedule!$I$1</f>
        <v/>
      </c>
      <c r="G18">
        <f>Schedule!$I$2</f>
        <v/>
      </c>
      <c r="H18">
        <f>Schedule!$I$5</f>
        <v/>
      </c>
      <c r="I18">
        <f>IF($N18=1,VALUE(LEFT($H18,2)),"")</f>
        <v/>
      </c>
      <c r="J18">
        <f>IF($N18=1,VALUE(MID($H18,9,2)),"")</f>
        <v/>
      </c>
      <c r="K18">
        <f>IF($N18=1,MOD($J18-$I18,24),0)</f>
        <v/>
      </c>
      <c r="L18">
        <f>IF($N18=1,$E18*24+$I18,"")</f>
        <v/>
      </c>
      <c r="M18">
        <f>IF($N18=1,$L18+$K18,"")</f>
        <v/>
      </c>
      <c r="N18">
        <f>IF(ISNUMBER(SEARCH(" - ",$H18&amp;"")),1,0)</f>
        <v/>
      </c>
      <c r="O18">
        <f>IF(UPPER($H18&amp;"")="LEAVE",1,0)</f>
        <v/>
      </c>
      <c r="P18">
        <f>IF($N18=1,$K18,0)</f>
        <v/>
      </c>
      <c r="Q18">
        <f>IF($N18=0,"",IFERROR($L18-LOOKUP(2,1/(($B$2:$B17=$B18)*($N$2:$N17=1)),$M$2:$M17),""))</f>
        <v/>
      </c>
    </row>
    <row r="19">
      <c r="A19" t="n">
        <v>18</v>
      </c>
      <c r="B19">
        <f>Schedule!$A$5</f>
        <v/>
      </c>
      <c r="C19">
        <f>Schedule!$D$5</f>
        <v/>
      </c>
      <c r="D19">
        <f>Schedule!$F$5</f>
        <v/>
      </c>
      <c r="E19" t="n">
        <v>3</v>
      </c>
      <c r="F19">
        <f>Schedule!$J$1</f>
        <v/>
      </c>
      <c r="G19">
        <f>Schedule!$J$2</f>
        <v/>
      </c>
      <c r="H19">
        <f>Schedule!$J$5</f>
        <v/>
      </c>
      <c r="I19">
        <f>IF($N19=1,VALUE(LEFT($H19,2)),"")</f>
        <v/>
      </c>
      <c r="J19">
        <f>IF($N19=1,VALUE(MID($H19,9,2)),"")</f>
        <v/>
      </c>
      <c r="K19">
        <f>IF($N19=1,MOD($J19-$I19,24),0)</f>
        <v/>
      </c>
      <c r="L19">
        <f>IF($N19=1,$E19*24+$I19,"")</f>
        <v/>
      </c>
      <c r="M19">
        <f>IF($N19=1,$L19+$K19,"")</f>
        <v/>
      </c>
      <c r="N19">
        <f>IF(ISNUMBER(SEARCH(" - ",$H19&amp;"")),1,0)</f>
        <v/>
      </c>
      <c r="O19">
        <f>IF(UPPER($H19&amp;"")="LEAVE",1,0)</f>
        <v/>
      </c>
      <c r="P19">
        <f>IF($N19=1,$K19,0)</f>
        <v/>
      </c>
      <c r="Q19">
        <f>IF($N19=0,"",IFERROR($L19-LOOKUP(2,1/(($B$2:$B18=$B19)*($N$2:$N18=1)),$M$2:$M18),""))</f>
        <v/>
      </c>
    </row>
    <row r="20">
      <c r="A20" t="n">
        <v>19</v>
      </c>
      <c r="B20">
        <f>Schedule!$A$5</f>
        <v/>
      </c>
      <c r="C20">
        <f>Schedule!$D$5</f>
        <v/>
      </c>
      <c r="D20">
        <f>Schedule!$F$5</f>
        <v/>
      </c>
      <c r="E20" t="n">
        <v>4</v>
      </c>
      <c r="F20">
        <f>Schedule!$K$1</f>
        <v/>
      </c>
      <c r="G20">
        <f>Schedule!$K$2</f>
        <v/>
      </c>
      <c r="H20">
        <f>Schedule!$K$5</f>
        <v/>
      </c>
      <c r="I20">
        <f>IF($N20=1,VALUE(LEFT($H20,2)),"")</f>
        <v/>
      </c>
      <c r="J20">
        <f>IF($N20=1,VALUE(MID($H20,9,2)),"")</f>
        <v/>
      </c>
      <c r="K20">
        <f>IF($N20=1,MOD($J20-$I20,24),0)</f>
        <v/>
      </c>
      <c r="L20">
        <f>IF($N20=1,$E20*24+$I20,"")</f>
        <v/>
      </c>
      <c r="M20">
        <f>IF($N20=1,$L20+$K20,"")</f>
        <v/>
      </c>
      <c r="N20">
        <f>IF(ISNUMBER(SEARCH(" - ",$H20&amp;"")),1,0)</f>
        <v/>
      </c>
      <c r="O20">
        <f>IF(UPPER($H20&amp;"")="LEAVE",1,0)</f>
        <v/>
      </c>
      <c r="P20">
        <f>IF($N20=1,$K20,0)</f>
        <v/>
      </c>
      <c r="Q20">
        <f>IF($N20=0,"",IFERROR($L20-LOOKUP(2,1/(($B$2:$B19=$B20)*($N$2:$N19=1)),$M$2:$M19),""))</f>
        <v/>
      </c>
    </row>
    <row r="21">
      <c r="A21" t="n">
        <v>20</v>
      </c>
      <c r="B21">
        <f>Schedule!$A$5</f>
        <v/>
      </c>
      <c r="C21">
        <f>Schedule!$D$5</f>
        <v/>
      </c>
      <c r="D21">
        <f>Schedule!$F$5</f>
        <v/>
      </c>
      <c r="E21" t="n">
        <v>5</v>
      </c>
      <c r="F21">
        <f>Schedule!$L$1</f>
        <v/>
      </c>
      <c r="G21">
        <f>Schedule!$L$2</f>
        <v/>
      </c>
      <c r="H21">
        <f>Schedule!$L$5</f>
        <v/>
      </c>
      <c r="I21">
        <f>IF($N21=1,VALUE(LEFT($H21,2)),"")</f>
        <v/>
      </c>
      <c r="J21">
        <f>IF($N21=1,VALUE(MID($H21,9,2)),"")</f>
        <v/>
      </c>
      <c r="K21">
        <f>IF($N21=1,MOD($J21-$I21,24),0)</f>
        <v/>
      </c>
      <c r="L21">
        <f>IF($N21=1,$E21*24+$I21,"")</f>
        <v/>
      </c>
      <c r="M21">
        <f>IF($N21=1,$L21+$K21,"")</f>
        <v/>
      </c>
      <c r="N21">
        <f>IF(ISNUMBER(SEARCH(" - ",$H21&amp;"")),1,0)</f>
        <v/>
      </c>
      <c r="O21">
        <f>IF(UPPER($H21&amp;"")="LEAVE",1,0)</f>
        <v/>
      </c>
      <c r="P21">
        <f>IF($N21=1,$K21,0)</f>
        <v/>
      </c>
      <c r="Q21">
        <f>IF($N21=0,"",IFERROR($L21-LOOKUP(2,1/(($B$2:$B20=$B21)*($N$2:$N20=1)),$M$2:$M20),""))</f>
        <v/>
      </c>
    </row>
    <row r="22">
      <c r="A22" t="n">
        <v>21</v>
      </c>
      <c r="B22">
        <f>Schedule!$A$5</f>
        <v/>
      </c>
      <c r="C22">
        <f>Schedule!$D$5</f>
        <v/>
      </c>
      <c r="D22">
        <f>Schedule!$F$5</f>
        <v/>
      </c>
      <c r="E22" t="n">
        <v>6</v>
      </c>
      <c r="F22">
        <f>Schedule!$M$1</f>
        <v/>
      </c>
      <c r="G22">
        <f>Schedule!$M$2</f>
        <v/>
      </c>
      <c r="H22">
        <f>Schedule!$M$5</f>
        <v/>
      </c>
      <c r="I22">
        <f>IF($N22=1,VALUE(LEFT($H22,2)),"")</f>
        <v/>
      </c>
      <c r="J22">
        <f>IF($N22=1,VALUE(MID($H22,9,2)),"")</f>
        <v/>
      </c>
      <c r="K22">
        <f>IF($N22=1,MOD($J22-$I22,24),0)</f>
        <v/>
      </c>
      <c r="L22">
        <f>IF($N22=1,$E22*24+$I22,"")</f>
        <v/>
      </c>
      <c r="M22">
        <f>IF($N22=1,$L22+$K22,"")</f>
        <v/>
      </c>
      <c r="N22">
        <f>IF(ISNUMBER(SEARCH(" - ",$H22&amp;"")),1,0)</f>
        <v/>
      </c>
      <c r="O22">
        <f>IF(UPPER($H22&amp;"")="LEAVE",1,0)</f>
        <v/>
      </c>
      <c r="P22">
        <f>IF($N22=1,$K22,0)</f>
        <v/>
      </c>
      <c r="Q22">
        <f>IF($N22=0,"",IFERROR($L22-LOOKUP(2,1/(($B$2:$B21=$B22)*($N$2:$N21=1)),$M$2:$M21),""))</f>
        <v/>
      </c>
    </row>
    <row r="23">
      <c r="A23" t="n">
        <v>22</v>
      </c>
      <c r="B23">
        <f>Schedule!$A$6</f>
        <v/>
      </c>
      <c r="C23">
        <f>Schedule!$D$6</f>
        <v/>
      </c>
      <c r="D23">
        <f>Schedule!$F$6</f>
        <v/>
      </c>
      <c r="E23" t="n">
        <v>0</v>
      </c>
      <c r="F23">
        <f>Schedule!$G$1</f>
        <v/>
      </c>
      <c r="G23">
        <f>Schedule!$G$2</f>
        <v/>
      </c>
      <c r="H23">
        <f>Schedule!$G$6</f>
        <v/>
      </c>
      <c r="I23">
        <f>IF($N23=1,VALUE(LEFT($H23,2)),"")</f>
        <v/>
      </c>
      <c r="J23">
        <f>IF($N23=1,VALUE(MID($H23,9,2)),"")</f>
        <v/>
      </c>
      <c r="K23">
        <f>IF($N23=1,MOD($J23-$I23,24),0)</f>
        <v/>
      </c>
      <c r="L23">
        <f>IF($N23=1,$E23*24+$I23,"")</f>
        <v/>
      </c>
      <c r="M23">
        <f>IF($N23=1,$L23+$K23,"")</f>
        <v/>
      </c>
      <c r="N23">
        <f>IF(ISNUMBER(SEARCH(" - ",$H23&amp;"")),1,0)</f>
        <v/>
      </c>
      <c r="O23">
        <f>IF(UPPER($H23&amp;"")="LEAVE",1,0)</f>
        <v/>
      </c>
      <c r="P23">
        <f>IF($N23=1,$K23,0)</f>
        <v/>
      </c>
      <c r="Q23">
        <f>IF($N23=0,"",IFERROR($L23-'Previous Engine'!$M$5,""))</f>
        <v/>
      </c>
    </row>
    <row r="24">
      <c r="A24" t="n">
        <v>23</v>
      </c>
      <c r="B24">
        <f>Schedule!$A$6</f>
        <v/>
      </c>
      <c r="C24">
        <f>Schedule!$D$6</f>
        <v/>
      </c>
      <c r="D24">
        <f>Schedule!$F$6</f>
        <v/>
      </c>
      <c r="E24" t="n">
        <v>1</v>
      </c>
      <c r="F24">
        <f>Schedule!$H$1</f>
        <v/>
      </c>
      <c r="G24">
        <f>Schedule!$H$2</f>
        <v/>
      </c>
      <c r="H24">
        <f>Schedule!$H$6</f>
        <v/>
      </c>
      <c r="I24">
        <f>IF($N24=1,VALUE(LEFT($H24,2)),"")</f>
        <v/>
      </c>
      <c r="J24">
        <f>IF($N24=1,VALUE(MID($H24,9,2)),"")</f>
        <v/>
      </c>
      <c r="K24">
        <f>IF($N24=1,MOD($J24-$I24,24),0)</f>
        <v/>
      </c>
      <c r="L24">
        <f>IF($N24=1,$E24*24+$I24,"")</f>
        <v/>
      </c>
      <c r="M24">
        <f>IF($N24=1,$L24+$K24,"")</f>
        <v/>
      </c>
      <c r="N24">
        <f>IF(ISNUMBER(SEARCH(" - ",$H24&amp;"")),1,0)</f>
        <v/>
      </c>
      <c r="O24">
        <f>IF(UPPER($H24&amp;"")="LEAVE",1,0)</f>
        <v/>
      </c>
      <c r="P24">
        <f>IF($N24=1,$K24,0)</f>
        <v/>
      </c>
      <c r="Q24">
        <f>IF($N24=0,"",IFERROR($L24-LOOKUP(2,1/(($B$2:$B23=$B24)*($N$2:$N23=1)),$M$2:$M23),""))</f>
        <v/>
      </c>
    </row>
    <row r="25">
      <c r="A25" t="n">
        <v>24</v>
      </c>
      <c r="B25">
        <f>Schedule!$A$6</f>
        <v/>
      </c>
      <c r="C25">
        <f>Schedule!$D$6</f>
        <v/>
      </c>
      <c r="D25">
        <f>Schedule!$F$6</f>
        <v/>
      </c>
      <c r="E25" t="n">
        <v>2</v>
      </c>
      <c r="F25">
        <f>Schedule!$I$1</f>
        <v/>
      </c>
      <c r="G25">
        <f>Schedule!$I$2</f>
        <v/>
      </c>
      <c r="H25">
        <f>Schedule!$I$6</f>
        <v/>
      </c>
      <c r="I25">
        <f>IF($N25=1,VALUE(LEFT($H25,2)),"")</f>
        <v/>
      </c>
      <c r="J25">
        <f>IF($N25=1,VALUE(MID($H25,9,2)),"")</f>
        <v/>
      </c>
      <c r="K25">
        <f>IF($N25=1,MOD($J25-$I25,24),0)</f>
        <v/>
      </c>
      <c r="L25">
        <f>IF($N25=1,$E25*24+$I25,"")</f>
        <v/>
      </c>
      <c r="M25">
        <f>IF($N25=1,$L25+$K25,"")</f>
        <v/>
      </c>
      <c r="N25">
        <f>IF(ISNUMBER(SEARCH(" - ",$H25&amp;"")),1,0)</f>
        <v/>
      </c>
      <c r="O25">
        <f>IF(UPPER($H25&amp;"")="LEAVE",1,0)</f>
        <v/>
      </c>
      <c r="P25">
        <f>IF($N25=1,$K25,0)</f>
        <v/>
      </c>
      <c r="Q25">
        <f>IF($N25=0,"",IFERROR($L25-LOOKUP(2,1/(($B$2:$B24=$B25)*($N$2:$N24=1)),$M$2:$M24),""))</f>
        <v/>
      </c>
    </row>
    <row r="26">
      <c r="A26" t="n">
        <v>25</v>
      </c>
      <c r="B26">
        <f>Schedule!$A$6</f>
        <v/>
      </c>
      <c r="C26">
        <f>Schedule!$D$6</f>
        <v/>
      </c>
      <c r="D26">
        <f>Schedule!$F$6</f>
        <v/>
      </c>
      <c r="E26" t="n">
        <v>3</v>
      </c>
      <c r="F26">
        <f>Schedule!$J$1</f>
        <v/>
      </c>
      <c r="G26">
        <f>Schedule!$J$2</f>
        <v/>
      </c>
      <c r="H26">
        <f>Schedule!$J$6</f>
        <v/>
      </c>
      <c r="I26">
        <f>IF($N26=1,VALUE(LEFT($H26,2)),"")</f>
        <v/>
      </c>
      <c r="J26">
        <f>IF($N26=1,VALUE(MID($H26,9,2)),"")</f>
        <v/>
      </c>
      <c r="K26">
        <f>IF($N26=1,MOD($J26-$I26,24),0)</f>
        <v/>
      </c>
      <c r="L26">
        <f>IF($N26=1,$E26*24+$I26,"")</f>
        <v/>
      </c>
      <c r="M26">
        <f>IF($N26=1,$L26+$K26,"")</f>
        <v/>
      </c>
      <c r="N26">
        <f>IF(ISNUMBER(SEARCH(" - ",$H26&amp;"")),1,0)</f>
        <v/>
      </c>
      <c r="O26">
        <f>IF(UPPER($H26&amp;"")="LEAVE",1,0)</f>
        <v/>
      </c>
      <c r="P26">
        <f>IF($N26=1,$K26,0)</f>
        <v/>
      </c>
      <c r="Q26">
        <f>IF($N26=0,"",IFERROR($L26-LOOKUP(2,1/(($B$2:$B25=$B26)*($N$2:$N25=1)),$M$2:$M25),""))</f>
        <v/>
      </c>
    </row>
    <row r="27">
      <c r="A27" t="n">
        <v>26</v>
      </c>
      <c r="B27">
        <f>Schedule!$A$6</f>
        <v/>
      </c>
      <c r="C27">
        <f>Schedule!$D$6</f>
        <v/>
      </c>
      <c r="D27">
        <f>Schedule!$F$6</f>
        <v/>
      </c>
      <c r="E27" t="n">
        <v>4</v>
      </c>
      <c r="F27">
        <f>Schedule!$K$1</f>
        <v/>
      </c>
      <c r="G27">
        <f>Schedule!$K$2</f>
        <v/>
      </c>
      <c r="H27">
        <f>Schedule!$K$6</f>
        <v/>
      </c>
      <c r="I27">
        <f>IF($N27=1,VALUE(LEFT($H27,2)),"")</f>
        <v/>
      </c>
      <c r="J27">
        <f>IF($N27=1,VALUE(MID($H27,9,2)),"")</f>
        <v/>
      </c>
      <c r="K27">
        <f>IF($N27=1,MOD($J27-$I27,24),0)</f>
        <v/>
      </c>
      <c r="L27">
        <f>IF($N27=1,$E27*24+$I27,"")</f>
        <v/>
      </c>
      <c r="M27">
        <f>IF($N27=1,$L27+$K27,"")</f>
        <v/>
      </c>
      <c r="N27">
        <f>IF(ISNUMBER(SEARCH(" - ",$H27&amp;"")),1,0)</f>
        <v/>
      </c>
      <c r="O27">
        <f>IF(UPPER($H27&amp;"")="LEAVE",1,0)</f>
        <v/>
      </c>
      <c r="P27">
        <f>IF($N27=1,$K27,0)</f>
        <v/>
      </c>
      <c r="Q27">
        <f>IF($N27=0,"",IFERROR($L27-LOOKUP(2,1/(($B$2:$B26=$B27)*($N$2:$N26=1)),$M$2:$M26),""))</f>
        <v/>
      </c>
    </row>
    <row r="28">
      <c r="A28" t="n">
        <v>27</v>
      </c>
      <c r="B28">
        <f>Schedule!$A$6</f>
        <v/>
      </c>
      <c r="C28">
        <f>Schedule!$D$6</f>
        <v/>
      </c>
      <c r="D28">
        <f>Schedule!$F$6</f>
        <v/>
      </c>
      <c r="E28" t="n">
        <v>5</v>
      </c>
      <c r="F28">
        <f>Schedule!$L$1</f>
        <v/>
      </c>
      <c r="G28">
        <f>Schedule!$L$2</f>
        <v/>
      </c>
      <c r="H28">
        <f>Schedule!$L$6</f>
        <v/>
      </c>
      <c r="I28">
        <f>IF($N28=1,VALUE(LEFT($H28,2)),"")</f>
        <v/>
      </c>
      <c r="J28">
        <f>IF($N28=1,VALUE(MID($H28,9,2)),"")</f>
        <v/>
      </c>
      <c r="K28">
        <f>IF($N28=1,MOD($J28-$I28,24),0)</f>
        <v/>
      </c>
      <c r="L28">
        <f>IF($N28=1,$E28*24+$I28,"")</f>
        <v/>
      </c>
      <c r="M28">
        <f>IF($N28=1,$L28+$K28,"")</f>
        <v/>
      </c>
      <c r="N28">
        <f>IF(ISNUMBER(SEARCH(" - ",$H28&amp;"")),1,0)</f>
        <v/>
      </c>
      <c r="O28">
        <f>IF(UPPER($H28&amp;"")="LEAVE",1,0)</f>
        <v/>
      </c>
      <c r="P28">
        <f>IF($N28=1,$K28,0)</f>
        <v/>
      </c>
      <c r="Q28">
        <f>IF($N28=0,"",IFERROR($L28-LOOKUP(2,1/(($B$2:$B27=$B28)*($N$2:$N27=1)),$M$2:$M27),""))</f>
        <v/>
      </c>
    </row>
    <row r="29">
      <c r="A29" t="n">
        <v>28</v>
      </c>
      <c r="B29">
        <f>Schedule!$A$6</f>
        <v/>
      </c>
      <c r="C29">
        <f>Schedule!$D$6</f>
        <v/>
      </c>
      <c r="D29">
        <f>Schedule!$F$6</f>
        <v/>
      </c>
      <c r="E29" t="n">
        <v>6</v>
      </c>
      <c r="F29">
        <f>Schedule!$M$1</f>
        <v/>
      </c>
      <c r="G29">
        <f>Schedule!$M$2</f>
        <v/>
      </c>
      <c r="H29">
        <f>Schedule!$M$6</f>
        <v/>
      </c>
      <c r="I29">
        <f>IF($N29=1,VALUE(LEFT($H29,2)),"")</f>
        <v/>
      </c>
      <c r="J29">
        <f>IF($N29=1,VALUE(MID($H29,9,2)),"")</f>
        <v/>
      </c>
      <c r="K29">
        <f>IF($N29=1,MOD($J29-$I29,24),0)</f>
        <v/>
      </c>
      <c r="L29">
        <f>IF($N29=1,$E29*24+$I29,"")</f>
        <v/>
      </c>
      <c r="M29">
        <f>IF($N29=1,$L29+$K29,"")</f>
        <v/>
      </c>
      <c r="N29">
        <f>IF(ISNUMBER(SEARCH(" - ",$H29&amp;"")),1,0)</f>
        <v/>
      </c>
      <c r="O29">
        <f>IF(UPPER($H29&amp;"")="LEAVE",1,0)</f>
        <v/>
      </c>
      <c r="P29">
        <f>IF($N29=1,$K29,0)</f>
        <v/>
      </c>
      <c r="Q29">
        <f>IF($N29=0,"",IFERROR($L29-LOOKUP(2,1/(($B$2:$B28=$B29)*($N$2:$N28=1)),$M$2:$M28),""))</f>
        <v/>
      </c>
    </row>
    <row r="30">
      <c r="A30" t="n">
        <v>29</v>
      </c>
      <c r="B30">
        <f>Schedule!$A$7</f>
        <v/>
      </c>
      <c r="C30">
        <f>Schedule!$D$7</f>
        <v/>
      </c>
      <c r="D30">
        <f>Schedule!$F$7</f>
        <v/>
      </c>
      <c r="E30" t="n">
        <v>0</v>
      </c>
      <c r="F30">
        <f>Schedule!$G$1</f>
        <v/>
      </c>
      <c r="G30">
        <f>Schedule!$G$2</f>
        <v/>
      </c>
      <c r="H30">
        <f>Schedule!$G$7</f>
        <v/>
      </c>
      <c r="I30">
        <f>IF($N30=1,VALUE(LEFT($H30,2)),"")</f>
        <v/>
      </c>
      <c r="J30">
        <f>IF($N30=1,VALUE(MID($H30,9,2)),"")</f>
        <v/>
      </c>
      <c r="K30">
        <f>IF($N30=1,MOD($J30-$I30,24),0)</f>
        <v/>
      </c>
      <c r="L30">
        <f>IF($N30=1,$E30*24+$I30,"")</f>
        <v/>
      </c>
      <c r="M30">
        <f>IF($N30=1,$L30+$K30,"")</f>
        <v/>
      </c>
      <c r="N30">
        <f>IF(ISNUMBER(SEARCH(" - ",$H30&amp;"")),1,0)</f>
        <v/>
      </c>
      <c r="O30">
        <f>IF(UPPER($H30&amp;"")="LEAVE",1,0)</f>
        <v/>
      </c>
      <c r="P30">
        <f>IF($N30=1,$K30,0)</f>
        <v/>
      </c>
      <c r="Q30">
        <f>IF($N30=0,"",IFERROR($L30-'Previous Engine'!$M$6,""))</f>
        <v/>
      </c>
    </row>
    <row r="31">
      <c r="A31" t="n">
        <v>30</v>
      </c>
      <c r="B31">
        <f>Schedule!$A$7</f>
        <v/>
      </c>
      <c r="C31">
        <f>Schedule!$D$7</f>
        <v/>
      </c>
      <c r="D31">
        <f>Schedule!$F$7</f>
        <v/>
      </c>
      <c r="E31" t="n">
        <v>1</v>
      </c>
      <c r="F31">
        <f>Schedule!$H$1</f>
        <v/>
      </c>
      <c r="G31">
        <f>Schedule!$H$2</f>
        <v/>
      </c>
      <c r="H31">
        <f>Schedule!$H$7</f>
        <v/>
      </c>
      <c r="I31">
        <f>IF($N31=1,VALUE(LEFT($H31,2)),"")</f>
        <v/>
      </c>
      <c r="J31">
        <f>IF($N31=1,VALUE(MID($H31,9,2)),"")</f>
        <v/>
      </c>
      <c r="K31">
        <f>IF($N31=1,MOD($J31-$I31,24),0)</f>
        <v/>
      </c>
      <c r="L31">
        <f>IF($N31=1,$E31*24+$I31,"")</f>
        <v/>
      </c>
      <c r="M31">
        <f>IF($N31=1,$L31+$K31,"")</f>
        <v/>
      </c>
      <c r="N31">
        <f>IF(ISNUMBER(SEARCH(" - ",$H31&amp;"")),1,0)</f>
        <v/>
      </c>
      <c r="O31">
        <f>IF(UPPER($H31&amp;"")="LEAVE",1,0)</f>
        <v/>
      </c>
      <c r="P31">
        <f>IF($N31=1,$K31,0)</f>
        <v/>
      </c>
      <c r="Q31">
        <f>IF($N31=0,"",IFERROR($L31-LOOKUP(2,1/(($B$2:$B30=$B31)*($N$2:$N30=1)),$M$2:$M30),""))</f>
        <v/>
      </c>
    </row>
    <row r="32">
      <c r="A32" t="n">
        <v>31</v>
      </c>
      <c r="B32">
        <f>Schedule!$A$7</f>
        <v/>
      </c>
      <c r="C32">
        <f>Schedule!$D$7</f>
        <v/>
      </c>
      <c r="D32">
        <f>Schedule!$F$7</f>
        <v/>
      </c>
      <c r="E32" t="n">
        <v>2</v>
      </c>
      <c r="F32">
        <f>Schedule!$I$1</f>
        <v/>
      </c>
      <c r="G32">
        <f>Schedule!$I$2</f>
        <v/>
      </c>
      <c r="H32">
        <f>Schedule!$I$7</f>
        <v/>
      </c>
      <c r="I32">
        <f>IF($N32=1,VALUE(LEFT($H32,2)),"")</f>
        <v/>
      </c>
      <c r="J32">
        <f>IF($N32=1,VALUE(MID($H32,9,2)),"")</f>
        <v/>
      </c>
      <c r="K32">
        <f>IF($N32=1,MOD($J32-$I32,24),0)</f>
        <v/>
      </c>
      <c r="L32">
        <f>IF($N32=1,$E32*24+$I32,"")</f>
        <v/>
      </c>
      <c r="M32">
        <f>IF($N32=1,$L32+$K32,"")</f>
        <v/>
      </c>
      <c r="N32">
        <f>IF(ISNUMBER(SEARCH(" - ",$H32&amp;"")),1,0)</f>
        <v/>
      </c>
      <c r="O32">
        <f>IF(UPPER($H32&amp;"")="LEAVE",1,0)</f>
        <v/>
      </c>
      <c r="P32">
        <f>IF($N32=1,$K32,0)</f>
        <v/>
      </c>
      <c r="Q32">
        <f>IF($N32=0,"",IFERROR($L32-LOOKUP(2,1/(($B$2:$B31=$B32)*($N$2:$N31=1)),$M$2:$M31),""))</f>
        <v/>
      </c>
    </row>
    <row r="33">
      <c r="A33" t="n">
        <v>32</v>
      </c>
      <c r="B33">
        <f>Schedule!$A$7</f>
        <v/>
      </c>
      <c r="C33">
        <f>Schedule!$D$7</f>
        <v/>
      </c>
      <c r="D33">
        <f>Schedule!$F$7</f>
        <v/>
      </c>
      <c r="E33" t="n">
        <v>3</v>
      </c>
      <c r="F33">
        <f>Schedule!$J$1</f>
        <v/>
      </c>
      <c r="G33">
        <f>Schedule!$J$2</f>
        <v/>
      </c>
      <c r="H33">
        <f>Schedule!$J$7</f>
        <v/>
      </c>
      <c r="I33">
        <f>IF($N33=1,VALUE(LEFT($H33,2)),"")</f>
        <v/>
      </c>
      <c r="J33">
        <f>IF($N33=1,VALUE(MID($H33,9,2)),"")</f>
        <v/>
      </c>
      <c r="K33">
        <f>IF($N33=1,MOD($J33-$I33,24),0)</f>
        <v/>
      </c>
      <c r="L33">
        <f>IF($N33=1,$E33*24+$I33,"")</f>
        <v/>
      </c>
      <c r="M33">
        <f>IF($N33=1,$L33+$K33,"")</f>
        <v/>
      </c>
      <c r="N33">
        <f>IF(ISNUMBER(SEARCH(" - ",$H33&amp;"")),1,0)</f>
        <v/>
      </c>
      <c r="O33">
        <f>IF(UPPER($H33&amp;"")="LEAVE",1,0)</f>
        <v/>
      </c>
      <c r="P33">
        <f>IF($N33=1,$K33,0)</f>
        <v/>
      </c>
      <c r="Q33">
        <f>IF($N33=0,"",IFERROR($L33-LOOKUP(2,1/(($B$2:$B32=$B33)*($N$2:$N32=1)),$M$2:$M32),""))</f>
        <v/>
      </c>
    </row>
    <row r="34">
      <c r="A34" t="n">
        <v>33</v>
      </c>
      <c r="B34">
        <f>Schedule!$A$7</f>
        <v/>
      </c>
      <c r="C34">
        <f>Schedule!$D$7</f>
        <v/>
      </c>
      <c r="D34">
        <f>Schedule!$F$7</f>
        <v/>
      </c>
      <c r="E34" t="n">
        <v>4</v>
      </c>
      <c r="F34">
        <f>Schedule!$K$1</f>
        <v/>
      </c>
      <c r="G34">
        <f>Schedule!$K$2</f>
        <v/>
      </c>
      <c r="H34">
        <f>Schedule!$K$7</f>
        <v/>
      </c>
      <c r="I34">
        <f>IF($N34=1,VALUE(LEFT($H34,2)),"")</f>
        <v/>
      </c>
      <c r="J34">
        <f>IF($N34=1,VALUE(MID($H34,9,2)),"")</f>
        <v/>
      </c>
      <c r="K34">
        <f>IF($N34=1,MOD($J34-$I34,24),0)</f>
        <v/>
      </c>
      <c r="L34">
        <f>IF($N34=1,$E34*24+$I34,"")</f>
        <v/>
      </c>
      <c r="M34">
        <f>IF($N34=1,$L34+$K34,"")</f>
        <v/>
      </c>
      <c r="N34">
        <f>IF(ISNUMBER(SEARCH(" - ",$H34&amp;"")),1,0)</f>
        <v/>
      </c>
      <c r="O34">
        <f>IF(UPPER($H34&amp;"")="LEAVE",1,0)</f>
        <v/>
      </c>
      <c r="P34">
        <f>IF($N34=1,$K34,0)</f>
        <v/>
      </c>
      <c r="Q34">
        <f>IF($N34=0,"",IFERROR($L34-LOOKUP(2,1/(($B$2:$B33=$B34)*($N$2:$N33=1)),$M$2:$M33),""))</f>
        <v/>
      </c>
    </row>
    <row r="35">
      <c r="A35" t="n">
        <v>34</v>
      </c>
      <c r="B35">
        <f>Schedule!$A$7</f>
        <v/>
      </c>
      <c r="C35">
        <f>Schedule!$D$7</f>
        <v/>
      </c>
      <c r="D35">
        <f>Schedule!$F$7</f>
        <v/>
      </c>
      <c r="E35" t="n">
        <v>5</v>
      </c>
      <c r="F35">
        <f>Schedule!$L$1</f>
        <v/>
      </c>
      <c r="G35">
        <f>Schedule!$L$2</f>
        <v/>
      </c>
      <c r="H35">
        <f>Schedule!$L$7</f>
        <v/>
      </c>
      <c r="I35">
        <f>IF($N35=1,VALUE(LEFT($H35,2)),"")</f>
        <v/>
      </c>
      <c r="J35">
        <f>IF($N35=1,VALUE(MID($H35,9,2)),"")</f>
        <v/>
      </c>
      <c r="K35">
        <f>IF($N35=1,MOD($J35-$I35,24),0)</f>
        <v/>
      </c>
      <c r="L35">
        <f>IF($N35=1,$E35*24+$I35,"")</f>
        <v/>
      </c>
      <c r="M35">
        <f>IF($N35=1,$L35+$K35,"")</f>
        <v/>
      </c>
      <c r="N35">
        <f>IF(ISNUMBER(SEARCH(" - ",$H35&amp;"")),1,0)</f>
        <v/>
      </c>
      <c r="O35">
        <f>IF(UPPER($H35&amp;"")="LEAVE",1,0)</f>
        <v/>
      </c>
      <c r="P35">
        <f>IF($N35=1,$K35,0)</f>
        <v/>
      </c>
      <c r="Q35">
        <f>IF($N35=0,"",IFERROR($L35-LOOKUP(2,1/(($B$2:$B34=$B35)*($N$2:$N34=1)),$M$2:$M34),""))</f>
        <v/>
      </c>
    </row>
    <row r="36">
      <c r="A36" t="n">
        <v>35</v>
      </c>
      <c r="B36">
        <f>Schedule!$A$7</f>
        <v/>
      </c>
      <c r="C36">
        <f>Schedule!$D$7</f>
        <v/>
      </c>
      <c r="D36">
        <f>Schedule!$F$7</f>
        <v/>
      </c>
      <c r="E36" t="n">
        <v>6</v>
      </c>
      <c r="F36">
        <f>Schedule!$M$1</f>
        <v/>
      </c>
      <c r="G36">
        <f>Schedule!$M$2</f>
        <v/>
      </c>
      <c r="H36">
        <f>Schedule!$M$7</f>
        <v/>
      </c>
      <c r="I36">
        <f>IF($N36=1,VALUE(LEFT($H36,2)),"")</f>
        <v/>
      </c>
      <c r="J36">
        <f>IF($N36=1,VALUE(MID($H36,9,2)),"")</f>
        <v/>
      </c>
      <c r="K36">
        <f>IF($N36=1,MOD($J36-$I36,24),0)</f>
        <v/>
      </c>
      <c r="L36">
        <f>IF($N36=1,$E36*24+$I36,"")</f>
        <v/>
      </c>
      <c r="M36">
        <f>IF($N36=1,$L36+$K36,"")</f>
        <v/>
      </c>
      <c r="N36">
        <f>IF(ISNUMBER(SEARCH(" - ",$H36&amp;"")),1,0)</f>
        <v/>
      </c>
      <c r="O36">
        <f>IF(UPPER($H36&amp;"")="LEAVE",1,0)</f>
        <v/>
      </c>
      <c r="P36">
        <f>IF($N36=1,$K36,0)</f>
        <v/>
      </c>
      <c r="Q36">
        <f>IF($N36=0,"",IFERROR($L36-LOOKUP(2,1/(($B$2:$B35=$B36)*($N$2:$N35=1)),$M$2:$M35),""))</f>
        <v/>
      </c>
    </row>
    <row r="37">
      <c r="A37" t="n">
        <v>36</v>
      </c>
      <c r="B37">
        <f>Schedule!$A$8</f>
        <v/>
      </c>
      <c r="C37">
        <f>Schedule!$D$8</f>
        <v/>
      </c>
      <c r="D37">
        <f>Schedule!$F$8</f>
        <v/>
      </c>
      <c r="E37" t="n">
        <v>0</v>
      </c>
      <c r="F37">
        <f>Schedule!$G$1</f>
        <v/>
      </c>
      <c r="G37">
        <f>Schedule!$G$2</f>
        <v/>
      </c>
      <c r="H37">
        <f>Schedule!$G$8</f>
        <v/>
      </c>
      <c r="I37">
        <f>IF($N37=1,VALUE(LEFT($H37,2)),"")</f>
        <v/>
      </c>
      <c r="J37">
        <f>IF($N37=1,VALUE(MID($H37,9,2)),"")</f>
        <v/>
      </c>
      <c r="K37">
        <f>IF($N37=1,MOD($J37-$I37,24),0)</f>
        <v/>
      </c>
      <c r="L37">
        <f>IF($N37=1,$E37*24+$I37,"")</f>
        <v/>
      </c>
      <c r="M37">
        <f>IF($N37=1,$L37+$K37,"")</f>
        <v/>
      </c>
      <c r="N37">
        <f>IF(ISNUMBER(SEARCH(" - ",$H37&amp;"")),1,0)</f>
        <v/>
      </c>
      <c r="O37">
        <f>IF(UPPER($H37&amp;"")="LEAVE",1,0)</f>
        <v/>
      </c>
      <c r="P37">
        <f>IF($N37=1,$K37,0)</f>
        <v/>
      </c>
      <c r="Q37">
        <f>IF($N37=0,"",IFERROR($L37-'Previous Engine'!$M$7,""))</f>
        <v/>
      </c>
    </row>
    <row r="38">
      <c r="A38" t="n">
        <v>37</v>
      </c>
      <c r="B38">
        <f>Schedule!$A$8</f>
        <v/>
      </c>
      <c r="C38">
        <f>Schedule!$D$8</f>
        <v/>
      </c>
      <c r="D38">
        <f>Schedule!$F$8</f>
        <v/>
      </c>
      <c r="E38" t="n">
        <v>1</v>
      </c>
      <c r="F38">
        <f>Schedule!$H$1</f>
        <v/>
      </c>
      <c r="G38">
        <f>Schedule!$H$2</f>
        <v/>
      </c>
      <c r="H38">
        <f>Schedule!$H$8</f>
        <v/>
      </c>
      <c r="I38">
        <f>IF($N38=1,VALUE(LEFT($H38,2)),"")</f>
        <v/>
      </c>
      <c r="J38">
        <f>IF($N38=1,VALUE(MID($H38,9,2)),"")</f>
        <v/>
      </c>
      <c r="K38">
        <f>IF($N38=1,MOD($J38-$I38,24),0)</f>
        <v/>
      </c>
      <c r="L38">
        <f>IF($N38=1,$E38*24+$I38,"")</f>
        <v/>
      </c>
      <c r="M38">
        <f>IF($N38=1,$L38+$K38,"")</f>
        <v/>
      </c>
      <c r="N38">
        <f>IF(ISNUMBER(SEARCH(" - ",$H38&amp;"")),1,0)</f>
        <v/>
      </c>
      <c r="O38">
        <f>IF(UPPER($H38&amp;"")="LEAVE",1,0)</f>
        <v/>
      </c>
      <c r="P38">
        <f>IF($N38=1,$K38,0)</f>
        <v/>
      </c>
      <c r="Q38">
        <f>IF($N38=0,"",IFERROR($L38-LOOKUP(2,1/(($B$2:$B37=$B38)*($N$2:$N37=1)),$M$2:$M37),""))</f>
        <v/>
      </c>
    </row>
    <row r="39">
      <c r="A39" t="n">
        <v>38</v>
      </c>
      <c r="B39">
        <f>Schedule!$A$8</f>
        <v/>
      </c>
      <c r="C39">
        <f>Schedule!$D$8</f>
        <v/>
      </c>
      <c r="D39">
        <f>Schedule!$F$8</f>
        <v/>
      </c>
      <c r="E39" t="n">
        <v>2</v>
      </c>
      <c r="F39">
        <f>Schedule!$I$1</f>
        <v/>
      </c>
      <c r="G39">
        <f>Schedule!$I$2</f>
        <v/>
      </c>
      <c r="H39">
        <f>Schedule!$I$8</f>
        <v/>
      </c>
      <c r="I39">
        <f>IF($N39=1,VALUE(LEFT($H39,2)),"")</f>
        <v/>
      </c>
      <c r="J39">
        <f>IF($N39=1,VALUE(MID($H39,9,2)),"")</f>
        <v/>
      </c>
      <c r="K39">
        <f>IF($N39=1,MOD($J39-$I39,24),0)</f>
        <v/>
      </c>
      <c r="L39">
        <f>IF($N39=1,$E39*24+$I39,"")</f>
        <v/>
      </c>
      <c r="M39">
        <f>IF($N39=1,$L39+$K39,"")</f>
        <v/>
      </c>
      <c r="N39">
        <f>IF(ISNUMBER(SEARCH(" - ",$H39&amp;"")),1,0)</f>
        <v/>
      </c>
      <c r="O39">
        <f>IF(UPPER($H39&amp;"")="LEAVE",1,0)</f>
        <v/>
      </c>
      <c r="P39">
        <f>IF($N39=1,$K39,0)</f>
        <v/>
      </c>
      <c r="Q39">
        <f>IF($N39=0,"",IFERROR($L39-LOOKUP(2,1/(($B$2:$B38=$B39)*($N$2:$N38=1)),$M$2:$M38),""))</f>
        <v/>
      </c>
    </row>
    <row r="40">
      <c r="A40" t="n">
        <v>39</v>
      </c>
      <c r="B40">
        <f>Schedule!$A$8</f>
        <v/>
      </c>
      <c r="C40">
        <f>Schedule!$D$8</f>
        <v/>
      </c>
      <c r="D40">
        <f>Schedule!$F$8</f>
        <v/>
      </c>
      <c r="E40" t="n">
        <v>3</v>
      </c>
      <c r="F40">
        <f>Schedule!$J$1</f>
        <v/>
      </c>
      <c r="G40">
        <f>Schedule!$J$2</f>
        <v/>
      </c>
      <c r="H40">
        <f>Schedule!$J$8</f>
        <v/>
      </c>
      <c r="I40">
        <f>IF($N40=1,VALUE(LEFT($H40,2)),"")</f>
        <v/>
      </c>
      <c r="J40">
        <f>IF($N40=1,VALUE(MID($H40,9,2)),"")</f>
        <v/>
      </c>
      <c r="K40">
        <f>IF($N40=1,MOD($J40-$I40,24),0)</f>
        <v/>
      </c>
      <c r="L40">
        <f>IF($N40=1,$E40*24+$I40,"")</f>
        <v/>
      </c>
      <c r="M40">
        <f>IF($N40=1,$L40+$K40,"")</f>
        <v/>
      </c>
      <c r="N40">
        <f>IF(ISNUMBER(SEARCH(" - ",$H40&amp;"")),1,0)</f>
        <v/>
      </c>
      <c r="O40">
        <f>IF(UPPER($H40&amp;"")="LEAVE",1,0)</f>
        <v/>
      </c>
      <c r="P40">
        <f>IF($N40=1,$K40,0)</f>
        <v/>
      </c>
      <c r="Q40">
        <f>IF($N40=0,"",IFERROR($L40-LOOKUP(2,1/(($B$2:$B39=$B40)*($N$2:$N39=1)),$M$2:$M39),""))</f>
        <v/>
      </c>
    </row>
    <row r="41">
      <c r="A41" t="n">
        <v>40</v>
      </c>
      <c r="B41">
        <f>Schedule!$A$8</f>
        <v/>
      </c>
      <c r="C41">
        <f>Schedule!$D$8</f>
        <v/>
      </c>
      <c r="D41">
        <f>Schedule!$F$8</f>
        <v/>
      </c>
      <c r="E41" t="n">
        <v>4</v>
      </c>
      <c r="F41">
        <f>Schedule!$K$1</f>
        <v/>
      </c>
      <c r="G41">
        <f>Schedule!$K$2</f>
        <v/>
      </c>
      <c r="H41">
        <f>Schedule!$K$8</f>
        <v/>
      </c>
      <c r="I41">
        <f>IF($N41=1,VALUE(LEFT($H41,2)),"")</f>
        <v/>
      </c>
      <c r="J41">
        <f>IF($N41=1,VALUE(MID($H41,9,2)),"")</f>
        <v/>
      </c>
      <c r="K41">
        <f>IF($N41=1,MOD($J41-$I41,24),0)</f>
        <v/>
      </c>
      <c r="L41">
        <f>IF($N41=1,$E41*24+$I41,"")</f>
        <v/>
      </c>
      <c r="M41">
        <f>IF($N41=1,$L41+$K41,"")</f>
        <v/>
      </c>
      <c r="N41">
        <f>IF(ISNUMBER(SEARCH(" - ",$H41&amp;"")),1,0)</f>
        <v/>
      </c>
      <c r="O41">
        <f>IF(UPPER($H41&amp;"")="LEAVE",1,0)</f>
        <v/>
      </c>
      <c r="P41">
        <f>IF($N41=1,$K41,0)</f>
        <v/>
      </c>
      <c r="Q41">
        <f>IF($N41=0,"",IFERROR($L41-LOOKUP(2,1/(($B$2:$B40=$B41)*($N$2:$N40=1)),$M$2:$M40),""))</f>
        <v/>
      </c>
    </row>
    <row r="42">
      <c r="A42" t="n">
        <v>41</v>
      </c>
      <c r="B42">
        <f>Schedule!$A$8</f>
        <v/>
      </c>
      <c r="C42">
        <f>Schedule!$D$8</f>
        <v/>
      </c>
      <c r="D42">
        <f>Schedule!$F$8</f>
        <v/>
      </c>
      <c r="E42" t="n">
        <v>5</v>
      </c>
      <c r="F42">
        <f>Schedule!$L$1</f>
        <v/>
      </c>
      <c r="G42">
        <f>Schedule!$L$2</f>
        <v/>
      </c>
      <c r="H42">
        <f>Schedule!$L$8</f>
        <v/>
      </c>
      <c r="I42">
        <f>IF($N42=1,VALUE(LEFT($H42,2)),"")</f>
        <v/>
      </c>
      <c r="J42">
        <f>IF($N42=1,VALUE(MID($H42,9,2)),"")</f>
        <v/>
      </c>
      <c r="K42">
        <f>IF($N42=1,MOD($J42-$I42,24),0)</f>
        <v/>
      </c>
      <c r="L42">
        <f>IF($N42=1,$E42*24+$I42,"")</f>
        <v/>
      </c>
      <c r="M42">
        <f>IF($N42=1,$L42+$K42,"")</f>
        <v/>
      </c>
      <c r="N42">
        <f>IF(ISNUMBER(SEARCH(" - ",$H42&amp;"")),1,0)</f>
        <v/>
      </c>
      <c r="O42">
        <f>IF(UPPER($H42&amp;"")="LEAVE",1,0)</f>
        <v/>
      </c>
      <c r="P42">
        <f>IF($N42=1,$K42,0)</f>
        <v/>
      </c>
      <c r="Q42">
        <f>IF($N42=0,"",IFERROR($L42-LOOKUP(2,1/(($B$2:$B41=$B42)*($N$2:$N41=1)),$M$2:$M41),""))</f>
        <v/>
      </c>
    </row>
    <row r="43">
      <c r="A43" t="n">
        <v>42</v>
      </c>
      <c r="B43">
        <f>Schedule!$A$8</f>
        <v/>
      </c>
      <c r="C43">
        <f>Schedule!$D$8</f>
        <v/>
      </c>
      <c r="D43">
        <f>Schedule!$F$8</f>
        <v/>
      </c>
      <c r="E43" t="n">
        <v>6</v>
      </c>
      <c r="F43">
        <f>Schedule!$M$1</f>
        <v/>
      </c>
      <c r="G43">
        <f>Schedule!$M$2</f>
        <v/>
      </c>
      <c r="H43">
        <f>Schedule!$M$8</f>
        <v/>
      </c>
      <c r="I43">
        <f>IF($N43=1,VALUE(LEFT($H43,2)),"")</f>
        <v/>
      </c>
      <c r="J43">
        <f>IF($N43=1,VALUE(MID($H43,9,2)),"")</f>
        <v/>
      </c>
      <c r="K43">
        <f>IF($N43=1,MOD($J43-$I43,24),0)</f>
        <v/>
      </c>
      <c r="L43">
        <f>IF($N43=1,$E43*24+$I43,"")</f>
        <v/>
      </c>
      <c r="M43">
        <f>IF($N43=1,$L43+$K43,"")</f>
        <v/>
      </c>
      <c r="N43">
        <f>IF(ISNUMBER(SEARCH(" - ",$H43&amp;"")),1,0)</f>
        <v/>
      </c>
      <c r="O43">
        <f>IF(UPPER($H43&amp;"")="LEAVE",1,0)</f>
        <v/>
      </c>
      <c r="P43">
        <f>IF($N43=1,$K43,0)</f>
        <v/>
      </c>
      <c r="Q43">
        <f>IF($N43=0,"",IFERROR($L43-LOOKUP(2,1/(($B$2:$B42=$B43)*($N$2:$N42=1)),$M$2:$M42),""))</f>
        <v/>
      </c>
    </row>
    <row r="44">
      <c r="A44" t="n">
        <v>43</v>
      </c>
      <c r="B44">
        <f>Schedule!$A$9</f>
        <v/>
      </c>
      <c r="C44">
        <f>Schedule!$D$9</f>
        <v/>
      </c>
      <c r="D44">
        <f>Schedule!$F$9</f>
        <v/>
      </c>
      <c r="E44" t="n">
        <v>0</v>
      </c>
      <c r="F44">
        <f>Schedule!$G$1</f>
        <v/>
      </c>
      <c r="G44">
        <f>Schedule!$G$2</f>
        <v/>
      </c>
      <c r="H44">
        <f>Schedule!$G$9</f>
        <v/>
      </c>
      <c r="I44">
        <f>IF($N44=1,VALUE(LEFT($H44,2)),"")</f>
        <v/>
      </c>
      <c r="J44">
        <f>IF($N44=1,VALUE(MID($H44,9,2)),"")</f>
        <v/>
      </c>
      <c r="K44">
        <f>IF($N44=1,MOD($J44-$I44,24),0)</f>
        <v/>
      </c>
      <c r="L44">
        <f>IF($N44=1,$E44*24+$I44,"")</f>
        <v/>
      </c>
      <c r="M44">
        <f>IF($N44=1,$L44+$K44,"")</f>
        <v/>
      </c>
      <c r="N44">
        <f>IF(ISNUMBER(SEARCH(" - ",$H44&amp;"")),1,0)</f>
        <v/>
      </c>
      <c r="O44">
        <f>IF(UPPER($H44&amp;"")="LEAVE",1,0)</f>
        <v/>
      </c>
      <c r="P44">
        <f>IF($N44=1,$K44,0)</f>
        <v/>
      </c>
      <c r="Q44">
        <f>IF($N44=0,"",IFERROR($L44-'Previous Engine'!$M$8,""))</f>
        <v/>
      </c>
    </row>
    <row r="45">
      <c r="A45" t="n">
        <v>44</v>
      </c>
      <c r="B45">
        <f>Schedule!$A$9</f>
        <v/>
      </c>
      <c r="C45">
        <f>Schedule!$D$9</f>
        <v/>
      </c>
      <c r="D45">
        <f>Schedule!$F$9</f>
        <v/>
      </c>
      <c r="E45" t="n">
        <v>1</v>
      </c>
      <c r="F45">
        <f>Schedule!$H$1</f>
        <v/>
      </c>
      <c r="G45">
        <f>Schedule!$H$2</f>
        <v/>
      </c>
      <c r="H45">
        <f>Schedule!$H$9</f>
        <v/>
      </c>
      <c r="I45">
        <f>IF($N45=1,VALUE(LEFT($H45,2)),"")</f>
        <v/>
      </c>
      <c r="J45">
        <f>IF($N45=1,VALUE(MID($H45,9,2)),"")</f>
        <v/>
      </c>
      <c r="K45">
        <f>IF($N45=1,MOD($J45-$I45,24),0)</f>
        <v/>
      </c>
      <c r="L45">
        <f>IF($N45=1,$E45*24+$I45,"")</f>
        <v/>
      </c>
      <c r="M45">
        <f>IF($N45=1,$L45+$K45,"")</f>
        <v/>
      </c>
      <c r="N45">
        <f>IF(ISNUMBER(SEARCH(" - ",$H45&amp;"")),1,0)</f>
        <v/>
      </c>
      <c r="O45">
        <f>IF(UPPER($H45&amp;"")="LEAVE",1,0)</f>
        <v/>
      </c>
      <c r="P45">
        <f>IF($N45=1,$K45,0)</f>
        <v/>
      </c>
      <c r="Q45">
        <f>IF($N45=0,"",IFERROR($L45-LOOKUP(2,1/(($B$2:$B44=$B45)*($N$2:$N44=1)),$M$2:$M44),""))</f>
        <v/>
      </c>
    </row>
    <row r="46">
      <c r="A46" t="n">
        <v>45</v>
      </c>
      <c r="B46">
        <f>Schedule!$A$9</f>
        <v/>
      </c>
      <c r="C46">
        <f>Schedule!$D$9</f>
        <v/>
      </c>
      <c r="D46">
        <f>Schedule!$F$9</f>
        <v/>
      </c>
      <c r="E46" t="n">
        <v>2</v>
      </c>
      <c r="F46">
        <f>Schedule!$I$1</f>
        <v/>
      </c>
      <c r="G46">
        <f>Schedule!$I$2</f>
        <v/>
      </c>
      <c r="H46">
        <f>Schedule!$I$9</f>
        <v/>
      </c>
      <c r="I46">
        <f>IF($N46=1,VALUE(LEFT($H46,2)),"")</f>
        <v/>
      </c>
      <c r="J46">
        <f>IF($N46=1,VALUE(MID($H46,9,2)),"")</f>
        <v/>
      </c>
      <c r="K46">
        <f>IF($N46=1,MOD($J46-$I46,24),0)</f>
        <v/>
      </c>
      <c r="L46">
        <f>IF($N46=1,$E46*24+$I46,"")</f>
        <v/>
      </c>
      <c r="M46">
        <f>IF($N46=1,$L46+$K46,"")</f>
        <v/>
      </c>
      <c r="N46">
        <f>IF(ISNUMBER(SEARCH(" - ",$H46&amp;"")),1,0)</f>
        <v/>
      </c>
      <c r="O46">
        <f>IF(UPPER($H46&amp;"")="LEAVE",1,0)</f>
        <v/>
      </c>
      <c r="P46">
        <f>IF($N46=1,$K46,0)</f>
        <v/>
      </c>
      <c r="Q46">
        <f>IF($N46=0,"",IFERROR($L46-LOOKUP(2,1/(($B$2:$B45=$B46)*($N$2:$N45=1)),$M$2:$M45),""))</f>
        <v/>
      </c>
    </row>
    <row r="47">
      <c r="A47" t="n">
        <v>46</v>
      </c>
      <c r="B47">
        <f>Schedule!$A$9</f>
        <v/>
      </c>
      <c r="C47">
        <f>Schedule!$D$9</f>
        <v/>
      </c>
      <c r="D47">
        <f>Schedule!$F$9</f>
        <v/>
      </c>
      <c r="E47" t="n">
        <v>3</v>
      </c>
      <c r="F47">
        <f>Schedule!$J$1</f>
        <v/>
      </c>
      <c r="G47">
        <f>Schedule!$J$2</f>
        <v/>
      </c>
      <c r="H47">
        <f>Schedule!$J$9</f>
        <v/>
      </c>
      <c r="I47">
        <f>IF($N47=1,VALUE(LEFT($H47,2)),"")</f>
        <v/>
      </c>
      <c r="J47">
        <f>IF($N47=1,VALUE(MID($H47,9,2)),"")</f>
        <v/>
      </c>
      <c r="K47">
        <f>IF($N47=1,MOD($J47-$I47,24),0)</f>
        <v/>
      </c>
      <c r="L47">
        <f>IF($N47=1,$E47*24+$I47,"")</f>
        <v/>
      </c>
      <c r="M47">
        <f>IF($N47=1,$L47+$K47,"")</f>
        <v/>
      </c>
      <c r="N47">
        <f>IF(ISNUMBER(SEARCH(" - ",$H47&amp;"")),1,0)</f>
        <v/>
      </c>
      <c r="O47">
        <f>IF(UPPER($H47&amp;"")="LEAVE",1,0)</f>
        <v/>
      </c>
      <c r="P47">
        <f>IF($N47=1,$K47,0)</f>
        <v/>
      </c>
      <c r="Q47">
        <f>IF($N47=0,"",IFERROR($L47-LOOKUP(2,1/(($B$2:$B46=$B47)*($N$2:$N46=1)),$M$2:$M46),""))</f>
        <v/>
      </c>
    </row>
    <row r="48">
      <c r="A48" t="n">
        <v>47</v>
      </c>
      <c r="B48">
        <f>Schedule!$A$9</f>
        <v/>
      </c>
      <c r="C48">
        <f>Schedule!$D$9</f>
        <v/>
      </c>
      <c r="D48">
        <f>Schedule!$F$9</f>
        <v/>
      </c>
      <c r="E48" t="n">
        <v>4</v>
      </c>
      <c r="F48">
        <f>Schedule!$K$1</f>
        <v/>
      </c>
      <c r="G48">
        <f>Schedule!$K$2</f>
        <v/>
      </c>
      <c r="H48">
        <f>Schedule!$K$9</f>
        <v/>
      </c>
      <c r="I48">
        <f>IF($N48=1,VALUE(LEFT($H48,2)),"")</f>
        <v/>
      </c>
      <c r="J48">
        <f>IF($N48=1,VALUE(MID($H48,9,2)),"")</f>
        <v/>
      </c>
      <c r="K48">
        <f>IF($N48=1,MOD($J48-$I48,24),0)</f>
        <v/>
      </c>
      <c r="L48">
        <f>IF($N48=1,$E48*24+$I48,"")</f>
        <v/>
      </c>
      <c r="M48">
        <f>IF($N48=1,$L48+$K48,"")</f>
        <v/>
      </c>
      <c r="N48">
        <f>IF(ISNUMBER(SEARCH(" - ",$H48&amp;"")),1,0)</f>
        <v/>
      </c>
      <c r="O48">
        <f>IF(UPPER($H48&amp;"")="LEAVE",1,0)</f>
        <v/>
      </c>
      <c r="P48">
        <f>IF($N48=1,$K48,0)</f>
        <v/>
      </c>
      <c r="Q48">
        <f>IF($N48=0,"",IFERROR($L48-LOOKUP(2,1/(($B$2:$B47=$B48)*($N$2:$N47=1)),$M$2:$M47),""))</f>
        <v/>
      </c>
    </row>
    <row r="49">
      <c r="A49" t="n">
        <v>48</v>
      </c>
      <c r="B49">
        <f>Schedule!$A$9</f>
        <v/>
      </c>
      <c r="C49">
        <f>Schedule!$D$9</f>
        <v/>
      </c>
      <c r="D49">
        <f>Schedule!$F$9</f>
        <v/>
      </c>
      <c r="E49" t="n">
        <v>5</v>
      </c>
      <c r="F49">
        <f>Schedule!$L$1</f>
        <v/>
      </c>
      <c r="G49">
        <f>Schedule!$L$2</f>
        <v/>
      </c>
      <c r="H49">
        <f>Schedule!$L$9</f>
        <v/>
      </c>
      <c r="I49">
        <f>IF($N49=1,VALUE(LEFT($H49,2)),"")</f>
        <v/>
      </c>
      <c r="J49">
        <f>IF($N49=1,VALUE(MID($H49,9,2)),"")</f>
        <v/>
      </c>
      <c r="K49">
        <f>IF($N49=1,MOD($J49-$I49,24),0)</f>
        <v/>
      </c>
      <c r="L49">
        <f>IF($N49=1,$E49*24+$I49,"")</f>
        <v/>
      </c>
      <c r="M49">
        <f>IF($N49=1,$L49+$K49,"")</f>
        <v/>
      </c>
      <c r="N49">
        <f>IF(ISNUMBER(SEARCH(" - ",$H49&amp;"")),1,0)</f>
        <v/>
      </c>
      <c r="O49">
        <f>IF(UPPER($H49&amp;"")="LEAVE",1,0)</f>
        <v/>
      </c>
      <c r="P49">
        <f>IF($N49=1,$K49,0)</f>
        <v/>
      </c>
      <c r="Q49">
        <f>IF($N49=0,"",IFERROR($L49-LOOKUP(2,1/(($B$2:$B48=$B49)*($N$2:$N48=1)),$M$2:$M48),""))</f>
        <v/>
      </c>
    </row>
    <row r="50">
      <c r="A50" t="n">
        <v>49</v>
      </c>
      <c r="B50">
        <f>Schedule!$A$9</f>
        <v/>
      </c>
      <c r="C50">
        <f>Schedule!$D$9</f>
        <v/>
      </c>
      <c r="D50">
        <f>Schedule!$F$9</f>
        <v/>
      </c>
      <c r="E50" t="n">
        <v>6</v>
      </c>
      <c r="F50">
        <f>Schedule!$M$1</f>
        <v/>
      </c>
      <c r="G50">
        <f>Schedule!$M$2</f>
        <v/>
      </c>
      <c r="H50">
        <f>Schedule!$M$9</f>
        <v/>
      </c>
      <c r="I50">
        <f>IF($N50=1,VALUE(LEFT($H50,2)),"")</f>
        <v/>
      </c>
      <c r="J50">
        <f>IF($N50=1,VALUE(MID($H50,9,2)),"")</f>
        <v/>
      </c>
      <c r="K50">
        <f>IF($N50=1,MOD($J50-$I50,24),0)</f>
        <v/>
      </c>
      <c r="L50">
        <f>IF($N50=1,$E50*24+$I50,"")</f>
        <v/>
      </c>
      <c r="M50">
        <f>IF($N50=1,$L50+$K50,"")</f>
        <v/>
      </c>
      <c r="N50">
        <f>IF(ISNUMBER(SEARCH(" - ",$H50&amp;"")),1,0)</f>
        <v/>
      </c>
      <c r="O50">
        <f>IF(UPPER($H50&amp;"")="LEAVE",1,0)</f>
        <v/>
      </c>
      <c r="P50">
        <f>IF($N50=1,$K50,0)</f>
        <v/>
      </c>
      <c r="Q50">
        <f>IF($N50=0,"",IFERROR($L50-LOOKUP(2,1/(($B$2:$B49=$B50)*($N$2:$N49=1)),$M$2:$M49),""))</f>
        <v/>
      </c>
    </row>
    <row r="51">
      <c r="A51" t="n">
        <v>50</v>
      </c>
      <c r="B51">
        <f>Schedule!$A$10</f>
        <v/>
      </c>
      <c r="C51">
        <f>Schedule!$D$10</f>
        <v/>
      </c>
      <c r="D51">
        <f>Schedule!$F$10</f>
        <v/>
      </c>
      <c r="E51" t="n">
        <v>0</v>
      </c>
      <c r="F51">
        <f>Schedule!$G$1</f>
        <v/>
      </c>
      <c r="G51">
        <f>Schedule!$G$2</f>
        <v/>
      </c>
      <c r="H51">
        <f>Schedule!$G$10</f>
        <v/>
      </c>
      <c r="I51">
        <f>IF($N51=1,VALUE(LEFT($H51,2)),"")</f>
        <v/>
      </c>
      <c r="J51">
        <f>IF($N51=1,VALUE(MID($H51,9,2)),"")</f>
        <v/>
      </c>
      <c r="K51">
        <f>IF($N51=1,MOD($J51-$I51,24),0)</f>
        <v/>
      </c>
      <c r="L51">
        <f>IF($N51=1,$E51*24+$I51,"")</f>
        <v/>
      </c>
      <c r="M51">
        <f>IF($N51=1,$L51+$K51,"")</f>
        <v/>
      </c>
      <c r="N51">
        <f>IF(ISNUMBER(SEARCH(" - ",$H51&amp;"")),1,0)</f>
        <v/>
      </c>
      <c r="O51">
        <f>IF(UPPER($H51&amp;"")="LEAVE",1,0)</f>
        <v/>
      </c>
      <c r="P51">
        <f>IF($N51=1,$K51,0)</f>
        <v/>
      </c>
      <c r="Q51">
        <f>IF($N51=0,"",IFERROR($L51-'Previous Engine'!$M$9,""))</f>
        <v/>
      </c>
    </row>
    <row r="52">
      <c r="A52" t="n">
        <v>51</v>
      </c>
      <c r="B52">
        <f>Schedule!$A$10</f>
        <v/>
      </c>
      <c r="C52">
        <f>Schedule!$D$10</f>
        <v/>
      </c>
      <c r="D52">
        <f>Schedule!$F$10</f>
        <v/>
      </c>
      <c r="E52" t="n">
        <v>1</v>
      </c>
      <c r="F52">
        <f>Schedule!$H$1</f>
        <v/>
      </c>
      <c r="G52">
        <f>Schedule!$H$2</f>
        <v/>
      </c>
      <c r="H52">
        <f>Schedule!$H$10</f>
        <v/>
      </c>
      <c r="I52">
        <f>IF($N52=1,VALUE(LEFT($H52,2)),"")</f>
        <v/>
      </c>
      <c r="J52">
        <f>IF($N52=1,VALUE(MID($H52,9,2)),"")</f>
        <v/>
      </c>
      <c r="K52">
        <f>IF($N52=1,MOD($J52-$I52,24),0)</f>
        <v/>
      </c>
      <c r="L52">
        <f>IF($N52=1,$E52*24+$I52,"")</f>
        <v/>
      </c>
      <c r="M52">
        <f>IF($N52=1,$L52+$K52,"")</f>
        <v/>
      </c>
      <c r="N52">
        <f>IF(ISNUMBER(SEARCH(" - ",$H52&amp;"")),1,0)</f>
        <v/>
      </c>
      <c r="O52">
        <f>IF(UPPER($H52&amp;"")="LEAVE",1,0)</f>
        <v/>
      </c>
      <c r="P52">
        <f>IF($N52=1,$K52,0)</f>
        <v/>
      </c>
      <c r="Q52">
        <f>IF($N52=0,"",IFERROR($L52-LOOKUP(2,1/(($B$2:$B51=$B52)*($N$2:$N51=1)),$M$2:$M51),""))</f>
        <v/>
      </c>
    </row>
    <row r="53">
      <c r="A53" t="n">
        <v>52</v>
      </c>
      <c r="B53">
        <f>Schedule!$A$10</f>
        <v/>
      </c>
      <c r="C53">
        <f>Schedule!$D$10</f>
        <v/>
      </c>
      <c r="D53">
        <f>Schedule!$F$10</f>
        <v/>
      </c>
      <c r="E53" t="n">
        <v>2</v>
      </c>
      <c r="F53">
        <f>Schedule!$I$1</f>
        <v/>
      </c>
      <c r="G53">
        <f>Schedule!$I$2</f>
        <v/>
      </c>
      <c r="H53">
        <f>Schedule!$I$10</f>
        <v/>
      </c>
      <c r="I53">
        <f>IF($N53=1,VALUE(LEFT($H53,2)),"")</f>
        <v/>
      </c>
      <c r="J53">
        <f>IF($N53=1,VALUE(MID($H53,9,2)),"")</f>
        <v/>
      </c>
      <c r="K53">
        <f>IF($N53=1,MOD($J53-$I53,24),0)</f>
        <v/>
      </c>
      <c r="L53">
        <f>IF($N53=1,$E53*24+$I53,"")</f>
        <v/>
      </c>
      <c r="M53">
        <f>IF($N53=1,$L53+$K53,"")</f>
        <v/>
      </c>
      <c r="N53">
        <f>IF(ISNUMBER(SEARCH(" - ",$H53&amp;"")),1,0)</f>
        <v/>
      </c>
      <c r="O53">
        <f>IF(UPPER($H53&amp;"")="LEAVE",1,0)</f>
        <v/>
      </c>
      <c r="P53">
        <f>IF($N53=1,$K53,0)</f>
        <v/>
      </c>
      <c r="Q53">
        <f>IF($N53=0,"",IFERROR($L53-LOOKUP(2,1/(($B$2:$B52=$B53)*($N$2:$N52=1)),$M$2:$M52),""))</f>
        <v/>
      </c>
    </row>
    <row r="54">
      <c r="A54" t="n">
        <v>53</v>
      </c>
      <c r="B54">
        <f>Schedule!$A$10</f>
        <v/>
      </c>
      <c r="C54">
        <f>Schedule!$D$10</f>
        <v/>
      </c>
      <c r="D54">
        <f>Schedule!$F$10</f>
        <v/>
      </c>
      <c r="E54" t="n">
        <v>3</v>
      </c>
      <c r="F54">
        <f>Schedule!$J$1</f>
        <v/>
      </c>
      <c r="G54">
        <f>Schedule!$J$2</f>
        <v/>
      </c>
      <c r="H54">
        <f>Schedule!$J$10</f>
        <v/>
      </c>
      <c r="I54">
        <f>IF($N54=1,VALUE(LEFT($H54,2)),"")</f>
        <v/>
      </c>
      <c r="J54">
        <f>IF($N54=1,VALUE(MID($H54,9,2)),"")</f>
        <v/>
      </c>
      <c r="K54">
        <f>IF($N54=1,MOD($J54-$I54,24),0)</f>
        <v/>
      </c>
      <c r="L54">
        <f>IF($N54=1,$E54*24+$I54,"")</f>
        <v/>
      </c>
      <c r="M54">
        <f>IF($N54=1,$L54+$K54,"")</f>
        <v/>
      </c>
      <c r="N54">
        <f>IF(ISNUMBER(SEARCH(" - ",$H54&amp;"")),1,0)</f>
        <v/>
      </c>
      <c r="O54">
        <f>IF(UPPER($H54&amp;"")="LEAVE",1,0)</f>
        <v/>
      </c>
      <c r="P54">
        <f>IF($N54=1,$K54,0)</f>
        <v/>
      </c>
      <c r="Q54">
        <f>IF($N54=0,"",IFERROR($L54-LOOKUP(2,1/(($B$2:$B53=$B54)*($N$2:$N53=1)),$M$2:$M53),""))</f>
        <v/>
      </c>
    </row>
    <row r="55">
      <c r="A55" t="n">
        <v>54</v>
      </c>
      <c r="B55">
        <f>Schedule!$A$10</f>
        <v/>
      </c>
      <c r="C55">
        <f>Schedule!$D$10</f>
        <v/>
      </c>
      <c r="D55">
        <f>Schedule!$F$10</f>
        <v/>
      </c>
      <c r="E55" t="n">
        <v>4</v>
      </c>
      <c r="F55">
        <f>Schedule!$K$1</f>
        <v/>
      </c>
      <c r="G55">
        <f>Schedule!$K$2</f>
        <v/>
      </c>
      <c r="H55">
        <f>Schedule!$K$10</f>
        <v/>
      </c>
      <c r="I55">
        <f>IF($N55=1,VALUE(LEFT($H55,2)),"")</f>
        <v/>
      </c>
      <c r="J55">
        <f>IF($N55=1,VALUE(MID($H55,9,2)),"")</f>
        <v/>
      </c>
      <c r="K55">
        <f>IF($N55=1,MOD($J55-$I55,24),0)</f>
        <v/>
      </c>
      <c r="L55">
        <f>IF($N55=1,$E55*24+$I55,"")</f>
        <v/>
      </c>
      <c r="M55">
        <f>IF($N55=1,$L55+$K55,"")</f>
        <v/>
      </c>
      <c r="N55">
        <f>IF(ISNUMBER(SEARCH(" - ",$H55&amp;"")),1,0)</f>
        <v/>
      </c>
      <c r="O55">
        <f>IF(UPPER($H55&amp;"")="LEAVE",1,0)</f>
        <v/>
      </c>
      <c r="P55">
        <f>IF($N55=1,$K55,0)</f>
        <v/>
      </c>
      <c r="Q55">
        <f>IF($N55=0,"",IFERROR($L55-LOOKUP(2,1/(($B$2:$B54=$B55)*($N$2:$N54=1)),$M$2:$M54),""))</f>
        <v/>
      </c>
    </row>
    <row r="56">
      <c r="A56" t="n">
        <v>55</v>
      </c>
      <c r="B56">
        <f>Schedule!$A$10</f>
        <v/>
      </c>
      <c r="C56">
        <f>Schedule!$D$10</f>
        <v/>
      </c>
      <c r="D56">
        <f>Schedule!$F$10</f>
        <v/>
      </c>
      <c r="E56" t="n">
        <v>5</v>
      </c>
      <c r="F56">
        <f>Schedule!$L$1</f>
        <v/>
      </c>
      <c r="G56">
        <f>Schedule!$L$2</f>
        <v/>
      </c>
      <c r="H56">
        <f>Schedule!$L$10</f>
        <v/>
      </c>
      <c r="I56">
        <f>IF($N56=1,VALUE(LEFT($H56,2)),"")</f>
        <v/>
      </c>
      <c r="J56">
        <f>IF($N56=1,VALUE(MID($H56,9,2)),"")</f>
        <v/>
      </c>
      <c r="K56">
        <f>IF($N56=1,MOD($J56-$I56,24),0)</f>
        <v/>
      </c>
      <c r="L56">
        <f>IF($N56=1,$E56*24+$I56,"")</f>
        <v/>
      </c>
      <c r="M56">
        <f>IF($N56=1,$L56+$K56,"")</f>
        <v/>
      </c>
      <c r="N56">
        <f>IF(ISNUMBER(SEARCH(" - ",$H56&amp;"")),1,0)</f>
        <v/>
      </c>
      <c r="O56">
        <f>IF(UPPER($H56&amp;"")="LEAVE",1,0)</f>
        <v/>
      </c>
      <c r="P56">
        <f>IF($N56=1,$K56,0)</f>
        <v/>
      </c>
      <c r="Q56">
        <f>IF($N56=0,"",IFERROR($L56-LOOKUP(2,1/(($B$2:$B55=$B56)*($N$2:$N55=1)),$M$2:$M55),""))</f>
        <v/>
      </c>
    </row>
    <row r="57">
      <c r="A57" t="n">
        <v>56</v>
      </c>
      <c r="B57">
        <f>Schedule!$A$10</f>
        <v/>
      </c>
      <c r="C57">
        <f>Schedule!$D$10</f>
        <v/>
      </c>
      <c r="D57">
        <f>Schedule!$F$10</f>
        <v/>
      </c>
      <c r="E57" t="n">
        <v>6</v>
      </c>
      <c r="F57">
        <f>Schedule!$M$1</f>
        <v/>
      </c>
      <c r="G57">
        <f>Schedule!$M$2</f>
        <v/>
      </c>
      <c r="H57">
        <f>Schedule!$M$10</f>
        <v/>
      </c>
      <c r="I57">
        <f>IF($N57=1,VALUE(LEFT($H57,2)),"")</f>
        <v/>
      </c>
      <c r="J57">
        <f>IF($N57=1,VALUE(MID($H57,9,2)),"")</f>
        <v/>
      </c>
      <c r="K57">
        <f>IF($N57=1,MOD($J57-$I57,24),0)</f>
        <v/>
      </c>
      <c r="L57">
        <f>IF($N57=1,$E57*24+$I57,"")</f>
        <v/>
      </c>
      <c r="M57">
        <f>IF($N57=1,$L57+$K57,"")</f>
        <v/>
      </c>
      <c r="N57">
        <f>IF(ISNUMBER(SEARCH(" - ",$H57&amp;"")),1,0)</f>
        <v/>
      </c>
      <c r="O57">
        <f>IF(UPPER($H57&amp;"")="LEAVE",1,0)</f>
        <v/>
      </c>
      <c r="P57">
        <f>IF($N57=1,$K57,0)</f>
        <v/>
      </c>
      <c r="Q57">
        <f>IF($N57=0,"",IFERROR($L57-LOOKUP(2,1/(($B$2:$B56=$B57)*($N$2:$N56=1)),$M$2:$M56),""))</f>
        <v/>
      </c>
    </row>
    <row r="58">
      <c r="A58" t="n">
        <v>57</v>
      </c>
      <c r="B58">
        <f>Schedule!$A$11</f>
        <v/>
      </c>
      <c r="C58">
        <f>Schedule!$D$11</f>
        <v/>
      </c>
      <c r="D58">
        <f>Schedule!$F$11</f>
        <v/>
      </c>
      <c r="E58" t="n">
        <v>0</v>
      </c>
      <c r="F58">
        <f>Schedule!$G$1</f>
        <v/>
      </c>
      <c r="G58">
        <f>Schedule!$G$2</f>
        <v/>
      </c>
      <c r="H58">
        <f>Schedule!$G$11</f>
        <v/>
      </c>
      <c r="I58">
        <f>IF($N58=1,VALUE(LEFT($H58,2)),"")</f>
        <v/>
      </c>
      <c r="J58">
        <f>IF($N58=1,VALUE(MID($H58,9,2)),"")</f>
        <v/>
      </c>
      <c r="K58">
        <f>IF($N58=1,MOD($J58-$I58,24),0)</f>
        <v/>
      </c>
      <c r="L58">
        <f>IF($N58=1,$E58*24+$I58,"")</f>
        <v/>
      </c>
      <c r="M58">
        <f>IF($N58=1,$L58+$K58,"")</f>
        <v/>
      </c>
      <c r="N58">
        <f>IF(ISNUMBER(SEARCH(" - ",$H58&amp;"")),1,0)</f>
        <v/>
      </c>
      <c r="O58">
        <f>IF(UPPER($H58&amp;"")="LEAVE",1,0)</f>
        <v/>
      </c>
      <c r="P58">
        <f>IF($N58=1,$K58,0)</f>
        <v/>
      </c>
      <c r="Q58">
        <f>IF($N58=0,"",IFERROR($L58-'Previous Engine'!$M$10,""))</f>
        <v/>
      </c>
    </row>
    <row r="59">
      <c r="A59" t="n">
        <v>58</v>
      </c>
      <c r="B59">
        <f>Schedule!$A$11</f>
        <v/>
      </c>
      <c r="C59">
        <f>Schedule!$D$11</f>
        <v/>
      </c>
      <c r="D59">
        <f>Schedule!$F$11</f>
        <v/>
      </c>
      <c r="E59" t="n">
        <v>1</v>
      </c>
      <c r="F59">
        <f>Schedule!$H$1</f>
        <v/>
      </c>
      <c r="G59">
        <f>Schedule!$H$2</f>
        <v/>
      </c>
      <c r="H59">
        <f>Schedule!$H$11</f>
        <v/>
      </c>
      <c r="I59">
        <f>IF($N59=1,VALUE(LEFT($H59,2)),"")</f>
        <v/>
      </c>
      <c r="J59">
        <f>IF($N59=1,VALUE(MID($H59,9,2)),"")</f>
        <v/>
      </c>
      <c r="K59">
        <f>IF($N59=1,MOD($J59-$I59,24),0)</f>
        <v/>
      </c>
      <c r="L59">
        <f>IF($N59=1,$E59*24+$I59,"")</f>
        <v/>
      </c>
      <c r="M59">
        <f>IF($N59=1,$L59+$K59,"")</f>
        <v/>
      </c>
      <c r="N59">
        <f>IF(ISNUMBER(SEARCH(" - ",$H59&amp;"")),1,0)</f>
        <v/>
      </c>
      <c r="O59">
        <f>IF(UPPER($H59&amp;"")="LEAVE",1,0)</f>
        <v/>
      </c>
      <c r="P59">
        <f>IF($N59=1,$K59,0)</f>
        <v/>
      </c>
      <c r="Q59">
        <f>IF($N59=0,"",IFERROR($L59-LOOKUP(2,1/(($B$2:$B58=$B59)*($N$2:$N58=1)),$M$2:$M58),""))</f>
        <v/>
      </c>
    </row>
    <row r="60">
      <c r="A60" t="n">
        <v>59</v>
      </c>
      <c r="B60">
        <f>Schedule!$A$11</f>
        <v/>
      </c>
      <c r="C60">
        <f>Schedule!$D$11</f>
        <v/>
      </c>
      <c r="D60">
        <f>Schedule!$F$11</f>
        <v/>
      </c>
      <c r="E60" t="n">
        <v>2</v>
      </c>
      <c r="F60">
        <f>Schedule!$I$1</f>
        <v/>
      </c>
      <c r="G60">
        <f>Schedule!$I$2</f>
        <v/>
      </c>
      <c r="H60">
        <f>Schedule!$I$11</f>
        <v/>
      </c>
      <c r="I60">
        <f>IF($N60=1,VALUE(LEFT($H60,2)),"")</f>
        <v/>
      </c>
      <c r="J60">
        <f>IF($N60=1,VALUE(MID($H60,9,2)),"")</f>
        <v/>
      </c>
      <c r="K60">
        <f>IF($N60=1,MOD($J60-$I60,24),0)</f>
        <v/>
      </c>
      <c r="L60">
        <f>IF($N60=1,$E60*24+$I60,"")</f>
        <v/>
      </c>
      <c r="M60">
        <f>IF($N60=1,$L60+$K60,"")</f>
        <v/>
      </c>
      <c r="N60">
        <f>IF(ISNUMBER(SEARCH(" - ",$H60&amp;"")),1,0)</f>
        <v/>
      </c>
      <c r="O60">
        <f>IF(UPPER($H60&amp;"")="LEAVE",1,0)</f>
        <v/>
      </c>
      <c r="P60">
        <f>IF($N60=1,$K60,0)</f>
        <v/>
      </c>
      <c r="Q60">
        <f>IF($N60=0,"",IFERROR($L60-LOOKUP(2,1/(($B$2:$B59=$B60)*($N$2:$N59=1)),$M$2:$M59),""))</f>
        <v/>
      </c>
    </row>
    <row r="61">
      <c r="A61" t="n">
        <v>60</v>
      </c>
      <c r="B61">
        <f>Schedule!$A$11</f>
        <v/>
      </c>
      <c r="C61">
        <f>Schedule!$D$11</f>
        <v/>
      </c>
      <c r="D61">
        <f>Schedule!$F$11</f>
        <v/>
      </c>
      <c r="E61" t="n">
        <v>3</v>
      </c>
      <c r="F61">
        <f>Schedule!$J$1</f>
        <v/>
      </c>
      <c r="G61">
        <f>Schedule!$J$2</f>
        <v/>
      </c>
      <c r="H61">
        <f>Schedule!$J$11</f>
        <v/>
      </c>
      <c r="I61">
        <f>IF($N61=1,VALUE(LEFT($H61,2)),"")</f>
        <v/>
      </c>
      <c r="J61">
        <f>IF($N61=1,VALUE(MID($H61,9,2)),"")</f>
        <v/>
      </c>
      <c r="K61">
        <f>IF($N61=1,MOD($J61-$I61,24),0)</f>
        <v/>
      </c>
      <c r="L61">
        <f>IF($N61=1,$E61*24+$I61,"")</f>
        <v/>
      </c>
      <c r="M61">
        <f>IF($N61=1,$L61+$K61,"")</f>
        <v/>
      </c>
      <c r="N61">
        <f>IF(ISNUMBER(SEARCH(" - ",$H61&amp;"")),1,0)</f>
        <v/>
      </c>
      <c r="O61">
        <f>IF(UPPER($H61&amp;"")="LEAVE",1,0)</f>
        <v/>
      </c>
      <c r="P61">
        <f>IF($N61=1,$K61,0)</f>
        <v/>
      </c>
      <c r="Q61">
        <f>IF($N61=0,"",IFERROR($L61-LOOKUP(2,1/(($B$2:$B60=$B61)*($N$2:$N60=1)),$M$2:$M60),""))</f>
        <v/>
      </c>
    </row>
    <row r="62">
      <c r="A62" t="n">
        <v>61</v>
      </c>
      <c r="B62">
        <f>Schedule!$A$11</f>
        <v/>
      </c>
      <c r="C62">
        <f>Schedule!$D$11</f>
        <v/>
      </c>
      <c r="D62">
        <f>Schedule!$F$11</f>
        <v/>
      </c>
      <c r="E62" t="n">
        <v>4</v>
      </c>
      <c r="F62">
        <f>Schedule!$K$1</f>
        <v/>
      </c>
      <c r="G62">
        <f>Schedule!$K$2</f>
        <v/>
      </c>
      <c r="H62">
        <f>Schedule!$K$11</f>
        <v/>
      </c>
      <c r="I62">
        <f>IF($N62=1,VALUE(LEFT($H62,2)),"")</f>
        <v/>
      </c>
      <c r="J62">
        <f>IF($N62=1,VALUE(MID($H62,9,2)),"")</f>
        <v/>
      </c>
      <c r="K62">
        <f>IF($N62=1,MOD($J62-$I62,24),0)</f>
        <v/>
      </c>
      <c r="L62">
        <f>IF($N62=1,$E62*24+$I62,"")</f>
        <v/>
      </c>
      <c r="M62">
        <f>IF($N62=1,$L62+$K62,"")</f>
        <v/>
      </c>
      <c r="N62">
        <f>IF(ISNUMBER(SEARCH(" - ",$H62&amp;"")),1,0)</f>
        <v/>
      </c>
      <c r="O62">
        <f>IF(UPPER($H62&amp;"")="LEAVE",1,0)</f>
        <v/>
      </c>
      <c r="P62">
        <f>IF($N62=1,$K62,0)</f>
        <v/>
      </c>
      <c r="Q62">
        <f>IF($N62=0,"",IFERROR($L62-LOOKUP(2,1/(($B$2:$B61=$B62)*($N$2:$N61=1)),$M$2:$M61),""))</f>
        <v/>
      </c>
    </row>
    <row r="63">
      <c r="A63" t="n">
        <v>62</v>
      </c>
      <c r="B63">
        <f>Schedule!$A$11</f>
        <v/>
      </c>
      <c r="C63">
        <f>Schedule!$D$11</f>
        <v/>
      </c>
      <c r="D63">
        <f>Schedule!$F$11</f>
        <v/>
      </c>
      <c r="E63" t="n">
        <v>5</v>
      </c>
      <c r="F63">
        <f>Schedule!$L$1</f>
        <v/>
      </c>
      <c r="G63">
        <f>Schedule!$L$2</f>
        <v/>
      </c>
      <c r="H63">
        <f>Schedule!$L$11</f>
        <v/>
      </c>
      <c r="I63">
        <f>IF($N63=1,VALUE(LEFT($H63,2)),"")</f>
        <v/>
      </c>
      <c r="J63">
        <f>IF($N63=1,VALUE(MID($H63,9,2)),"")</f>
        <v/>
      </c>
      <c r="K63">
        <f>IF($N63=1,MOD($J63-$I63,24),0)</f>
        <v/>
      </c>
      <c r="L63">
        <f>IF($N63=1,$E63*24+$I63,"")</f>
        <v/>
      </c>
      <c r="M63">
        <f>IF($N63=1,$L63+$K63,"")</f>
        <v/>
      </c>
      <c r="N63">
        <f>IF(ISNUMBER(SEARCH(" - ",$H63&amp;"")),1,0)</f>
        <v/>
      </c>
      <c r="O63">
        <f>IF(UPPER($H63&amp;"")="LEAVE",1,0)</f>
        <v/>
      </c>
      <c r="P63">
        <f>IF($N63=1,$K63,0)</f>
        <v/>
      </c>
      <c r="Q63">
        <f>IF($N63=0,"",IFERROR($L63-LOOKUP(2,1/(($B$2:$B62=$B63)*($N$2:$N62=1)),$M$2:$M62),""))</f>
        <v/>
      </c>
    </row>
    <row r="64">
      <c r="A64" t="n">
        <v>63</v>
      </c>
      <c r="B64">
        <f>Schedule!$A$11</f>
        <v/>
      </c>
      <c r="C64">
        <f>Schedule!$D$11</f>
        <v/>
      </c>
      <c r="D64">
        <f>Schedule!$F$11</f>
        <v/>
      </c>
      <c r="E64" t="n">
        <v>6</v>
      </c>
      <c r="F64">
        <f>Schedule!$M$1</f>
        <v/>
      </c>
      <c r="G64">
        <f>Schedule!$M$2</f>
        <v/>
      </c>
      <c r="H64">
        <f>Schedule!$M$11</f>
        <v/>
      </c>
      <c r="I64">
        <f>IF($N64=1,VALUE(LEFT($H64,2)),"")</f>
        <v/>
      </c>
      <c r="J64">
        <f>IF($N64=1,VALUE(MID($H64,9,2)),"")</f>
        <v/>
      </c>
      <c r="K64">
        <f>IF($N64=1,MOD($J64-$I64,24),0)</f>
        <v/>
      </c>
      <c r="L64">
        <f>IF($N64=1,$E64*24+$I64,"")</f>
        <v/>
      </c>
      <c r="M64">
        <f>IF($N64=1,$L64+$K64,"")</f>
        <v/>
      </c>
      <c r="N64">
        <f>IF(ISNUMBER(SEARCH(" - ",$H64&amp;"")),1,0)</f>
        <v/>
      </c>
      <c r="O64">
        <f>IF(UPPER($H64&amp;"")="LEAVE",1,0)</f>
        <v/>
      </c>
      <c r="P64">
        <f>IF($N64=1,$K64,0)</f>
        <v/>
      </c>
      <c r="Q64">
        <f>IF($N64=0,"",IFERROR($L64-LOOKUP(2,1/(($B$2:$B63=$B64)*($N$2:$N63=1)),$M$2:$M63),""))</f>
        <v/>
      </c>
    </row>
    <row r="65">
      <c r="A65" t="n">
        <v>64</v>
      </c>
      <c r="B65">
        <f>Schedule!$A$12</f>
        <v/>
      </c>
      <c r="C65">
        <f>Schedule!$D$12</f>
        <v/>
      </c>
      <c r="D65">
        <f>Schedule!$F$12</f>
        <v/>
      </c>
      <c r="E65" t="n">
        <v>0</v>
      </c>
      <c r="F65">
        <f>Schedule!$G$1</f>
        <v/>
      </c>
      <c r="G65">
        <f>Schedule!$G$2</f>
        <v/>
      </c>
      <c r="H65">
        <f>Schedule!$G$12</f>
        <v/>
      </c>
      <c r="I65">
        <f>IF($N65=1,VALUE(LEFT($H65,2)),"")</f>
        <v/>
      </c>
      <c r="J65">
        <f>IF($N65=1,VALUE(MID($H65,9,2)),"")</f>
        <v/>
      </c>
      <c r="K65">
        <f>IF($N65=1,MOD($J65-$I65,24),0)</f>
        <v/>
      </c>
      <c r="L65">
        <f>IF($N65=1,$E65*24+$I65,"")</f>
        <v/>
      </c>
      <c r="M65">
        <f>IF($N65=1,$L65+$K65,"")</f>
        <v/>
      </c>
      <c r="N65">
        <f>IF(ISNUMBER(SEARCH(" - ",$H65&amp;"")),1,0)</f>
        <v/>
      </c>
      <c r="O65">
        <f>IF(UPPER($H65&amp;"")="LEAVE",1,0)</f>
        <v/>
      </c>
      <c r="P65">
        <f>IF($N65=1,$K65,0)</f>
        <v/>
      </c>
      <c r="Q65">
        <f>IF($N65=0,"",IFERROR($L65-'Previous Engine'!$M$11,""))</f>
        <v/>
      </c>
    </row>
    <row r="66">
      <c r="A66" t="n">
        <v>65</v>
      </c>
      <c r="B66">
        <f>Schedule!$A$12</f>
        <v/>
      </c>
      <c r="C66">
        <f>Schedule!$D$12</f>
        <v/>
      </c>
      <c r="D66">
        <f>Schedule!$F$12</f>
        <v/>
      </c>
      <c r="E66" t="n">
        <v>1</v>
      </c>
      <c r="F66">
        <f>Schedule!$H$1</f>
        <v/>
      </c>
      <c r="G66">
        <f>Schedule!$H$2</f>
        <v/>
      </c>
      <c r="H66">
        <f>Schedule!$H$12</f>
        <v/>
      </c>
      <c r="I66">
        <f>IF($N66=1,VALUE(LEFT($H66,2)),"")</f>
        <v/>
      </c>
      <c r="J66">
        <f>IF($N66=1,VALUE(MID($H66,9,2)),"")</f>
        <v/>
      </c>
      <c r="K66">
        <f>IF($N66=1,MOD($J66-$I66,24),0)</f>
        <v/>
      </c>
      <c r="L66">
        <f>IF($N66=1,$E66*24+$I66,"")</f>
        <v/>
      </c>
      <c r="M66">
        <f>IF($N66=1,$L66+$K66,"")</f>
        <v/>
      </c>
      <c r="N66">
        <f>IF(ISNUMBER(SEARCH(" - ",$H66&amp;"")),1,0)</f>
        <v/>
      </c>
      <c r="O66">
        <f>IF(UPPER($H66&amp;"")="LEAVE",1,0)</f>
        <v/>
      </c>
      <c r="P66">
        <f>IF($N66=1,$K66,0)</f>
        <v/>
      </c>
      <c r="Q66">
        <f>IF($N66=0,"",IFERROR($L66-LOOKUP(2,1/(($B$2:$B65=$B66)*($N$2:$N65=1)),$M$2:$M65),""))</f>
        <v/>
      </c>
    </row>
    <row r="67">
      <c r="A67" t="n">
        <v>66</v>
      </c>
      <c r="B67">
        <f>Schedule!$A$12</f>
        <v/>
      </c>
      <c r="C67">
        <f>Schedule!$D$12</f>
        <v/>
      </c>
      <c r="D67">
        <f>Schedule!$F$12</f>
        <v/>
      </c>
      <c r="E67" t="n">
        <v>2</v>
      </c>
      <c r="F67">
        <f>Schedule!$I$1</f>
        <v/>
      </c>
      <c r="G67">
        <f>Schedule!$I$2</f>
        <v/>
      </c>
      <c r="H67">
        <f>Schedule!$I$12</f>
        <v/>
      </c>
      <c r="I67">
        <f>IF($N67=1,VALUE(LEFT($H67,2)),"")</f>
        <v/>
      </c>
      <c r="J67">
        <f>IF($N67=1,VALUE(MID($H67,9,2)),"")</f>
        <v/>
      </c>
      <c r="K67">
        <f>IF($N67=1,MOD($J67-$I67,24),0)</f>
        <v/>
      </c>
      <c r="L67">
        <f>IF($N67=1,$E67*24+$I67,"")</f>
        <v/>
      </c>
      <c r="M67">
        <f>IF($N67=1,$L67+$K67,"")</f>
        <v/>
      </c>
      <c r="N67">
        <f>IF(ISNUMBER(SEARCH(" - ",$H67&amp;"")),1,0)</f>
        <v/>
      </c>
      <c r="O67">
        <f>IF(UPPER($H67&amp;"")="LEAVE",1,0)</f>
        <v/>
      </c>
      <c r="P67">
        <f>IF($N67=1,$K67,0)</f>
        <v/>
      </c>
      <c r="Q67">
        <f>IF($N67=0,"",IFERROR($L67-LOOKUP(2,1/(($B$2:$B66=$B67)*($N$2:$N66=1)),$M$2:$M66),""))</f>
        <v/>
      </c>
    </row>
    <row r="68">
      <c r="A68" t="n">
        <v>67</v>
      </c>
      <c r="B68">
        <f>Schedule!$A$12</f>
        <v/>
      </c>
      <c r="C68">
        <f>Schedule!$D$12</f>
        <v/>
      </c>
      <c r="D68">
        <f>Schedule!$F$12</f>
        <v/>
      </c>
      <c r="E68" t="n">
        <v>3</v>
      </c>
      <c r="F68">
        <f>Schedule!$J$1</f>
        <v/>
      </c>
      <c r="G68">
        <f>Schedule!$J$2</f>
        <v/>
      </c>
      <c r="H68">
        <f>Schedule!$J$12</f>
        <v/>
      </c>
      <c r="I68">
        <f>IF($N68=1,VALUE(LEFT($H68,2)),"")</f>
        <v/>
      </c>
      <c r="J68">
        <f>IF($N68=1,VALUE(MID($H68,9,2)),"")</f>
        <v/>
      </c>
      <c r="K68">
        <f>IF($N68=1,MOD($J68-$I68,24),0)</f>
        <v/>
      </c>
      <c r="L68">
        <f>IF($N68=1,$E68*24+$I68,"")</f>
        <v/>
      </c>
      <c r="M68">
        <f>IF($N68=1,$L68+$K68,"")</f>
        <v/>
      </c>
      <c r="N68">
        <f>IF(ISNUMBER(SEARCH(" - ",$H68&amp;"")),1,0)</f>
        <v/>
      </c>
      <c r="O68">
        <f>IF(UPPER($H68&amp;"")="LEAVE",1,0)</f>
        <v/>
      </c>
      <c r="P68">
        <f>IF($N68=1,$K68,0)</f>
        <v/>
      </c>
      <c r="Q68">
        <f>IF($N68=0,"",IFERROR($L68-LOOKUP(2,1/(($B$2:$B67=$B68)*($N$2:$N67=1)),$M$2:$M67),""))</f>
        <v/>
      </c>
    </row>
    <row r="69">
      <c r="A69" t="n">
        <v>68</v>
      </c>
      <c r="B69">
        <f>Schedule!$A$12</f>
        <v/>
      </c>
      <c r="C69">
        <f>Schedule!$D$12</f>
        <v/>
      </c>
      <c r="D69">
        <f>Schedule!$F$12</f>
        <v/>
      </c>
      <c r="E69" t="n">
        <v>4</v>
      </c>
      <c r="F69">
        <f>Schedule!$K$1</f>
        <v/>
      </c>
      <c r="G69">
        <f>Schedule!$K$2</f>
        <v/>
      </c>
      <c r="H69">
        <f>Schedule!$K$12</f>
        <v/>
      </c>
      <c r="I69">
        <f>IF($N69=1,VALUE(LEFT($H69,2)),"")</f>
        <v/>
      </c>
      <c r="J69">
        <f>IF($N69=1,VALUE(MID($H69,9,2)),"")</f>
        <v/>
      </c>
      <c r="K69">
        <f>IF($N69=1,MOD($J69-$I69,24),0)</f>
        <v/>
      </c>
      <c r="L69">
        <f>IF($N69=1,$E69*24+$I69,"")</f>
        <v/>
      </c>
      <c r="M69">
        <f>IF($N69=1,$L69+$K69,"")</f>
        <v/>
      </c>
      <c r="N69">
        <f>IF(ISNUMBER(SEARCH(" - ",$H69&amp;"")),1,0)</f>
        <v/>
      </c>
      <c r="O69">
        <f>IF(UPPER($H69&amp;"")="LEAVE",1,0)</f>
        <v/>
      </c>
      <c r="P69">
        <f>IF($N69=1,$K69,0)</f>
        <v/>
      </c>
      <c r="Q69">
        <f>IF($N69=0,"",IFERROR($L69-LOOKUP(2,1/(($B$2:$B68=$B69)*($N$2:$N68=1)),$M$2:$M68),""))</f>
        <v/>
      </c>
    </row>
    <row r="70">
      <c r="A70" t="n">
        <v>69</v>
      </c>
      <c r="B70">
        <f>Schedule!$A$12</f>
        <v/>
      </c>
      <c r="C70">
        <f>Schedule!$D$12</f>
        <v/>
      </c>
      <c r="D70">
        <f>Schedule!$F$12</f>
        <v/>
      </c>
      <c r="E70" t="n">
        <v>5</v>
      </c>
      <c r="F70">
        <f>Schedule!$L$1</f>
        <v/>
      </c>
      <c r="G70">
        <f>Schedule!$L$2</f>
        <v/>
      </c>
      <c r="H70">
        <f>Schedule!$L$12</f>
        <v/>
      </c>
      <c r="I70">
        <f>IF($N70=1,VALUE(LEFT($H70,2)),"")</f>
        <v/>
      </c>
      <c r="J70">
        <f>IF($N70=1,VALUE(MID($H70,9,2)),"")</f>
        <v/>
      </c>
      <c r="K70">
        <f>IF($N70=1,MOD($J70-$I70,24),0)</f>
        <v/>
      </c>
      <c r="L70">
        <f>IF($N70=1,$E70*24+$I70,"")</f>
        <v/>
      </c>
      <c r="M70">
        <f>IF($N70=1,$L70+$K70,"")</f>
        <v/>
      </c>
      <c r="N70">
        <f>IF(ISNUMBER(SEARCH(" - ",$H70&amp;"")),1,0)</f>
        <v/>
      </c>
      <c r="O70">
        <f>IF(UPPER($H70&amp;"")="LEAVE",1,0)</f>
        <v/>
      </c>
      <c r="P70">
        <f>IF($N70=1,$K70,0)</f>
        <v/>
      </c>
      <c r="Q70">
        <f>IF($N70=0,"",IFERROR($L70-LOOKUP(2,1/(($B$2:$B69=$B70)*($N$2:$N69=1)),$M$2:$M69),""))</f>
        <v/>
      </c>
    </row>
    <row r="71">
      <c r="A71" t="n">
        <v>70</v>
      </c>
      <c r="B71">
        <f>Schedule!$A$12</f>
        <v/>
      </c>
      <c r="C71">
        <f>Schedule!$D$12</f>
        <v/>
      </c>
      <c r="D71">
        <f>Schedule!$F$12</f>
        <v/>
      </c>
      <c r="E71" t="n">
        <v>6</v>
      </c>
      <c r="F71">
        <f>Schedule!$M$1</f>
        <v/>
      </c>
      <c r="G71">
        <f>Schedule!$M$2</f>
        <v/>
      </c>
      <c r="H71">
        <f>Schedule!$M$12</f>
        <v/>
      </c>
      <c r="I71">
        <f>IF($N71=1,VALUE(LEFT($H71,2)),"")</f>
        <v/>
      </c>
      <c r="J71">
        <f>IF($N71=1,VALUE(MID($H71,9,2)),"")</f>
        <v/>
      </c>
      <c r="K71">
        <f>IF($N71=1,MOD($J71-$I71,24),0)</f>
        <v/>
      </c>
      <c r="L71">
        <f>IF($N71=1,$E71*24+$I71,"")</f>
        <v/>
      </c>
      <c r="M71">
        <f>IF($N71=1,$L71+$K71,"")</f>
        <v/>
      </c>
      <c r="N71">
        <f>IF(ISNUMBER(SEARCH(" - ",$H71&amp;"")),1,0)</f>
        <v/>
      </c>
      <c r="O71">
        <f>IF(UPPER($H71&amp;"")="LEAVE",1,0)</f>
        <v/>
      </c>
      <c r="P71">
        <f>IF($N71=1,$K71,0)</f>
        <v/>
      </c>
      <c r="Q71">
        <f>IF($N71=0,"",IFERROR($L71-LOOKUP(2,1/(($B$2:$B70=$B71)*($N$2:$N70=1)),$M$2:$M70),""))</f>
        <v/>
      </c>
    </row>
    <row r="72">
      <c r="A72" t="n">
        <v>71</v>
      </c>
      <c r="B72">
        <f>Schedule!$A$13</f>
        <v/>
      </c>
      <c r="C72">
        <f>Schedule!$D$13</f>
        <v/>
      </c>
      <c r="D72">
        <f>Schedule!$F$13</f>
        <v/>
      </c>
      <c r="E72" t="n">
        <v>0</v>
      </c>
      <c r="F72">
        <f>Schedule!$G$1</f>
        <v/>
      </c>
      <c r="G72">
        <f>Schedule!$G$2</f>
        <v/>
      </c>
      <c r="H72">
        <f>Schedule!$G$13</f>
        <v/>
      </c>
      <c r="I72">
        <f>IF($N72=1,VALUE(LEFT($H72,2)),"")</f>
        <v/>
      </c>
      <c r="J72">
        <f>IF($N72=1,VALUE(MID($H72,9,2)),"")</f>
        <v/>
      </c>
      <c r="K72">
        <f>IF($N72=1,MOD($J72-$I72,24),0)</f>
        <v/>
      </c>
      <c r="L72">
        <f>IF($N72=1,$E72*24+$I72,"")</f>
        <v/>
      </c>
      <c r="M72">
        <f>IF($N72=1,$L72+$K72,"")</f>
        <v/>
      </c>
      <c r="N72">
        <f>IF(ISNUMBER(SEARCH(" - ",$H72&amp;"")),1,0)</f>
        <v/>
      </c>
      <c r="O72">
        <f>IF(UPPER($H72&amp;"")="LEAVE",1,0)</f>
        <v/>
      </c>
      <c r="P72">
        <f>IF($N72=1,$K72,0)</f>
        <v/>
      </c>
      <c r="Q72">
        <f>IF($N72=0,"",IFERROR($L72-'Previous Engine'!$M$12,""))</f>
        <v/>
      </c>
    </row>
    <row r="73">
      <c r="A73" t="n">
        <v>72</v>
      </c>
      <c r="B73">
        <f>Schedule!$A$13</f>
        <v/>
      </c>
      <c r="C73">
        <f>Schedule!$D$13</f>
        <v/>
      </c>
      <c r="D73">
        <f>Schedule!$F$13</f>
        <v/>
      </c>
      <c r="E73" t="n">
        <v>1</v>
      </c>
      <c r="F73">
        <f>Schedule!$H$1</f>
        <v/>
      </c>
      <c r="G73">
        <f>Schedule!$H$2</f>
        <v/>
      </c>
      <c r="H73">
        <f>Schedule!$H$13</f>
        <v/>
      </c>
      <c r="I73">
        <f>IF($N73=1,VALUE(LEFT($H73,2)),"")</f>
        <v/>
      </c>
      <c r="J73">
        <f>IF($N73=1,VALUE(MID($H73,9,2)),"")</f>
        <v/>
      </c>
      <c r="K73">
        <f>IF($N73=1,MOD($J73-$I73,24),0)</f>
        <v/>
      </c>
      <c r="L73">
        <f>IF($N73=1,$E73*24+$I73,"")</f>
        <v/>
      </c>
      <c r="M73">
        <f>IF($N73=1,$L73+$K73,"")</f>
        <v/>
      </c>
      <c r="N73">
        <f>IF(ISNUMBER(SEARCH(" - ",$H73&amp;"")),1,0)</f>
        <v/>
      </c>
      <c r="O73">
        <f>IF(UPPER($H73&amp;"")="LEAVE",1,0)</f>
        <v/>
      </c>
      <c r="P73">
        <f>IF($N73=1,$K73,0)</f>
        <v/>
      </c>
      <c r="Q73">
        <f>IF($N73=0,"",IFERROR($L73-LOOKUP(2,1/(($B$2:$B72=$B73)*($N$2:$N72=1)),$M$2:$M72),""))</f>
        <v/>
      </c>
    </row>
    <row r="74">
      <c r="A74" t="n">
        <v>73</v>
      </c>
      <c r="B74">
        <f>Schedule!$A$13</f>
        <v/>
      </c>
      <c r="C74">
        <f>Schedule!$D$13</f>
        <v/>
      </c>
      <c r="D74">
        <f>Schedule!$F$13</f>
        <v/>
      </c>
      <c r="E74" t="n">
        <v>2</v>
      </c>
      <c r="F74">
        <f>Schedule!$I$1</f>
        <v/>
      </c>
      <c r="G74">
        <f>Schedule!$I$2</f>
        <v/>
      </c>
      <c r="H74">
        <f>Schedule!$I$13</f>
        <v/>
      </c>
      <c r="I74">
        <f>IF($N74=1,VALUE(LEFT($H74,2)),"")</f>
        <v/>
      </c>
      <c r="J74">
        <f>IF($N74=1,VALUE(MID($H74,9,2)),"")</f>
        <v/>
      </c>
      <c r="K74">
        <f>IF($N74=1,MOD($J74-$I74,24),0)</f>
        <v/>
      </c>
      <c r="L74">
        <f>IF($N74=1,$E74*24+$I74,"")</f>
        <v/>
      </c>
      <c r="M74">
        <f>IF($N74=1,$L74+$K74,"")</f>
        <v/>
      </c>
      <c r="N74">
        <f>IF(ISNUMBER(SEARCH(" - ",$H74&amp;"")),1,0)</f>
        <v/>
      </c>
      <c r="O74">
        <f>IF(UPPER($H74&amp;"")="LEAVE",1,0)</f>
        <v/>
      </c>
      <c r="P74">
        <f>IF($N74=1,$K74,0)</f>
        <v/>
      </c>
      <c r="Q74">
        <f>IF($N74=0,"",IFERROR($L74-LOOKUP(2,1/(($B$2:$B73=$B74)*($N$2:$N73=1)),$M$2:$M73),""))</f>
        <v/>
      </c>
    </row>
    <row r="75">
      <c r="A75" t="n">
        <v>74</v>
      </c>
      <c r="B75">
        <f>Schedule!$A$13</f>
        <v/>
      </c>
      <c r="C75">
        <f>Schedule!$D$13</f>
        <v/>
      </c>
      <c r="D75">
        <f>Schedule!$F$13</f>
        <v/>
      </c>
      <c r="E75" t="n">
        <v>3</v>
      </c>
      <c r="F75">
        <f>Schedule!$J$1</f>
        <v/>
      </c>
      <c r="G75">
        <f>Schedule!$J$2</f>
        <v/>
      </c>
      <c r="H75">
        <f>Schedule!$J$13</f>
        <v/>
      </c>
      <c r="I75">
        <f>IF($N75=1,VALUE(LEFT($H75,2)),"")</f>
        <v/>
      </c>
      <c r="J75">
        <f>IF($N75=1,VALUE(MID($H75,9,2)),"")</f>
        <v/>
      </c>
      <c r="K75">
        <f>IF($N75=1,MOD($J75-$I75,24),0)</f>
        <v/>
      </c>
      <c r="L75">
        <f>IF($N75=1,$E75*24+$I75,"")</f>
        <v/>
      </c>
      <c r="M75">
        <f>IF($N75=1,$L75+$K75,"")</f>
        <v/>
      </c>
      <c r="N75">
        <f>IF(ISNUMBER(SEARCH(" - ",$H75&amp;"")),1,0)</f>
        <v/>
      </c>
      <c r="O75">
        <f>IF(UPPER($H75&amp;"")="LEAVE",1,0)</f>
        <v/>
      </c>
      <c r="P75">
        <f>IF($N75=1,$K75,0)</f>
        <v/>
      </c>
      <c r="Q75">
        <f>IF($N75=0,"",IFERROR($L75-LOOKUP(2,1/(($B$2:$B74=$B75)*($N$2:$N74=1)),$M$2:$M74),""))</f>
        <v/>
      </c>
    </row>
    <row r="76">
      <c r="A76" t="n">
        <v>75</v>
      </c>
      <c r="B76">
        <f>Schedule!$A$13</f>
        <v/>
      </c>
      <c r="C76">
        <f>Schedule!$D$13</f>
        <v/>
      </c>
      <c r="D76">
        <f>Schedule!$F$13</f>
        <v/>
      </c>
      <c r="E76" t="n">
        <v>4</v>
      </c>
      <c r="F76">
        <f>Schedule!$K$1</f>
        <v/>
      </c>
      <c r="G76">
        <f>Schedule!$K$2</f>
        <v/>
      </c>
      <c r="H76">
        <f>Schedule!$K$13</f>
        <v/>
      </c>
      <c r="I76">
        <f>IF($N76=1,VALUE(LEFT($H76,2)),"")</f>
        <v/>
      </c>
      <c r="J76">
        <f>IF($N76=1,VALUE(MID($H76,9,2)),"")</f>
        <v/>
      </c>
      <c r="K76">
        <f>IF($N76=1,MOD($J76-$I76,24),0)</f>
        <v/>
      </c>
      <c r="L76">
        <f>IF($N76=1,$E76*24+$I76,"")</f>
        <v/>
      </c>
      <c r="M76">
        <f>IF($N76=1,$L76+$K76,"")</f>
        <v/>
      </c>
      <c r="N76">
        <f>IF(ISNUMBER(SEARCH(" - ",$H76&amp;"")),1,0)</f>
        <v/>
      </c>
      <c r="O76">
        <f>IF(UPPER($H76&amp;"")="LEAVE",1,0)</f>
        <v/>
      </c>
      <c r="P76">
        <f>IF($N76=1,$K76,0)</f>
        <v/>
      </c>
      <c r="Q76">
        <f>IF($N76=0,"",IFERROR($L76-LOOKUP(2,1/(($B$2:$B75=$B76)*($N$2:$N75=1)),$M$2:$M75),""))</f>
        <v/>
      </c>
    </row>
    <row r="77">
      <c r="A77" t="n">
        <v>76</v>
      </c>
      <c r="B77">
        <f>Schedule!$A$13</f>
        <v/>
      </c>
      <c r="C77">
        <f>Schedule!$D$13</f>
        <v/>
      </c>
      <c r="D77">
        <f>Schedule!$F$13</f>
        <v/>
      </c>
      <c r="E77" t="n">
        <v>5</v>
      </c>
      <c r="F77">
        <f>Schedule!$L$1</f>
        <v/>
      </c>
      <c r="G77">
        <f>Schedule!$L$2</f>
        <v/>
      </c>
      <c r="H77">
        <f>Schedule!$L$13</f>
        <v/>
      </c>
      <c r="I77">
        <f>IF($N77=1,VALUE(LEFT($H77,2)),"")</f>
        <v/>
      </c>
      <c r="J77">
        <f>IF($N77=1,VALUE(MID($H77,9,2)),"")</f>
        <v/>
      </c>
      <c r="K77">
        <f>IF($N77=1,MOD($J77-$I77,24),0)</f>
        <v/>
      </c>
      <c r="L77">
        <f>IF($N77=1,$E77*24+$I77,"")</f>
        <v/>
      </c>
      <c r="M77">
        <f>IF($N77=1,$L77+$K77,"")</f>
        <v/>
      </c>
      <c r="N77">
        <f>IF(ISNUMBER(SEARCH(" - ",$H77&amp;"")),1,0)</f>
        <v/>
      </c>
      <c r="O77">
        <f>IF(UPPER($H77&amp;"")="LEAVE",1,0)</f>
        <v/>
      </c>
      <c r="P77">
        <f>IF($N77=1,$K77,0)</f>
        <v/>
      </c>
      <c r="Q77">
        <f>IF($N77=0,"",IFERROR($L77-LOOKUP(2,1/(($B$2:$B76=$B77)*($N$2:$N76=1)),$M$2:$M76),""))</f>
        <v/>
      </c>
    </row>
    <row r="78">
      <c r="A78" t="n">
        <v>77</v>
      </c>
      <c r="B78">
        <f>Schedule!$A$13</f>
        <v/>
      </c>
      <c r="C78">
        <f>Schedule!$D$13</f>
        <v/>
      </c>
      <c r="D78">
        <f>Schedule!$F$13</f>
        <v/>
      </c>
      <c r="E78" t="n">
        <v>6</v>
      </c>
      <c r="F78">
        <f>Schedule!$M$1</f>
        <v/>
      </c>
      <c r="G78">
        <f>Schedule!$M$2</f>
        <v/>
      </c>
      <c r="H78">
        <f>Schedule!$M$13</f>
        <v/>
      </c>
      <c r="I78">
        <f>IF($N78=1,VALUE(LEFT($H78,2)),"")</f>
        <v/>
      </c>
      <c r="J78">
        <f>IF($N78=1,VALUE(MID($H78,9,2)),"")</f>
        <v/>
      </c>
      <c r="K78">
        <f>IF($N78=1,MOD($J78-$I78,24),0)</f>
        <v/>
      </c>
      <c r="L78">
        <f>IF($N78=1,$E78*24+$I78,"")</f>
        <v/>
      </c>
      <c r="M78">
        <f>IF($N78=1,$L78+$K78,"")</f>
        <v/>
      </c>
      <c r="N78">
        <f>IF(ISNUMBER(SEARCH(" - ",$H78&amp;"")),1,0)</f>
        <v/>
      </c>
      <c r="O78">
        <f>IF(UPPER($H78&amp;"")="LEAVE",1,0)</f>
        <v/>
      </c>
      <c r="P78">
        <f>IF($N78=1,$K78,0)</f>
        <v/>
      </c>
      <c r="Q78">
        <f>IF($N78=0,"",IFERROR($L78-LOOKUP(2,1/(($B$2:$B77=$B78)*($N$2:$N77=1)),$M$2:$M77),""))</f>
        <v/>
      </c>
    </row>
    <row r="79">
      <c r="A79" t="n">
        <v>78</v>
      </c>
      <c r="B79">
        <f>Schedule!$A$14</f>
        <v/>
      </c>
      <c r="C79">
        <f>Schedule!$D$14</f>
        <v/>
      </c>
      <c r="D79">
        <f>Schedule!$F$14</f>
        <v/>
      </c>
      <c r="E79" t="n">
        <v>0</v>
      </c>
      <c r="F79">
        <f>Schedule!$G$1</f>
        <v/>
      </c>
      <c r="G79">
        <f>Schedule!$G$2</f>
        <v/>
      </c>
      <c r="H79">
        <f>Schedule!$G$14</f>
        <v/>
      </c>
      <c r="I79">
        <f>IF($N79=1,VALUE(LEFT($H79,2)),"")</f>
        <v/>
      </c>
      <c r="J79">
        <f>IF($N79=1,VALUE(MID($H79,9,2)),"")</f>
        <v/>
      </c>
      <c r="K79">
        <f>IF($N79=1,MOD($J79-$I79,24),0)</f>
        <v/>
      </c>
      <c r="L79">
        <f>IF($N79=1,$E79*24+$I79,"")</f>
        <v/>
      </c>
      <c r="M79">
        <f>IF($N79=1,$L79+$K79,"")</f>
        <v/>
      </c>
      <c r="N79">
        <f>IF(ISNUMBER(SEARCH(" - ",$H79&amp;"")),1,0)</f>
        <v/>
      </c>
      <c r="O79">
        <f>IF(UPPER($H79&amp;"")="LEAVE",1,0)</f>
        <v/>
      </c>
      <c r="P79">
        <f>IF($N79=1,$K79,0)</f>
        <v/>
      </c>
      <c r="Q79">
        <f>IF($N79=0,"",IFERROR($L79-'Previous Engine'!$M$13,""))</f>
        <v/>
      </c>
    </row>
    <row r="80">
      <c r="A80" t="n">
        <v>79</v>
      </c>
      <c r="B80">
        <f>Schedule!$A$14</f>
        <v/>
      </c>
      <c r="C80">
        <f>Schedule!$D$14</f>
        <v/>
      </c>
      <c r="D80">
        <f>Schedule!$F$14</f>
        <v/>
      </c>
      <c r="E80" t="n">
        <v>1</v>
      </c>
      <c r="F80">
        <f>Schedule!$H$1</f>
        <v/>
      </c>
      <c r="G80">
        <f>Schedule!$H$2</f>
        <v/>
      </c>
      <c r="H80">
        <f>Schedule!$H$14</f>
        <v/>
      </c>
      <c r="I80">
        <f>IF($N80=1,VALUE(LEFT($H80,2)),"")</f>
        <v/>
      </c>
      <c r="J80">
        <f>IF($N80=1,VALUE(MID($H80,9,2)),"")</f>
        <v/>
      </c>
      <c r="K80">
        <f>IF($N80=1,MOD($J80-$I80,24),0)</f>
        <v/>
      </c>
      <c r="L80">
        <f>IF($N80=1,$E80*24+$I80,"")</f>
        <v/>
      </c>
      <c r="M80">
        <f>IF($N80=1,$L80+$K80,"")</f>
        <v/>
      </c>
      <c r="N80">
        <f>IF(ISNUMBER(SEARCH(" - ",$H80&amp;"")),1,0)</f>
        <v/>
      </c>
      <c r="O80">
        <f>IF(UPPER($H80&amp;"")="LEAVE",1,0)</f>
        <v/>
      </c>
      <c r="P80">
        <f>IF($N80=1,$K80,0)</f>
        <v/>
      </c>
      <c r="Q80">
        <f>IF($N80=0,"",IFERROR($L80-LOOKUP(2,1/(($B$2:$B79=$B80)*($N$2:$N79=1)),$M$2:$M79),""))</f>
        <v/>
      </c>
    </row>
    <row r="81">
      <c r="A81" t="n">
        <v>80</v>
      </c>
      <c r="B81">
        <f>Schedule!$A$14</f>
        <v/>
      </c>
      <c r="C81">
        <f>Schedule!$D$14</f>
        <v/>
      </c>
      <c r="D81">
        <f>Schedule!$F$14</f>
        <v/>
      </c>
      <c r="E81" t="n">
        <v>2</v>
      </c>
      <c r="F81">
        <f>Schedule!$I$1</f>
        <v/>
      </c>
      <c r="G81">
        <f>Schedule!$I$2</f>
        <v/>
      </c>
      <c r="H81">
        <f>Schedule!$I$14</f>
        <v/>
      </c>
      <c r="I81">
        <f>IF($N81=1,VALUE(LEFT($H81,2)),"")</f>
        <v/>
      </c>
      <c r="J81">
        <f>IF($N81=1,VALUE(MID($H81,9,2)),"")</f>
        <v/>
      </c>
      <c r="K81">
        <f>IF($N81=1,MOD($J81-$I81,24),0)</f>
        <v/>
      </c>
      <c r="L81">
        <f>IF($N81=1,$E81*24+$I81,"")</f>
        <v/>
      </c>
      <c r="M81">
        <f>IF($N81=1,$L81+$K81,"")</f>
        <v/>
      </c>
      <c r="N81">
        <f>IF(ISNUMBER(SEARCH(" - ",$H81&amp;"")),1,0)</f>
        <v/>
      </c>
      <c r="O81">
        <f>IF(UPPER($H81&amp;"")="LEAVE",1,0)</f>
        <v/>
      </c>
      <c r="P81">
        <f>IF($N81=1,$K81,0)</f>
        <v/>
      </c>
      <c r="Q81">
        <f>IF($N81=0,"",IFERROR($L81-LOOKUP(2,1/(($B$2:$B80=$B81)*($N$2:$N80=1)),$M$2:$M80),""))</f>
        <v/>
      </c>
    </row>
    <row r="82">
      <c r="A82" t="n">
        <v>81</v>
      </c>
      <c r="B82">
        <f>Schedule!$A$14</f>
        <v/>
      </c>
      <c r="C82">
        <f>Schedule!$D$14</f>
        <v/>
      </c>
      <c r="D82">
        <f>Schedule!$F$14</f>
        <v/>
      </c>
      <c r="E82" t="n">
        <v>3</v>
      </c>
      <c r="F82">
        <f>Schedule!$J$1</f>
        <v/>
      </c>
      <c r="G82">
        <f>Schedule!$J$2</f>
        <v/>
      </c>
      <c r="H82">
        <f>Schedule!$J$14</f>
        <v/>
      </c>
      <c r="I82">
        <f>IF($N82=1,VALUE(LEFT($H82,2)),"")</f>
        <v/>
      </c>
      <c r="J82">
        <f>IF($N82=1,VALUE(MID($H82,9,2)),"")</f>
        <v/>
      </c>
      <c r="K82">
        <f>IF($N82=1,MOD($J82-$I82,24),0)</f>
        <v/>
      </c>
      <c r="L82">
        <f>IF($N82=1,$E82*24+$I82,"")</f>
        <v/>
      </c>
      <c r="M82">
        <f>IF($N82=1,$L82+$K82,"")</f>
        <v/>
      </c>
      <c r="N82">
        <f>IF(ISNUMBER(SEARCH(" - ",$H82&amp;"")),1,0)</f>
        <v/>
      </c>
      <c r="O82">
        <f>IF(UPPER($H82&amp;"")="LEAVE",1,0)</f>
        <v/>
      </c>
      <c r="P82">
        <f>IF($N82=1,$K82,0)</f>
        <v/>
      </c>
      <c r="Q82">
        <f>IF($N82=0,"",IFERROR($L82-LOOKUP(2,1/(($B$2:$B81=$B82)*($N$2:$N81=1)),$M$2:$M81),""))</f>
        <v/>
      </c>
    </row>
    <row r="83">
      <c r="A83" t="n">
        <v>82</v>
      </c>
      <c r="B83">
        <f>Schedule!$A$14</f>
        <v/>
      </c>
      <c r="C83">
        <f>Schedule!$D$14</f>
        <v/>
      </c>
      <c r="D83">
        <f>Schedule!$F$14</f>
        <v/>
      </c>
      <c r="E83" t="n">
        <v>4</v>
      </c>
      <c r="F83">
        <f>Schedule!$K$1</f>
        <v/>
      </c>
      <c r="G83">
        <f>Schedule!$K$2</f>
        <v/>
      </c>
      <c r="H83">
        <f>Schedule!$K$14</f>
        <v/>
      </c>
      <c r="I83">
        <f>IF($N83=1,VALUE(LEFT($H83,2)),"")</f>
        <v/>
      </c>
      <c r="J83">
        <f>IF($N83=1,VALUE(MID($H83,9,2)),"")</f>
        <v/>
      </c>
      <c r="K83">
        <f>IF($N83=1,MOD($J83-$I83,24),0)</f>
        <v/>
      </c>
      <c r="L83">
        <f>IF($N83=1,$E83*24+$I83,"")</f>
        <v/>
      </c>
      <c r="M83">
        <f>IF($N83=1,$L83+$K83,"")</f>
        <v/>
      </c>
      <c r="N83">
        <f>IF(ISNUMBER(SEARCH(" - ",$H83&amp;"")),1,0)</f>
        <v/>
      </c>
      <c r="O83">
        <f>IF(UPPER($H83&amp;"")="LEAVE",1,0)</f>
        <v/>
      </c>
      <c r="P83">
        <f>IF($N83=1,$K83,0)</f>
        <v/>
      </c>
      <c r="Q83">
        <f>IF($N83=0,"",IFERROR($L83-LOOKUP(2,1/(($B$2:$B82=$B83)*($N$2:$N82=1)),$M$2:$M82),""))</f>
        <v/>
      </c>
    </row>
    <row r="84">
      <c r="A84" t="n">
        <v>83</v>
      </c>
      <c r="B84">
        <f>Schedule!$A$14</f>
        <v/>
      </c>
      <c r="C84">
        <f>Schedule!$D$14</f>
        <v/>
      </c>
      <c r="D84">
        <f>Schedule!$F$14</f>
        <v/>
      </c>
      <c r="E84" t="n">
        <v>5</v>
      </c>
      <c r="F84">
        <f>Schedule!$L$1</f>
        <v/>
      </c>
      <c r="G84">
        <f>Schedule!$L$2</f>
        <v/>
      </c>
      <c r="H84">
        <f>Schedule!$L$14</f>
        <v/>
      </c>
      <c r="I84">
        <f>IF($N84=1,VALUE(LEFT($H84,2)),"")</f>
        <v/>
      </c>
      <c r="J84">
        <f>IF($N84=1,VALUE(MID($H84,9,2)),"")</f>
        <v/>
      </c>
      <c r="K84">
        <f>IF($N84=1,MOD($J84-$I84,24),0)</f>
        <v/>
      </c>
      <c r="L84">
        <f>IF($N84=1,$E84*24+$I84,"")</f>
        <v/>
      </c>
      <c r="M84">
        <f>IF($N84=1,$L84+$K84,"")</f>
        <v/>
      </c>
      <c r="N84">
        <f>IF(ISNUMBER(SEARCH(" - ",$H84&amp;"")),1,0)</f>
        <v/>
      </c>
      <c r="O84">
        <f>IF(UPPER($H84&amp;"")="LEAVE",1,0)</f>
        <v/>
      </c>
      <c r="P84">
        <f>IF($N84=1,$K84,0)</f>
        <v/>
      </c>
      <c r="Q84">
        <f>IF($N84=0,"",IFERROR($L84-LOOKUP(2,1/(($B$2:$B83=$B84)*($N$2:$N83=1)),$M$2:$M83),""))</f>
        <v/>
      </c>
    </row>
    <row r="85">
      <c r="A85" t="n">
        <v>84</v>
      </c>
      <c r="B85">
        <f>Schedule!$A$14</f>
        <v/>
      </c>
      <c r="C85">
        <f>Schedule!$D$14</f>
        <v/>
      </c>
      <c r="D85">
        <f>Schedule!$F$14</f>
        <v/>
      </c>
      <c r="E85" t="n">
        <v>6</v>
      </c>
      <c r="F85">
        <f>Schedule!$M$1</f>
        <v/>
      </c>
      <c r="G85">
        <f>Schedule!$M$2</f>
        <v/>
      </c>
      <c r="H85">
        <f>Schedule!$M$14</f>
        <v/>
      </c>
      <c r="I85">
        <f>IF($N85=1,VALUE(LEFT($H85,2)),"")</f>
        <v/>
      </c>
      <c r="J85">
        <f>IF($N85=1,VALUE(MID($H85,9,2)),"")</f>
        <v/>
      </c>
      <c r="K85">
        <f>IF($N85=1,MOD($J85-$I85,24),0)</f>
        <v/>
      </c>
      <c r="L85">
        <f>IF($N85=1,$E85*24+$I85,"")</f>
        <v/>
      </c>
      <c r="M85">
        <f>IF($N85=1,$L85+$K85,"")</f>
        <v/>
      </c>
      <c r="N85">
        <f>IF(ISNUMBER(SEARCH(" - ",$H85&amp;"")),1,0)</f>
        <v/>
      </c>
      <c r="O85">
        <f>IF(UPPER($H85&amp;"")="LEAVE",1,0)</f>
        <v/>
      </c>
      <c r="P85">
        <f>IF($N85=1,$K85,0)</f>
        <v/>
      </c>
      <c r="Q85">
        <f>IF($N85=0,"",IFERROR($L85-LOOKUP(2,1/(($B$2:$B84=$B85)*($N$2:$N84=1)),$M$2:$M84),""))</f>
        <v/>
      </c>
    </row>
    <row r="86">
      <c r="A86" t="n">
        <v>85</v>
      </c>
      <c r="B86">
        <f>Schedule!$A$15</f>
        <v/>
      </c>
      <c r="C86">
        <f>Schedule!$D$15</f>
        <v/>
      </c>
      <c r="D86">
        <f>Schedule!$F$15</f>
        <v/>
      </c>
      <c r="E86" t="n">
        <v>0</v>
      </c>
      <c r="F86">
        <f>Schedule!$G$1</f>
        <v/>
      </c>
      <c r="G86">
        <f>Schedule!$G$2</f>
        <v/>
      </c>
      <c r="H86">
        <f>Schedule!$G$15</f>
        <v/>
      </c>
      <c r="I86">
        <f>IF($N86=1,VALUE(LEFT($H86,2)),"")</f>
        <v/>
      </c>
      <c r="J86">
        <f>IF($N86=1,VALUE(MID($H86,9,2)),"")</f>
        <v/>
      </c>
      <c r="K86">
        <f>IF($N86=1,MOD($J86-$I86,24),0)</f>
        <v/>
      </c>
      <c r="L86">
        <f>IF($N86=1,$E86*24+$I86,"")</f>
        <v/>
      </c>
      <c r="M86">
        <f>IF($N86=1,$L86+$K86,"")</f>
        <v/>
      </c>
      <c r="N86">
        <f>IF(ISNUMBER(SEARCH(" - ",$H86&amp;"")),1,0)</f>
        <v/>
      </c>
      <c r="O86">
        <f>IF(UPPER($H86&amp;"")="LEAVE",1,0)</f>
        <v/>
      </c>
      <c r="P86">
        <f>IF($N86=1,$K86,0)</f>
        <v/>
      </c>
      <c r="Q86">
        <f>IF($N86=0,"",IFERROR($L86-'Previous Engine'!$M$14,""))</f>
        <v/>
      </c>
    </row>
    <row r="87">
      <c r="A87" t="n">
        <v>86</v>
      </c>
      <c r="B87">
        <f>Schedule!$A$15</f>
        <v/>
      </c>
      <c r="C87">
        <f>Schedule!$D$15</f>
        <v/>
      </c>
      <c r="D87">
        <f>Schedule!$F$15</f>
        <v/>
      </c>
      <c r="E87" t="n">
        <v>1</v>
      </c>
      <c r="F87">
        <f>Schedule!$H$1</f>
        <v/>
      </c>
      <c r="G87">
        <f>Schedule!$H$2</f>
        <v/>
      </c>
      <c r="H87">
        <f>Schedule!$H$15</f>
        <v/>
      </c>
      <c r="I87">
        <f>IF($N87=1,VALUE(LEFT($H87,2)),"")</f>
        <v/>
      </c>
      <c r="J87">
        <f>IF($N87=1,VALUE(MID($H87,9,2)),"")</f>
        <v/>
      </c>
      <c r="K87">
        <f>IF($N87=1,MOD($J87-$I87,24),0)</f>
        <v/>
      </c>
      <c r="L87">
        <f>IF($N87=1,$E87*24+$I87,"")</f>
        <v/>
      </c>
      <c r="M87">
        <f>IF($N87=1,$L87+$K87,"")</f>
        <v/>
      </c>
      <c r="N87">
        <f>IF(ISNUMBER(SEARCH(" - ",$H87&amp;"")),1,0)</f>
        <v/>
      </c>
      <c r="O87">
        <f>IF(UPPER($H87&amp;"")="LEAVE",1,0)</f>
        <v/>
      </c>
      <c r="P87">
        <f>IF($N87=1,$K87,0)</f>
        <v/>
      </c>
      <c r="Q87">
        <f>IF($N87=0,"",IFERROR($L87-LOOKUP(2,1/(($B$2:$B86=$B87)*($N$2:$N86=1)),$M$2:$M86),""))</f>
        <v/>
      </c>
    </row>
    <row r="88">
      <c r="A88" t="n">
        <v>87</v>
      </c>
      <c r="B88">
        <f>Schedule!$A$15</f>
        <v/>
      </c>
      <c r="C88">
        <f>Schedule!$D$15</f>
        <v/>
      </c>
      <c r="D88">
        <f>Schedule!$F$15</f>
        <v/>
      </c>
      <c r="E88" t="n">
        <v>2</v>
      </c>
      <c r="F88">
        <f>Schedule!$I$1</f>
        <v/>
      </c>
      <c r="G88">
        <f>Schedule!$I$2</f>
        <v/>
      </c>
      <c r="H88">
        <f>Schedule!$I$15</f>
        <v/>
      </c>
      <c r="I88">
        <f>IF($N88=1,VALUE(LEFT($H88,2)),"")</f>
        <v/>
      </c>
      <c r="J88">
        <f>IF($N88=1,VALUE(MID($H88,9,2)),"")</f>
        <v/>
      </c>
      <c r="K88">
        <f>IF($N88=1,MOD($J88-$I88,24),0)</f>
        <v/>
      </c>
      <c r="L88">
        <f>IF($N88=1,$E88*24+$I88,"")</f>
        <v/>
      </c>
      <c r="M88">
        <f>IF($N88=1,$L88+$K88,"")</f>
        <v/>
      </c>
      <c r="N88">
        <f>IF(ISNUMBER(SEARCH(" - ",$H88&amp;"")),1,0)</f>
        <v/>
      </c>
      <c r="O88">
        <f>IF(UPPER($H88&amp;"")="LEAVE",1,0)</f>
        <v/>
      </c>
      <c r="P88">
        <f>IF($N88=1,$K88,0)</f>
        <v/>
      </c>
      <c r="Q88">
        <f>IF($N88=0,"",IFERROR($L88-LOOKUP(2,1/(($B$2:$B87=$B88)*($N$2:$N87=1)),$M$2:$M87),""))</f>
        <v/>
      </c>
    </row>
    <row r="89">
      <c r="A89" t="n">
        <v>88</v>
      </c>
      <c r="B89">
        <f>Schedule!$A$15</f>
        <v/>
      </c>
      <c r="C89">
        <f>Schedule!$D$15</f>
        <v/>
      </c>
      <c r="D89">
        <f>Schedule!$F$15</f>
        <v/>
      </c>
      <c r="E89" t="n">
        <v>3</v>
      </c>
      <c r="F89">
        <f>Schedule!$J$1</f>
        <v/>
      </c>
      <c r="G89">
        <f>Schedule!$J$2</f>
        <v/>
      </c>
      <c r="H89">
        <f>Schedule!$J$15</f>
        <v/>
      </c>
      <c r="I89">
        <f>IF($N89=1,VALUE(LEFT($H89,2)),"")</f>
        <v/>
      </c>
      <c r="J89">
        <f>IF($N89=1,VALUE(MID($H89,9,2)),"")</f>
        <v/>
      </c>
      <c r="K89">
        <f>IF($N89=1,MOD($J89-$I89,24),0)</f>
        <v/>
      </c>
      <c r="L89">
        <f>IF($N89=1,$E89*24+$I89,"")</f>
        <v/>
      </c>
      <c r="M89">
        <f>IF($N89=1,$L89+$K89,"")</f>
        <v/>
      </c>
      <c r="N89">
        <f>IF(ISNUMBER(SEARCH(" - ",$H89&amp;"")),1,0)</f>
        <v/>
      </c>
      <c r="O89">
        <f>IF(UPPER($H89&amp;"")="LEAVE",1,0)</f>
        <v/>
      </c>
      <c r="P89">
        <f>IF($N89=1,$K89,0)</f>
        <v/>
      </c>
      <c r="Q89">
        <f>IF($N89=0,"",IFERROR($L89-LOOKUP(2,1/(($B$2:$B88=$B89)*($N$2:$N88=1)),$M$2:$M88),""))</f>
        <v/>
      </c>
    </row>
    <row r="90">
      <c r="A90" t="n">
        <v>89</v>
      </c>
      <c r="B90">
        <f>Schedule!$A$15</f>
        <v/>
      </c>
      <c r="C90">
        <f>Schedule!$D$15</f>
        <v/>
      </c>
      <c r="D90">
        <f>Schedule!$F$15</f>
        <v/>
      </c>
      <c r="E90" t="n">
        <v>4</v>
      </c>
      <c r="F90">
        <f>Schedule!$K$1</f>
        <v/>
      </c>
      <c r="G90">
        <f>Schedule!$K$2</f>
        <v/>
      </c>
      <c r="H90">
        <f>Schedule!$K$15</f>
        <v/>
      </c>
      <c r="I90">
        <f>IF($N90=1,VALUE(LEFT($H90,2)),"")</f>
        <v/>
      </c>
      <c r="J90">
        <f>IF($N90=1,VALUE(MID($H90,9,2)),"")</f>
        <v/>
      </c>
      <c r="K90">
        <f>IF($N90=1,MOD($J90-$I90,24),0)</f>
        <v/>
      </c>
      <c r="L90">
        <f>IF($N90=1,$E90*24+$I90,"")</f>
        <v/>
      </c>
      <c r="M90">
        <f>IF($N90=1,$L90+$K90,"")</f>
        <v/>
      </c>
      <c r="N90">
        <f>IF(ISNUMBER(SEARCH(" - ",$H90&amp;"")),1,0)</f>
        <v/>
      </c>
      <c r="O90">
        <f>IF(UPPER($H90&amp;"")="LEAVE",1,0)</f>
        <v/>
      </c>
      <c r="P90">
        <f>IF($N90=1,$K90,0)</f>
        <v/>
      </c>
      <c r="Q90">
        <f>IF($N90=0,"",IFERROR($L90-LOOKUP(2,1/(($B$2:$B89=$B90)*($N$2:$N89=1)),$M$2:$M89),""))</f>
        <v/>
      </c>
    </row>
    <row r="91">
      <c r="A91" t="n">
        <v>90</v>
      </c>
      <c r="B91">
        <f>Schedule!$A$15</f>
        <v/>
      </c>
      <c r="C91">
        <f>Schedule!$D$15</f>
        <v/>
      </c>
      <c r="D91">
        <f>Schedule!$F$15</f>
        <v/>
      </c>
      <c r="E91" t="n">
        <v>5</v>
      </c>
      <c r="F91">
        <f>Schedule!$L$1</f>
        <v/>
      </c>
      <c r="G91">
        <f>Schedule!$L$2</f>
        <v/>
      </c>
      <c r="H91">
        <f>Schedule!$L$15</f>
        <v/>
      </c>
      <c r="I91">
        <f>IF($N91=1,VALUE(LEFT($H91,2)),"")</f>
        <v/>
      </c>
      <c r="J91">
        <f>IF($N91=1,VALUE(MID($H91,9,2)),"")</f>
        <v/>
      </c>
      <c r="K91">
        <f>IF($N91=1,MOD($J91-$I91,24),0)</f>
        <v/>
      </c>
      <c r="L91">
        <f>IF($N91=1,$E91*24+$I91,"")</f>
        <v/>
      </c>
      <c r="M91">
        <f>IF($N91=1,$L91+$K91,"")</f>
        <v/>
      </c>
      <c r="N91">
        <f>IF(ISNUMBER(SEARCH(" - ",$H91&amp;"")),1,0)</f>
        <v/>
      </c>
      <c r="O91">
        <f>IF(UPPER($H91&amp;"")="LEAVE",1,0)</f>
        <v/>
      </c>
      <c r="P91">
        <f>IF($N91=1,$K91,0)</f>
        <v/>
      </c>
      <c r="Q91">
        <f>IF($N91=0,"",IFERROR($L91-LOOKUP(2,1/(($B$2:$B90=$B91)*($N$2:$N90=1)),$M$2:$M90),""))</f>
        <v/>
      </c>
    </row>
    <row r="92">
      <c r="A92" t="n">
        <v>91</v>
      </c>
      <c r="B92">
        <f>Schedule!$A$15</f>
        <v/>
      </c>
      <c r="C92">
        <f>Schedule!$D$15</f>
        <v/>
      </c>
      <c r="D92">
        <f>Schedule!$F$15</f>
        <v/>
      </c>
      <c r="E92" t="n">
        <v>6</v>
      </c>
      <c r="F92">
        <f>Schedule!$M$1</f>
        <v/>
      </c>
      <c r="G92">
        <f>Schedule!$M$2</f>
        <v/>
      </c>
      <c r="H92">
        <f>Schedule!$M$15</f>
        <v/>
      </c>
      <c r="I92">
        <f>IF($N92=1,VALUE(LEFT($H92,2)),"")</f>
        <v/>
      </c>
      <c r="J92">
        <f>IF($N92=1,VALUE(MID($H92,9,2)),"")</f>
        <v/>
      </c>
      <c r="K92">
        <f>IF($N92=1,MOD($J92-$I92,24),0)</f>
        <v/>
      </c>
      <c r="L92">
        <f>IF($N92=1,$E92*24+$I92,"")</f>
        <v/>
      </c>
      <c r="M92">
        <f>IF($N92=1,$L92+$K92,"")</f>
        <v/>
      </c>
      <c r="N92">
        <f>IF(ISNUMBER(SEARCH(" - ",$H92&amp;"")),1,0)</f>
        <v/>
      </c>
      <c r="O92">
        <f>IF(UPPER($H92&amp;"")="LEAVE",1,0)</f>
        <v/>
      </c>
      <c r="P92">
        <f>IF($N92=1,$K92,0)</f>
        <v/>
      </c>
      <c r="Q92">
        <f>IF($N92=0,"",IFERROR($L92-LOOKUP(2,1/(($B$2:$B91=$B92)*($N$2:$N91=1)),$M$2:$M91),""))</f>
        <v/>
      </c>
    </row>
    <row r="93">
      <c r="A93" t="n">
        <v>92</v>
      </c>
      <c r="B93">
        <f>Schedule!$A$16</f>
        <v/>
      </c>
      <c r="C93">
        <f>Schedule!$D$16</f>
        <v/>
      </c>
      <c r="D93">
        <f>Schedule!$F$16</f>
        <v/>
      </c>
      <c r="E93" t="n">
        <v>0</v>
      </c>
      <c r="F93">
        <f>Schedule!$G$1</f>
        <v/>
      </c>
      <c r="G93">
        <f>Schedule!$G$2</f>
        <v/>
      </c>
      <c r="H93">
        <f>Schedule!$G$16</f>
        <v/>
      </c>
      <c r="I93">
        <f>IF($N93=1,VALUE(LEFT($H93,2)),"")</f>
        <v/>
      </c>
      <c r="J93">
        <f>IF($N93=1,VALUE(MID($H93,9,2)),"")</f>
        <v/>
      </c>
      <c r="K93">
        <f>IF($N93=1,MOD($J93-$I93,24),0)</f>
        <v/>
      </c>
      <c r="L93">
        <f>IF($N93=1,$E93*24+$I93,"")</f>
        <v/>
      </c>
      <c r="M93">
        <f>IF($N93=1,$L93+$K93,"")</f>
        <v/>
      </c>
      <c r="N93">
        <f>IF(ISNUMBER(SEARCH(" - ",$H93&amp;"")),1,0)</f>
        <v/>
      </c>
      <c r="O93">
        <f>IF(UPPER($H93&amp;"")="LEAVE",1,0)</f>
        <v/>
      </c>
      <c r="P93">
        <f>IF($N93=1,$K93,0)</f>
        <v/>
      </c>
      <c r="Q93">
        <f>IF($N93=0,"",IFERROR($L93-'Previous Engine'!$M$15,""))</f>
        <v/>
      </c>
    </row>
    <row r="94">
      <c r="A94" t="n">
        <v>93</v>
      </c>
      <c r="B94">
        <f>Schedule!$A$16</f>
        <v/>
      </c>
      <c r="C94">
        <f>Schedule!$D$16</f>
        <v/>
      </c>
      <c r="D94">
        <f>Schedule!$F$16</f>
        <v/>
      </c>
      <c r="E94" t="n">
        <v>1</v>
      </c>
      <c r="F94">
        <f>Schedule!$H$1</f>
        <v/>
      </c>
      <c r="G94">
        <f>Schedule!$H$2</f>
        <v/>
      </c>
      <c r="H94">
        <f>Schedule!$H$16</f>
        <v/>
      </c>
      <c r="I94">
        <f>IF($N94=1,VALUE(LEFT($H94,2)),"")</f>
        <v/>
      </c>
      <c r="J94">
        <f>IF($N94=1,VALUE(MID($H94,9,2)),"")</f>
        <v/>
      </c>
      <c r="K94">
        <f>IF($N94=1,MOD($J94-$I94,24),0)</f>
        <v/>
      </c>
      <c r="L94">
        <f>IF($N94=1,$E94*24+$I94,"")</f>
        <v/>
      </c>
      <c r="M94">
        <f>IF($N94=1,$L94+$K94,"")</f>
        <v/>
      </c>
      <c r="N94">
        <f>IF(ISNUMBER(SEARCH(" - ",$H94&amp;"")),1,0)</f>
        <v/>
      </c>
      <c r="O94">
        <f>IF(UPPER($H94&amp;"")="LEAVE",1,0)</f>
        <v/>
      </c>
      <c r="P94">
        <f>IF($N94=1,$K94,0)</f>
        <v/>
      </c>
      <c r="Q94">
        <f>IF($N94=0,"",IFERROR($L94-LOOKUP(2,1/(($B$2:$B93=$B94)*($N$2:$N93=1)),$M$2:$M93),""))</f>
        <v/>
      </c>
    </row>
    <row r="95">
      <c r="A95" t="n">
        <v>94</v>
      </c>
      <c r="B95">
        <f>Schedule!$A$16</f>
        <v/>
      </c>
      <c r="C95">
        <f>Schedule!$D$16</f>
        <v/>
      </c>
      <c r="D95">
        <f>Schedule!$F$16</f>
        <v/>
      </c>
      <c r="E95" t="n">
        <v>2</v>
      </c>
      <c r="F95">
        <f>Schedule!$I$1</f>
        <v/>
      </c>
      <c r="G95">
        <f>Schedule!$I$2</f>
        <v/>
      </c>
      <c r="H95">
        <f>Schedule!$I$16</f>
        <v/>
      </c>
      <c r="I95">
        <f>IF($N95=1,VALUE(LEFT($H95,2)),"")</f>
        <v/>
      </c>
      <c r="J95">
        <f>IF($N95=1,VALUE(MID($H95,9,2)),"")</f>
        <v/>
      </c>
      <c r="K95">
        <f>IF($N95=1,MOD($J95-$I95,24),0)</f>
        <v/>
      </c>
      <c r="L95">
        <f>IF($N95=1,$E95*24+$I95,"")</f>
        <v/>
      </c>
      <c r="M95">
        <f>IF($N95=1,$L95+$K95,"")</f>
        <v/>
      </c>
      <c r="N95">
        <f>IF(ISNUMBER(SEARCH(" - ",$H95&amp;"")),1,0)</f>
        <v/>
      </c>
      <c r="O95">
        <f>IF(UPPER($H95&amp;"")="LEAVE",1,0)</f>
        <v/>
      </c>
      <c r="P95">
        <f>IF($N95=1,$K95,0)</f>
        <v/>
      </c>
      <c r="Q95">
        <f>IF($N95=0,"",IFERROR($L95-LOOKUP(2,1/(($B$2:$B94=$B95)*($N$2:$N94=1)),$M$2:$M94),""))</f>
        <v/>
      </c>
    </row>
    <row r="96">
      <c r="A96" t="n">
        <v>95</v>
      </c>
      <c r="B96">
        <f>Schedule!$A$16</f>
        <v/>
      </c>
      <c r="C96">
        <f>Schedule!$D$16</f>
        <v/>
      </c>
      <c r="D96">
        <f>Schedule!$F$16</f>
        <v/>
      </c>
      <c r="E96" t="n">
        <v>3</v>
      </c>
      <c r="F96">
        <f>Schedule!$J$1</f>
        <v/>
      </c>
      <c r="G96">
        <f>Schedule!$J$2</f>
        <v/>
      </c>
      <c r="H96">
        <f>Schedule!$J$16</f>
        <v/>
      </c>
      <c r="I96">
        <f>IF($N96=1,VALUE(LEFT($H96,2)),"")</f>
        <v/>
      </c>
      <c r="J96">
        <f>IF($N96=1,VALUE(MID($H96,9,2)),"")</f>
        <v/>
      </c>
      <c r="K96">
        <f>IF($N96=1,MOD($J96-$I96,24),0)</f>
        <v/>
      </c>
      <c r="L96">
        <f>IF($N96=1,$E96*24+$I96,"")</f>
        <v/>
      </c>
      <c r="M96">
        <f>IF($N96=1,$L96+$K96,"")</f>
        <v/>
      </c>
      <c r="N96">
        <f>IF(ISNUMBER(SEARCH(" - ",$H96&amp;"")),1,0)</f>
        <v/>
      </c>
      <c r="O96">
        <f>IF(UPPER($H96&amp;"")="LEAVE",1,0)</f>
        <v/>
      </c>
      <c r="P96">
        <f>IF($N96=1,$K96,0)</f>
        <v/>
      </c>
      <c r="Q96">
        <f>IF($N96=0,"",IFERROR($L96-LOOKUP(2,1/(($B$2:$B95=$B96)*($N$2:$N95=1)),$M$2:$M95),""))</f>
        <v/>
      </c>
    </row>
    <row r="97">
      <c r="A97" t="n">
        <v>96</v>
      </c>
      <c r="B97">
        <f>Schedule!$A$16</f>
        <v/>
      </c>
      <c r="C97">
        <f>Schedule!$D$16</f>
        <v/>
      </c>
      <c r="D97">
        <f>Schedule!$F$16</f>
        <v/>
      </c>
      <c r="E97" t="n">
        <v>4</v>
      </c>
      <c r="F97">
        <f>Schedule!$K$1</f>
        <v/>
      </c>
      <c r="G97">
        <f>Schedule!$K$2</f>
        <v/>
      </c>
      <c r="H97">
        <f>Schedule!$K$16</f>
        <v/>
      </c>
      <c r="I97">
        <f>IF($N97=1,VALUE(LEFT($H97,2)),"")</f>
        <v/>
      </c>
      <c r="J97">
        <f>IF($N97=1,VALUE(MID($H97,9,2)),"")</f>
        <v/>
      </c>
      <c r="K97">
        <f>IF($N97=1,MOD($J97-$I97,24),0)</f>
        <v/>
      </c>
      <c r="L97">
        <f>IF($N97=1,$E97*24+$I97,"")</f>
        <v/>
      </c>
      <c r="M97">
        <f>IF($N97=1,$L97+$K97,"")</f>
        <v/>
      </c>
      <c r="N97">
        <f>IF(ISNUMBER(SEARCH(" - ",$H97&amp;"")),1,0)</f>
        <v/>
      </c>
      <c r="O97">
        <f>IF(UPPER($H97&amp;"")="LEAVE",1,0)</f>
        <v/>
      </c>
      <c r="P97">
        <f>IF($N97=1,$K97,0)</f>
        <v/>
      </c>
      <c r="Q97">
        <f>IF($N97=0,"",IFERROR($L97-LOOKUP(2,1/(($B$2:$B96=$B97)*($N$2:$N96=1)),$M$2:$M96),""))</f>
        <v/>
      </c>
    </row>
    <row r="98">
      <c r="A98" t="n">
        <v>97</v>
      </c>
      <c r="B98">
        <f>Schedule!$A$16</f>
        <v/>
      </c>
      <c r="C98">
        <f>Schedule!$D$16</f>
        <v/>
      </c>
      <c r="D98">
        <f>Schedule!$F$16</f>
        <v/>
      </c>
      <c r="E98" t="n">
        <v>5</v>
      </c>
      <c r="F98">
        <f>Schedule!$L$1</f>
        <v/>
      </c>
      <c r="G98">
        <f>Schedule!$L$2</f>
        <v/>
      </c>
      <c r="H98">
        <f>Schedule!$L$16</f>
        <v/>
      </c>
      <c r="I98">
        <f>IF($N98=1,VALUE(LEFT($H98,2)),"")</f>
        <v/>
      </c>
      <c r="J98">
        <f>IF($N98=1,VALUE(MID($H98,9,2)),"")</f>
        <v/>
      </c>
      <c r="K98">
        <f>IF($N98=1,MOD($J98-$I98,24),0)</f>
        <v/>
      </c>
      <c r="L98">
        <f>IF($N98=1,$E98*24+$I98,"")</f>
        <v/>
      </c>
      <c r="M98">
        <f>IF($N98=1,$L98+$K98,"")</f>
        <v/>
      </c>
      <c r="N98">
        <f>IF(ISNUMBER(SEARCH(" - ",$H98&amp;"")),1,0)</f>
        <v/>
      </c>
      <c r="O98">
        <f>IF(UPPER($H98&amp;"")="LEAVE",1,0)</f>
        <v/>
      </c>
      <c r="P98">
        <f>IF($N98=1,$K98,0)</f>
        <v/>
      </c>
      <c r="Q98">
        <f>IF($N98=0,"",IFERROR($L98-LOOKUP(2,1/(($B$2:$B97=$B98)*($N$2:$N97=1)),$M$2:$M97),""))</f>
        <v/>
      </c>
    </row>
    <row r="99">
      <c r="A99" t="n">
        <v>98</v>
      </c>
      <c r="B99">
        <f>Schedule!$A$16</f>
        <v/>
      </c>
      <c r="C99">
        <f>Schedule!$D$16</f>
        <v/>
      </c>
      <c r="D99">
        <f>Schedule!$F$16</f>
        <v/>
      </c>
      <c r="E99" t="n">
        <v>6</v>
      </c>
      <c r="F99">
        <f>Schedule!$M$1</f>
        <v/>
      </c>
      <c r="G99">
        <f>Schedule!$M$2</f>
        <v/>
      </c>
      <c r="H99">
        <f>Schedule!$M$16</f>
        <v/>
      </c>
      <c r="I99">
        <f>IF($N99=1,VALUE(LEFT($H99,2)),"")</f>
        <v/>
      </c>
      <c r="J99">
        <f>IF($N99=1,VALUE(MID($H99,9,2)),"")</f>
        <v/>
      </c>
      <c r="K99">
        <f>IF($N99=1,MOD($J99-$I99,24),0)</f>
        <v/>
      </c>
      <c r="L99">
        <f>IF($N99=1,$E99*24+$I99,"")</f>
        <v/>
      </c>
      <c r="M99">
        <f>IF($N99=1,$L99+$K99,"")</f>
        <v/>
      </c>
      <c r="N99">
        <f>IF(ISNUMBER(SEARCH(" - ",$H99&amp;"")),1,0)</f>
        <v/>
      </c>
      <c r="O99">
        <f>IF(UPPER($H99&amp;"")="LEAVE",1,0)</f>
        <v/>
      </c>
      <c r="P99">
        <f>IF($N99=1,$K99,0)</f>
        <v/>
      </c>
      <c r="Q99">
        <f>IF($N99=0,"",IFERROR($L99-LOOKUP(2,1/(($B$2:$B98=$B99)*($N$2:$N98=1)),$M$2:$M98),""))</f>
        <v/>
      </c>
    </row>
    <row r="100">
      <c r="A100" t="n">
        <v>99</v>
      </c>
      <c r="B100">
        <f>Schedule!$A$17</f>
        <v/>
      </c>
      <c r="C100">
        <f>Schedule!$D$17</f>
        <v/>
      </c>
      <c r="D100">
        <f>Schedule!$F$17</f>
        <v/>
      </c>
      <c r="E100" t="n">
        <v>0</v>
      </c>
      <c r="F100">
        <f>Schedule!$G$1</f>
        <v/>
      </c>
      <c r="G100">
        <f>Schedule!$G$2</f>
        <v/>
      </c>
      <c r="H100">
        <f>Schedule!$G$17</f>
        <v/>
      </c>
      <c r="I100">
        <f>IF($N100=1,VALUE(LEFT($H100,2)),"")</f>
        <v/>
      </c>
      <c r="J100">
        <f>IF($N100=1,VALUE(MID($H100,9,2)),"")</f>
        <v/>
      </c>
      <c r="K100">
        <f>IF($N100=1,MOD($J100-$I100,24),0)</f>
        <v/>
      </c>
      <c r="L100">
        <f>IF($N100=1,$E100*24+$I100,"")</f>
        <v/>
      </c>
      <c r="M100">
        <f>IF($N100=1,$L100+$K100,"")</f>
        <v/>
      </c>
      <c r="N100">
        <f>IF(ISNUMBER(SEARCH(" - ",$H100&amp;"")),1,0)</f>
        <v/>
      </c>
      <c r="O100">
        <f>IF(UPPER($H100&amp;"")="LEAVE",1,0)</f>
        <v/>
      </c>
      <c r="P100">
        <f>IF($N100=1,$K100,0)</f>
        <v/>
      </c>
      <c r="Q100">
        <f>IF($N100=0,"",IFERROR($L100-'Previous Engine'!$M$16,""))</f>
        <v/>
      </c>
    </row>
    <row r="101">
      <c r="A101" t="n">
        <v>100</v>
      </c>
      <c r="B101">
        <f>Schedule!$A$17</f>
        <v/>
      </c>
      <c r="C101">
        <f>Schedule!$D$17</f>
        <v/>
      </c>
      <c r="D101">
        <f>Schedule!$F$17</f>
        <v/>
      </c>
      <c r="E101" t="n">
        <v>1</v>
      </c>
      <c r="F101">
        <f>Schedule!$H$1</f>
        <v/>
      </c>
      <c r="G101">
        <f>Schedule!$H$2</f>
        <v/>
      </c>
      <c r="H101">
        <f>Schedule!$H$17</f>
        <v/>
      </c>
      <c r="I101">
        <f>IF($N101=1,VALUE(LEFT($H101,2)),"")</f>
        <v/>
      </c>
      <c r="J101">
        <f>IF($N101=1,VALUE(MID($H101,9,2)),"")</f>
        <v/>
      </c>
      <c r="K101">
        <f>IF($N101=1,MOD($J101-$I101,24),0)</f>
        <v/>
      </c>
      <c r="L101">
        <f>IF($N101=1,$E101*24+$I101,"")</f>
        <v/>
      </c>
      <c r="M101">
        <f>IF($N101=1,$L101+$K101,"")</f>
        <v/>
      </c>
      <c r="N101">
        <f>IF(ISNUMBER(SEARCH(" - ",$H101&amp;"")),1,0)</f>
        <v/>
      </c>
      <c r="O101">
        <f>IF(UPPER($H101&amp;"")="LEAVE",1,0)</f>
        <v/>
      </c>
      <c r="P101">
        <f>IF($N101=1,$K101,0)</f>
        <v/>
      </c>
      <c r="Q101">
        <f>IF($N101=0,"",IFERROR($L101-LOOKUP(2,1/(($B$2:$B100=$B101)*($N$2:$N100=1)),$M$2:$M100),""))</f>
        <v/>
      </c>
    </row>
    <row r="102">
      <c r="A102" t="n">
        <v>101</v>
      </c>
      <c r="B102">
        <f>Schedule!$A$17</f>
        <v/>
      </c>
      <c r="C102">
        <f>Schedule!$D$17</f>
        <v/>
      </c>
      <c r="D102">
        <f>Schedule!$F$17</f>
        <v/>
      </c>
      <c r="E102" t="n">
        <v>2</v>
      </c>
      <c r="F102">
        <f>Schedule!$I$1</f>
        <v/>
      </c>
      <c r="G102">
        <f>Schedule!$I$2</f>
        <v/>
      </c>
      <c r="H102">
        <f>Schedule!$I$17</f>
        <v/>
      </c>
      <c r="I102">
        <f>IF($N102=1,VALUE(LEFT($H102,2)),"")</f>
        <v/>
      </c>
      <c r="J102">
        <f>IF($N102=1,VALUE(MID($H102,9,2)),"")</f>
        <v/>
      </c>
      <c r="K102">
        <f>IF($N102=1,MOD($J102-$I102,24),0)</f>
        <v/>
      </c>
      <c r="L102">
        <f>IF($N102=1,$E102*24+$I102,"")</f>
        <v/>
      </c>
      <c r="M102">
        <f>IF($N102=1,$L102+$K102,"")</f>
        <v/>
      </c>
      <c r="N102">
        <f>IF(ISNUMBER(SEARCH(" - ",$H102&amp;"")),1,0)</f>
        <v/>
      </c>
      <c r="O102">
        <f>IF(UPPER($H102&amp;"")="LEAVE",1,0)</f>
        <v/>
      </c>
      <c r="P102">
        <f>IF($N102=1,$K102,0)</f>
        <v/>
      </c>
      <c r="Q102">
        <f>IF($N102=0,"",IFERROR($L102-LOOKUP(2,1/(($B$2:$B101=$B102)*($N$2:$N101=1)),$M$2:$M101),""))</f>
        <v/>
      </c>
    </row>
    <row r="103">
      <c r="A103" t="n">
        <v>102</v>
      </c>
      <c r="B103">
        <f>Schedule!$A$17</f>
        <v/>
      </c>
      <c r="C103">
        <f>Schedule!$D$17</f>
        <v/>
      </c>
      <c r="D103">
        <f>Schedule!$F$17</f>
        <v/>
      </c>
      <c r="E103" t="n">
        <v>3</v>
      </c>
      <c r="F103">
        <f>Schedule!$J$1</f>
        <v/>
      </c>
      <c r="G103">
        <f>Schedule!$J$2</f>
        <v/>
      </c>
      <c r="H103">
        <f>Schedule!$J$17</f>
        <v/>
      </c>
      <c r="I103">
        <f>IF($N103=1,VALUE(LEFT($H103,2)),"")</f>
        <v/>
      </c>
      <c r="J103">
        <f>IF($N103=1,VALUE(MID($H103,9,2)),"")</f>
        <v/>
      </c>
      <c r="K103">
        <f>IF($N103=1,MOD($J103-$I103,24),0)</f>
        <v/>
      </c>
      <c r="L103">
        <f>IF($N103=1,$E103*24+$I103,"")</f>
        <v/>
      </c>
      <c r="M103">
        <f>IF($N103=1,$L103+$K103,"")</f>
        <v/>
      </c>
      <c r="N103">
        <f>IF(ISNUMBER(SEARCH(" - ",$H103&amp;"")),1,0)</f>
        <v/>
      </c>
      <c r="O103">
        <f>IF(UPPER($H103&amp;"")="LEAVE",1,0)</f>
        <v/>
      </c>
      <c r="P103">
        <f>IF($N103=1,$K103,0)</f>
        <v/>
      </c>
      <c r="Q103">
        <f>IF($N103=0,"",IFERROR($L103-LOOKUP(2,1/(($B$2:$B102=$B103)*($N$2:$N102=1)),$M$2:$M102),""))</f>
        <v/>
      </c>
    </row>
    <row r="104">
      <c r="A104" t="n">
        <v>103</v>
      </c>
      <c r="B104">
        <f>Schedule!$A$17</f>
        <v/>
      </c>
      <c r="C104">
        <f>Schedule!$D$17</f>
        <v/>
      </c>
      <c r="D104">
        <f>Schedule!$F$17</f>
        <v/>
      </c>
      <c r="E104" t="n">
        <v>4</v>
      </c>
      <c r="F104">
        <f>Schedule!$K$1</f>
        <v/>
      </c>
      <c r="G104">
        <f>Schedule!$K$2</f>
        <v/>
      </c>
      <c r="H104">
        <f>Schedule!$K$17</f>
        <v/>
      </c>
      <c r="I104">
        <f>IF($N104=1,VALUE(LEFT($H104,2)),"")</f>
        <v/>
      </c>
      <c r="J104">
        <f>IF($N104=1,VALUE(MID($H104,9,2)),"")</f>
        <v/>
      </c>
      <c r="K104">
        <f>IF($N104=1,MOD($J104-$I104,24),0)</f>
        <v/>
      </c>
      <c r="L104">
        <f>IF($N104=1,$E104*24+$I104,"")</f>
        <v/>
      </c>
      <c r="M104">
        <f>IF($N104=1,$L104+$K104,"")</f>
        <v/>
      </c>
      <c r="N104">
        <f>IF(ISNUMBER(SEARCH(" - ",$H104&amp;"")),1,0)</f>
        <v/>
      </c>
      <c r="O104">
        <f>IF(UPPER($H104&amp;"")="LEAVE",1,0)</f>
        <v/>
      </c>
      <c r="P104">
        <f>IF($N104=1,$K104,0)</f>
        <v/>
      </c>
      <c r="Q104">
        <f>IF($N104=0,"",IFERROR($L104-LOOKUP(2,1/(($B$2:$B103=$B104)*($N$2:$N103=1)),$M$2:$M103),""))</f>
        <v/>
      </c>
    </row>
    <row r="105">
      <c r="A105" t="n">
        <v>104</v>
      </c>
      <c r="B105">
        <f>Schedule!$A$17</f>
        <v/>
      </c>
      <c r="C105">
        <f>Schedule!$D$17</f>
        <v/>
      </c>
      <c r="D105">
        <f>Schedule!$F$17</f>
        <v/>
      </c>
      <c r="E105" t="n">
        <v>5</v>
      </c>
      <c r="F105">
        <f>Schedule!$L$1</f>
        <v/>
      </c>
      <c r="G105">
        <f>Schedule!$L$2</f>
        <v/>
      </c>
      <c r="H105">
        <f>Schedule!$L$17</f>
        <v/>
      </c>
      <c r="I105">
        <f>IF($N105=1,VALUE(LEFT($H105,2)),"")</f>
        <v/>
      </c>
      <c r="J105">
        <f>IF($N105=1,VALUE(MID($H105,9,2)),"")</f>
        <v/>
      </c>
      <c r="K105">
        <f>IF($N105=1,MOD($J105-$I105,24),0)</f>
        <v/>
      </c>
      <c r="L105">
        <f>IF($N105=1,$E105*24+$I105,"")</f>
        <v/>
      </c>
      <c r="M105">
        <f>IF($N105=1,$L105+$K105,"")</f>
        <v/>
      </c>
      <c r="N105">
        <f>IF(ISNUMBER(SEARCH(" - ",$H105&amp;"")),1,0)</f>
        <v/>
      </c>
      <c r="O105">
        <f>IF(UPPER($H105&amp;"")="LEAVE",1,0)</f>
        <v/>
      </c>
      <c r="P105">
        <f>IF($N105=1,$K105,0)</f>
        <v/>
      </c>
      <c r="Q105">
        <f>IF($N105=0,"",IFERROR($L105-LOOKUP(2,1/(($B$2:$B104=$B105)*($N$2:$N104=1)),$M$2:$M104),""))</f>
        <v/>
      </c>
    </row>
    <row r="106">
      <c r="A106" t="n">
        <v>105</v>
      </c>
      <c r="B106">
        <f>Schedule!$A$17</f>
        <v/>
      </c>
      <c r="C106">
        <f>Schedule!$D$17</f>
        <v/>
      </c>
      <c r="D106">
        <f>Schedule!$F$17</f>
        <v/>
      </c>
      <c r="E106" t="n">
        <v>6</v>
      </c>
      <c r="F106">
        <f>Schedule!$M$1</f>
        <v/>
      </c>
      <c r="G106">
        <f>Schedule!$M$2</f>
        <v/>
      </c>
      <c r="H106">
        <f>Schedule!$M$17</f>
        <v/>
      </c>
      <c r="I106">
        <f>IF($N106=1,VALUE(LEFT($H106,2)),"")</f>
        <v/>
      </c>
      <c r="J106">
        <f>IF($N106=1,VALUE(MID($H106,9,2)),"")</f>
        <v/>
      </c>
      <c r="K106">
        <f>IF($N106=1,MOD($J106-$I106,24),0)</f>
        <v/>
      </c>
      <c r="L106">
        <f>IF($N106=1,$E106*24+$I106,"")</f>
        <v/>
      </c>
      <c r="M106">
        <f>IF($N106=1,$L106+$K106,"")</f>
        <v/>
      </c>
      <c r="N106">
        <f>IF(ISNUMBER(SEARCH(" - ",$H106&amp;"")),1,0)</f>
        <v/>
      </c>
      <c r="O106">
        <f>IF(UPPER($H106&amp;"")="LEAVE",1,0)</f>
        <v/>
      </c>
      <c r="P106">
        <f>IF($N106=1,$K106,0)</f>
        <v/>
      </c>
      <c r="Q106">
        <f>IF($N106=0,"",IFERROR($L106-LOOKUP(2,1/(($B$2:$B105=$B106)*($N$2:$N105=1)),$M$2:$M105),""))</f>
        <v/>
      </c>
    </row>
    <row r="107">
      <c r="A107" t="n">
        <v>106</v>
      </c>
      <c r="B107">
        <f>Schedule!$A$18</f>
        <v/>
      </c>
      <c r="C107">
        <f>Schedule!$D$18</f>
        <v/>
      </c>
      <c r="D107">
        <f>Schedule!$F$18</f>
        <v/>
      </c>
      <c r="E107" t="n">
        <v>0</v>
      </c>
      <c r="F107">
        <f>Schedule!$G$1</f>
        <v/>
      </c>
      <c r="G107">
        <f>Schedule!$G$2</f>
        <v/>
      </c>
      <c r="H107">
        <f>Schedule!$G$18</f>
        <v/>
      </c>
      <c r="I107">
        <f>IF($N107=1,VALUE(LEFT($H107,2)),"")</f>
        <v/>
      </c>
      <c r="J107">
        <f>IF($N107=1,VALUE(MID($H107,9,2)),"")</f>
        <v/>
      </c>
      <c r="K107">
        <f>IF($N107=1,MOD($J107-$I107,24),0)</f>
        <v/>
      </c>
      <c r="L107">
        <f>IF($N107=1,$E107*24+$I107,"")</f>
        <v/>
      </c>
      <c r="M107">
        <f>IF($N107=1,$L107+$K107,"")</f>
        <v/>
      </c>
      <c r="N107">
        <f>IF(ISNUMBER(SEARCH(" - ",$H107&amp;"")),1,0)</f>
        <v/>
      </c>
      <c r="O107">
        <f>IF(UPPER($H107&amp;"")="LEAVE",1,0)</f>
        <v/>
      </c>
      <c r="P107">
        <f>IF($N107=1,$K107,0)</f>
        <v/>
      </c>
      <c r="Q107">
        <f>IF($N107=0,"",IFERROR($L107-'Previous Engine'!$M$17,""))</f>
        <v/>
      </c>
    </row>
    <row r="108">
      <c r="A108" t="n">
        <v>107</v>
      </c>
      <c r="B108">
        <f>Schedule!$A$18</f>
        <v/>
      </c>
      <c r="C108">
        <f>Schedule!$D$18</f>
        <v/>
      </c>
      <c r="D108">
        <f>Schedule!$F$18</f>
        <v/>
      </c>
      <c r="E108" t="n">
        <v>1</v>
      </c>
      <c r="F108">
        <f>Schedule!$H$1</f>
        <v/>
      </c>
      <c r="G108">
        <f>Schedule!$H$2</f>
        <v/>
      </c>
      <c r="H108">
        <f>Schedule!$H$18</f>
        <v/>
      </c>
      <c r="I108">
        <f>IF($N108=1,VALUE(LEFT($H108,2)),"")</f>
        <v/>
      </c>
      <c r="J108">
        <f>IF($N108=1,VALUE(MID($H108,9,2)),"")</f>
        <v/>
      </c>
      <c r="K108">
        <f>IF($N108=1,MOD($J108-$I108,24),0)</f>
        <v/>
      </c>
      <c r="L108">
        <f>IF($N108=1,$E108*24+$I108,"")</f>
        <v/>
      </c>
      <c r="M108">
        <f>IF($N108=1,$L108+$K108,"")</f>
        <v/>
      </c>
      <c r="N108">
        <f>IF(ISNUMBER(SEARCH(" - ",$H108&amp;"")),1,0)</f>
        <v/>
      </c>
      <c r="O108">
        <f>IF(UPPER($H108&amp;"")="LEAVE",1,0)</f>
        <v/>
      </c>
      <c r="P108">
        <f>IF($N108=1,$K108,0)</f>
        <v/>
      </c>
      <c r="Q108">
        <f>IF($N108=0,"",IFERROR($L108-LOOKUP(2,1/(($B$2:$B107=$B108)*($N$2:$N107=1)),$M$2:$M107),""))</f>
        <v/>
      </c>
    </row>
    <row r="109">
      <c r="A109" t="n">
        <v>108</v>
      </c>
      <c r="B109">
        <f>Schedule!$A$18</f>
        <v/>
      </c>
      <c r="C109">
        <f>Schedule!$D$18</f>
        <v/>
      </c>
      <c r="D109">
        <f>Schedule!$F$18</f>
        <v/>
      </c>
      <c r="E109" t="n">
        <v>2</v>
      </c>
      <c r="F109">
        <f>Schedule!$I$1</f>
        <v/>
      </c>
      <c r="G109">
        <f>Schedule!$I$2</f>
        <v/>
      </c>
      <c r="H109">
        <f>Schedule!$I$18</f>
        <v/>
      </c>
      <c r="I109">
        <f>IF($N109=1,VALUE(LEFT($H109,2)),"")</f>
        <v/>
      </c>
      <c r="J109">
        <f>IF($N109=1,VALUE(MID($H109,9,2)),"")</f>
        <v/>
      </c>
      <c r="K109">
        <f>IF($N109=1,MOD($J109-$I109,24),0)</f>
        <v/>
      </c>
      <c r="L109">
        <f>IF($N109=1,$E109*24+$I109,"")</f>
        <v/>
      </c>
      <c r="M109">
        <f>IF($N109=1,$L109+$K109,"")</f>
        <v/>
      </c>
      <c r="N109">
        <f>IF(ISNUMBER(SEARCH(" - ",$H109&amp;"")),1,0)</f>
        <v/>
      </c>
      <c r="O109">
        <f>IF(UPPER($H109&amp;"")="LEAVE",1,0)</f>
        <v/>
      </c>
      <c r="P109">
        <f>IF($N109=1,$K109,0)</f>
        <v/>
      </c>
      <c r="Q109">
        <f>IF($N109=0,"",IFERROR($L109-LOOKUP(2,1/(($B$2:$B108=$B109)*($N$2:$N108=1)),$M$2:$M108),""))</f>
        <v/>
      </c>
    </row>
    <row r="110">
      <c r="A110" t="n">
        <v>109</v>
      </c>
      <c r="B110">
        <f>Schedule!$A$18</f>
        <v/>
      </c>
      <c r="C110">
        <f>Schedule!$D$18</f>
        <v/>
      </c>
      <c r="D110">
        <f>Schedule!$F$18</f>
        <v/>
      </c>
      <c r="E110" t="n">
        <v>3</v>
      </c>
      <c r="F110">
        <f>Schedule!$J$1</f>
        <v/>
      </c>
      <c r="G110">
        <f>Schedule!$J$2</f>
        <v/>
      </c>
      <c r="H110">
        <f>Schedule!$J$18</f>
        <v/>
      </c>
      <c r="I110">
        <f>IF($N110=1,VALUE(LEFT($H110,2)),"")</f>
        <v/>
      </c>
      <c r="J110">
        <f>IF($N110=1,VALUE(MID($H110,9,2)),"")</f>
        <v/>
      </c>
      <c r="K110">
        <f>IF($N110=1,MOD($J110-$I110,24),0)</f>
        <v/>
      </c>
      <c r="L110">
        <f>IF($N110=1,$E110*24+$I110,"")</f>
        <v/>
      </c>
      <c r="M110">
        <f>IF($N110=1,$L110+$K110,"")</f>
        <v/>
      </c>
      <c r="N110">
        <f>IF(ISNUMBER(SEARCH(" - ",$H110&amp;"")),1,0)</f>
        <v/>
      </c>
      <c r="O110">
        <f>IF(UPPER($H110&amp;"")="LEAVE",1,0)</f>
        <v/>
      </c>
      <c r="P110">
        <f>IF($N110=1,$K110,0)</f>
        <v/>
      </c>
      <c r="Q110">
        <f>IF($N110=0,"",IFERROR($L110-LOOKUP(2,1/(($B$2:$B109=$B110)*($N$2:$N109=1)),$M$2:$M109),""))</f>
        <v/>
      </c>
    </row>
    <row r="111">
      <c r="A111" t="n">
        <v>110</v>
      </c>
      <c r="B111">
        <f>Schedule!$A$18</f>
        <v/>
      </c>
      <c r="C111">
        <f>Schedule!$D$18</f>
        <v/>
      </c>
      <c r="D111">
        <f>Schedule!$F$18</f>
        <v/>
      </c>
      <c r="E111" t="n">
        <v>4</v>
      </c>
      <c r="F111">
        <f>Schedule!$K$1</f>
        <v/>
      </c>
      <c r="G111">
        <f>Schedule!$K$2</f>
        <v/>
      </c>
      <c r="H111">
        <f>Schedule!$K$18</f>
        <v/>
      </c>
      <c r="I111">
        <f>IF($N111=1,VALUE(LEFT($H111,2)),"")</f>
        <v/>
      </c>
      <c r="J111">
        <f>IF($N111=1,VALUE(MID($H111,9,2)),"")</f>
        <v/>
      </c>
      <c r="K111">
        <f>IF($N111=1,MOD($J111-$I111,24),0)</f>
        <v/>
      </c>
      <c r="L111">
        <f>IF($N111=1,$E111*24+$I111,"")</f>
        <v/>
      </c>
      <c r="M111">
        <f>IF($N111=1,$L111+$K111,"")</f>
        <v/>
      </c>
      <c r="N111">
        <f>IF(ISNUMBER(SEARCH(" - ",$H111&amp;"")),1,0)</f>
        <v/>
      </c>
      <c r="O111">
        <f>IF(UPPER($H111&amp;"")="LEAVE",1,0)</f>
        <v/>
      </c>
      <c r="P111">
        <f>IF($N111=1,$K111,0)</f>
        <v/>
      </c>
      <c r="Q111">
        <f>IF($N111=0,"",IFERROR($L111-LOOKUP(2,1/(($B$2:$B110=$B111)*($N$2:$N110=1)),$M$2:$M110),""))</f>
        <v/>
      </c>
    </row>
    <row r="112">
      <c r="A112" t="n">
        <v>111</v>
      </c>
      <c r="B112">
        <f>Schedule!$A$18</f>
        <v/>
      </c>
      <c r="C112">
        <f>Schedule!$D$18</f>
        <v/>
      </c>
      <c r="D112">
        <f>Schedule!$F$18</f>
        <v/>
      </c>
      <c r="E112" t="n">
        <v>5</v>
      </c>
      <c r="F112">
        <f>Schedule!$L$1</f>
        <v/>
      </c>
      <c r="G112">
        <f>Schedule!$L$2</f>
        <v/>
      </c>
      <c r="H112">
        <f>Schedule!$L$18</f>
        <v/>
      </c>
      <c r="I112">
        <f>IF($N112=1,VALUE(LEFT($H112,2)),"")</f>
        <v/>
      </c>
      <c r="J112">
        <f>IF($N112=1,VALUE(MID($H112,9,2)),"")</f>
        <v/>
      </c>
      <c r="K112">
        <f>IF($N112=1,MOD($J112-$I112,24),0)</f>
        <v/>
      </c>
      <c r="L112">
        <f>IF($N112=1,$E112*24+$I112,"")</f>
        <v/>
      </c>
      <c r="M112">
        <f>IF($N112=1,$L112+$K112,"")</f>
        <v/>
      </c>
      <c r="N112">
        <f>IF(ISNUMBER(SEARCH(" - ",$H112&amp;"")),1,0)</f>
        <v/>
      </c>
      <c r="O112">
        <f>IF(UPPER($H112&amp;"")="LEAVE",1,0)</f>
        <v/>
      </c>
      <c r="P112">
        <f>IF($N112=1,$K112,0)</f>
        <v/>
      </c>
      <c r="Q112">
        <f>IF($N112=0,"",IFERROR($L112-LOOKUP(2,1/(($B$2:$B111=$B112)*($N$2:$N111=1)),$M$2:$M111),""))</f>
        <v/>
      </c>
    </row>
    <row r="113">
      <c r="A113" t="n">
        <v>112</v>
      </c>
      <c r="B113">
        <f>Schedule!$A$18</f>
        <v/>
      </c>
      <c r="C113">
        <f>Schedule!$D$18</f>
        <v/>
      </c>
      <c r="D113">
        <f>Schedule!$F$18</f>
        <v/>
      </c>
      <c r="E113" t="n">
        <v>6</v>
      </c>
      <c r="F113">
        <f>Schedule!$M$1</f>
        <v/>
      </c>
      <c r="G113">
        <f>Schedule!$M$2</f>
        <v/>
      </c>
      <c r="H113">
        <f>Schedule!$M$18</f>
        <v/>
      </c>
      <c r="I113">
        <f>IF($N113=1,VALUE(LEFT($H113,2)),"")</f>
        <v/>
      </c>
      <c r="J113">
        <f>IF($N113=1,VALUE(MID($H113,9,2)),"")</f>
        <v/>
      </c>
      <c r="K113">
        <f>IF($N113=1,MOD($J113-$I113,24),0)</f>
        <v/>
      </c>
      <c r="L113">
        <f>IF($N113=1,$E113*24+$I113,"")</f>
        <v/>
      </c>
      <c r="M113">
        <f>IF($N113=1,$L113+$K113,"")</f>
        <v/>
      </c>
      <c r="N113">
        <f>IF(ISNUMBER(SEARCH(" - ",$H113&amp;"")),1,0)</f>
        <v/>
      </c>
      <c r="O113">
        <f>IF(UPPER($H113&amp;"")="LEAVE",1,0)</f>
        <v/>
      </c>
      <c r="P113">
        <f>IF($N113=1,$K113,0)</f>
        <v/>
      </c>
      <c r="Q113">
        <f>IF($N113=0,"",IFERROR($L113-LOOKUP(2,1/(($B$2:$B112=$B113)*($N$2:$N112=1)),$M$2:$M112),""))</f>
        <v/>
      </c>
    </row>
    <row r="114">
      <c r="A114" t="n">
        <v>113</v>
      </c>
      <c r="B114">
        <f>Schedule!$A$19</f>
        <v/>
      </c>
      <c r="C114">
        <f>Schedule!$D$19</f>
        <v/>
      </c>
      <c r="D114">
        <f>Schedule!$F$19</f>
        <v/>
      </c>
      <c r="E114" t="n">
        <v>0</v>
      </c>
      <c r="F114">
        <f>Schedule!$G$1</f>
        <v/>
      </c>
      <c r="G114">
        <f>Schedule!$G$2</f>
        <v/>
      </c>
      <c r="H114">
        <f>Schedule!$G$19</f>
        <v/>
      </c>
      <c r="I114">
        <f>IF($N114=1,VALUE(LEFT($H114,2)),"")</f>
        <v/>
      </c>
      <c r="J114">
        <f>IF($N114=1,VALUE(MID($H114,9,2)),"")</f>
        <v/>
      </c>
      <c r="K114">
        <f>IF($N114=1,MOD($J114-$I114,24),0)</f>
        <v/>
      </c>
      <c r="L114">
        <f>IF($N114=1,$E114*24+$I114,"")</f>
        <v/>
      </c>
      <c r="M114">
        <f>IF($N114=1,$L114+$K114,"")</f>
        <v/>
      </c>
      <c r="N114">
        <f>IF(ISNUMBER(SEARCH(" - ",$H114&amp;"")),1,0)</f>
        <v/>
      </c>
      <c r="O114">
        <f>IF(UPPER($H114&amp;"")="LEAVE",1,0)</f>
        <v/>
      </c>
      <c r="P114">
        <f>IF($N114=1,$K114,0)</f>
        <v/>
      </c>
      <c r="Q114">
        <f>IF($N114=0,"",IFERROR($L114-'Previous Engine'!$M$18,""))</f>
        <v/>
      </c>
    </row>
    <row r="115">
      <c r="A115" t="n">
        <v>114</v>
      </c>
      <c r="B115">
        <f>Schedule!$A$19</f>
        <v/>
      </c>
      <c r="C115">
        <f>Schedule!$D$19</f>
        <v/>
      </c>
      <c r="D115">
        <f>Schedule!$F$19</f>
        <v/>
      </c>
      <c r="E115" t="n">
        <v>1</v>
      </c>
      <c r="F115">
        <f>Schedule!$H$1</f>
        <v/>
      </c>
      <c r="G115">
        <f>Schedule!$H$2</f>
        <v/>
      </c>
      <c r="H115">
        <f>Schedule!$H$19</f>
        <v/>
      </c>
      <c r="I115">
        <f>IF($N115=1,VALUE(LEFT($H115,2)),"")</f>
        <v/>
      </c>
      <c r="J115">
        <f>IF($N115=1,VALUE(MID($H115,9,2)),"")</f>
        <v/>
      </c>
      <c r="K115">
        <f>IF($N115=1,MOD($J115-$I115,24),0)</f>
        <v/>
      </c>
      <c r="L115">
        <f>IF($N115=1,$E115*24+$I115,"")</f>
        <v/>
      </c>
      <c r="M115">
        <f>IF($N115=1,$L115+$K115,"")</f>
        <v/>
      </c>
      <c r="N115">
        <f>IF(ISNUMBER(SEARCH(" - ",$H115&amp;"")),1,0)</f>
        <v/>
      </c>
      <c r="O115">
        <f>IF(UPPER($H115&amp;"")="LEAVE",1,0)</f>
        <v/>
      </c>
      <c r="P115">
        <f>IF($N115=1,$K115,0)</f>
        <v/>
      </c>
      <c r="Q115">
        <f>IF($N115=0,"",IFERROR($L115-LOOKUP(2,1/(($B$2:$B114=$B115)*($N$2:$N114=1)),$M$2:$M114),""))</f>
        <v/>
      </c>
    </row>
    <row r="116">
      <c r="A116" t="n">
        <v>115</v>
      </c>
      <c r="B116">
        <f>Schedule!$A$19</f>
        <v/>
      </c>
      <c r="C116">
        <f>Schedule!$D$19</f>
        <v/>
      </c>
      <c r="D116">
        <f>Schedule!$F$19</f>
        <v/>
      </c>
      <c r="E116" t="n">
        <v>2</v>
      </c>
      <c r="F116">
        <f>Schedule!$I$1</f>
        <v/>
      </c>
      <c r="G116">
        <f>Schedule!$I$2</f>
        <v/>
      </c>
      <c r="H116">
        <f>Schedule!$I$19</f>
        <v/>
      </c>
      <c r="I116">
        <f>IF($N116=1,VALUE(LEFT($H116,2)),"")</f>
        <v/>
      </c>
      <c r="J116">
        <f>IF($N116=1,VALUE(MID($H116,9,2)),"")</f>
        <v/>
      </c>
      <c r="K116">
        <f>IF($N116=1,MOD($J116-$I116,24),0)</f>
        <v/>
      </c>
      <c r="L116">
        <f>IF($N116=1,$E116*24+$I116,"")</f>
        <v/>
      </c>
      <c r="M116">
        <f>IF($N116=1,$L116+$K116,"")</f>
        <v/>
      </c>
      <c r="N116">
        <f>IF(ISNUMBER(SEARCH(" - ",$H116&amp;"")),1,0)</f>
        <v/>
      </c>
      <c r="O116">
        <f>IF(UPPER($H116&amp;"")="LEAVE",1,0)</f>
        <v/>
      </c>
      <c r="P116">
        <f>IF($N116=1,$K116,0)</f>
        <v/>
      </c>
      <c r="Q116">
        <f>IF($N116=0,"",IFERROR($L116-LOOKUP(2,1/(($B$2:$B115=$B116)*($N$2:$N115=1)),$M$2:$M115),""))</f>
        <v/>
      </c>
    </row>
    <row r="117">
      <c r="A117" t="n">
        <v>116</v>
      </c>
      <c r="B117">
        <f>Schedule!$A$19</f>
        <v/>
      </c>
      <c r="C117">
        <f>Schedule!$D$19</f>
        <v/>
      </c>
      <c r="D117">
        <f>Schedule!$F$19</f>
        <v/>
      </c>
      <c r="E117" t="n">
        <v>3</v>
      </c>
      <c r="F117">
        <f>Schedule!$J$1</f>
        <v/>
      </c>
      <c r="G117">
        <f>Schedule!$J$2</f>
        <v/>
      </c>
      <c r="H117">
        <f>Schedule!$J$19</f>
        <v/>
      </c>
      <c r="I117">
        <f>IF($N117=1,VALUE(LEFT($H117,2)),"")</f>
        <v/>
      </c>
      <c r="J117">
        <f>IF($N117=1,VALUE(MID($H117,9,2)),"")</f>
        <v/>
      </c>
      <c r="K117">
        <f>IF($N117=1,MOD($J117-$I117,24),0)</f>
        <v/>
      </c>
      <c r="L117">
        <f>IF($N117=1,$E117*24+$I117,"")</f>
        <v/>
      </c>
      <c r="M117">
        <f>IF($N117=1,$L117+$K117,"")</f>
        <v/>
      </c>
      <c r="N117">
        <f>IF(ISNUMBER(SEARCH(" - ",$H117&amp;"")),1,0)</f>
        <v/>
      </c>
      <c r="O117">
        <f>IF(UPPER($H117&amp;"")="LEAVE",1,0)</f>
        <v/>
      </c>
      <c r="P117">
        <f>IF($N117=1,$K117,0)</f>
        <v/>
      </c>
      <c r="Q117">
        <f>IF($N117=0,"",IFERROR($L117-LOOKUP(2,1/(($B$2:$B116=$B117)*($N$2:$N116=1)),$M$2:$M116),""))</f>
        <v/>
      </c>
    </row>
    <row r="118">
      <c r="A118" t="n">
        <v>117</v>
      </c>
      <c r="B118">
        <f>Schedule!$A$19</f>
        <v/>
      </c>
      <c r="C118">
        <f>Schedule!$D$19</f>
        <v/>
      </c>
      <c r="D118">
        <f>Schedule!$F$19</f>
        <v/>
      </c>
      <c r="E118" t="n">
        <v>4</v>
      </c>
      <c r="F118">
        <f>Schedule!$K$1</f>
        <v/>
      </c>
      <c r="G118">
        <f>Schedule!$K$2</f>
        <v/>
      </c>
      <c r="H118">
        <f>Schedule!$K$19</f>
        <v/>
      </c>
      <c r="I118">
        <f>IF($N118=1,VALUE(LEFT($H118,2)),"")</f>
        <v/>
      </c>
      <c r="J118">
        <f>IF($N118=1,VALUE(MID($H118,9,2)),"")</f>
        <v/>
      </c>
      <c r="K118">
        <f>IF($N118=1,MOD($J118-$I118,24),0)</f>
        <v/>
      </c>
      <c r="L118">
        <f>IF($N118=1,$E118*24+$I118,"")</f>
        <v/>
      </c>
      <c r="M118">
        <f>IF($N118=1,$L118+$K118,"")</f>
        <v/>
      </c>
      <c r="N118">
        <f>IF(ISNUMBER(SEARCH(" - ",$H118&amp;"")),1,0)</f>
        <v/>
      </c>
      <c r="O118">
        <f>IF(UPPER($H118&amp;"")="LEAVE",1,0)</f>
        <v/>
      </c>
      <c r="P118">
        <f>IF($N118=1,$K118,0)</f>
        <v/>
      </c>
      <c r="Q118">
        <f>IF($N118=0,"",IFERROR($L118-LOOKUP(2,1/(($B$2:$B117=$B118)*($N$2:$N117=1)),$M$2:$M117),""))</f>
        <v/>
      </c>
    </row>
    <row r="119">
      <c r="A119" t="n">
        <v>118</v>
      </c>
      <c r="B119">
        <f>Schedule!$A$19</f>
        <v/>
      </c>
      <c r="C119">
        <f>Schedule!$D$19</f>
        <v/>
      </c>
      <c r="D119">
        <f>Schedule!$F$19</f>
        <v/>
      </c>
      <c r="E119" t="n">
        <v>5</v>
      </c>
      <c r="F119">
        <f>Schedule!$L$1</f>
        <v/>
      </c>
      <c r="G119">
        <f>Schedule!$L$2</f>
        <v/>
      </c>
      <c r="H119">
        <f>Schedule!$L$19</f>
        <v/>
      </c>
      <c r="I119">
        <f>IF($N119=1,VALUE(LEFT($H119,2)),"")</f>
        <v/>
      </c>
      <c r="J119">
        <f>IF($N119=1,VALUE(MID($H119,9,2)),"")</f>
        <v/>
      </c>
      <c r="K119">
        <f>IF($N119=1,MOD($J119-$I119,24),0)</f>
        <v/>
      </c>
      <c r="L119">
        <f>IF($N119=1,$E119*24+$I119,"")</f>
        <v/>
      </c>
      <c r="M119">
        <f>IF($N119=1,$L119+$K119,"")</f>
        <v/>
      </c>
      <c r="N119">
        <f>IF(ISNUMBER(SEARCH(" - ",$H119&amp;"")),1,0)</f>
        <v/>
      </c>
      <c r="O119">
        <f>IF(UPPER($H119&amp;"")="LEAVE",1,0)</f>
        <v/>
      </c>
      <c r="P119">
        <f>IF($N119=1,$K119,0)</f>
        <v/>
      </c>
      <c r="Q119">
        <f>IF($N119=0,"",IFERROR($L119-LOOKUP(2,1/(($B$2:$B118=$B119)*($N$2:$N118=1)),$M$2:$M118),""))</f>
        <v/>
      </c>
    </row>
    <row r="120">
      <c r="A120" t="n">
        <v>119</v>
      </c>
      <c r="B120">
        <f>Schedule!$A$19</f>
        <v/>
      </c>
      <c r="C120">
        <f>Schedule!$D$19</f>
        <v/>
      </c>
      <c r="D120">
        <f>Schedule!$F$19</f>
        <v/>
      </c>
      <c r="E120" t="n">
        <v>6</v>
      </c>
      <c r="F120">
        <f>Schedule!$M$1</f>
        <v/>
      </c>
      <c r="G120">
        <f>Schedule!$M$2</f>
        <v/>
      </c>
      <c r="H120">
        <f>Schedule!$M$19</f>
        <v/>
      </c>
      <c r="I120">
        <f>IF($N120=1,VALUE(LEFT($H120,2)),"")</f>
        <v/>
      </c>
      <c r="J120">
        <f>IF($N120=1,VALUE(MID($H120,9,2)),"")</f>
        <v/>
      </c>
      <c r="K120">
        <f>IF($N120=1,MOD($J120-$I120,24),0)</f>
        <v/>
      </c>
      <c r="L120">
        <f>IF($N120=1,$E120*24+$I120,"")</f>
        <v/>
      </c>
      <c r="M120">
        <f>IF($N120=1,$L120+$K120,"")</f>
        <v/>
      </c>
      <c r="N120">
        <f>IF(ISNUMBER(SEARCH(" - ",$H120&amp;"")),1,0)</f>
        <v/>
      </c>
      <c r="O120">
        <f>IF(UPPER($H120&amp;"")="LEAVE",1,0)</f>
        <v/>
      </c>
      <c r="P120">
        <f>IF($N120=1,$K120,0)</f>
        <v/>
      </c>
      <c r="Q120">
        <f>IF($N120=0,"",IFERROR($L120-LOOKUP(2,1/(($B$2:$B119=$B120)*($N$2:$N119=1)),$M$2:$M119),""))</f>
        <v/>
      </c>
    </row>
    <row r="121">
      <c r="A121" t="n">
        <v>120</v>
      </c>
      <c r="B121">
        <f>Schedule!$A$20</f>
        <v/>
      </c>
      <c r="C121">
        <f>Schedule!$D$20</f>
        <v/>
      </c>
      <c r="D121">
        <f>Schedule!$F$20</f>
        <v/>
      </c>
      <c r="E121" t="n">
        <v>0</v>
      </c>
      <c r="F121">
        <f>Schedule!$G$1</f>
        <v/>
      </c>
      <c r="G121">
        <f>Schedule!$G$2</f>
        <v/>
      </c>
      <c r="H121">
        <f>Schedule!$G$20</f>
        <v/>
      </c>
      <c r="I121">
        <f>IF($N121=1,VALUE(LEFT($H121,2)),"")</f>
        <v/>
      </c>
      <c r="J121">
        <f>IF($N121=1,VALUE(MID($H121,9,2)),"")</f>
        <v/>
      </c>
      <c r="K121">
        <f>IF($N121=1,MOD($J121-$I121,24),0)</f>
        <v/>
      </c>
      <c r="L121">
        <f>IF($N121=1,$E121*24+$I121,"")</f>
        <v/>
      </c>
      <c r="M121">
        <f>IF($N121=1,$L121+$K121,"")</f>
        <v/>
      </c>
      <c r="N121">
        <f>IF(ISNUMBER(SEARCH(" - ",$H121&amp;"")),1,0)</f>
        <v/>
      </c>
      <c r="O121">
        <f>IF(UPPER($H121&amp;"")="LEAVE",1,0)</f>
        <v/>
      </c>
      <c r="P121">
        <f>IF($N121=1,$K121,0)</f>
        <v/>
      </c>
      <c r="Q121">
        <f>IF($N121=0,"",IFERROR($L121-'Previous Engine'!$M$19,""))</f>
        <v/>
      </c>
    </row>
    <row r="122">
      <c r="A122" t="n">
        <v>121</v>
      </c>
      <c r="B122">
        <f>Schedule!$A$20</f>
        <v/>
      </c>
      <c r="C122">
        <f>Schedule!$D$20</f>
        <v/>
      </c>
      <c r="D122">
        <f>Schedule!$F$20</f>
        <v/>
      </c>
      <c r="E122" t="n">
        <v>1</v>
      </c>
      <c r="F122">
        <f>Schedule!$H$1</f>
        <v/>
      </c>
      <c r="G122">
        <f>Schedule!$H$2</f>
        <v/>
      </c>
      <c r="H122">
        <f>Schedule!$H$20</f>
        <v/>
      </c>
      <c r="I122">
        <f>IF($N122=1,VALUE(LEFT($H122,2)),"")</f>
        <v/>
      </c>
      <c r="J122">
        <f>IF($N122=1,VALUE(MID($H122,9,2)),"")</f>
        <v/>
      </c>
      <c r="K122">
        <f>IF($N122=1,MOD($J122-$I122,24),0)</f>
        <v/>
      </c>
      <c r="L122">
        <f>IF($N122=1,$E122*24+$I122,"")</f>
        <v/>
      </c>
      <c r="M122">
        <f>IF($N122=1,$L122+$K122,"")</f>
        <v/>
      </c>
      <c r="N122">
        <f>IF(ISNUMBER(SEARCH(" - ",$H122&amp;"")),1,0)</f>
        <v/>
      </c>
      <c r="O122">
        <f>IF(UPPER($H122&amp;"")="LEAVE",1,0)</f>
        <v/>
      </c>
      <c r="P122">
        <f>IF($N122=1,$K122,0)</f>
        <v/>
      </c>
      <c r="Q122">
        <f>IF($N122=0,"",IFERROR($L122-LOOKUP(2,1/(($B$2:$B121=$B122)*($N$2:$N121=1)),$M$2:$M121),""))</f>
        <v/>
      </c>
    </row>
    <row r="123">
      <c r="A123" t="n">
        <v>122</v>
      </c>
      <c r="B123">
        <f>Schedule!$A$20</f>
        <v/>
      </c>
      <c r="C123">
        <f>Schedule!$D$20</f>
        <v/>
      </c>
      <c r="D123">
        <f>Schedule!$F$20</f>
        <v/>
      </c>
      <c r="E123" t="n">
        <v>2</v>
      </c>
      <c r="F123">
        <f>Schedule!$I$1</f>
        <v/>
      </c>
      <c r="G123">
        <f>Schedule!$I$2</f>
        <v/>
      </c>
      <c r="H123">
        <f>Schedule!$I$20</f>
        <v/>
      </c>
      <c r="I123">
        <f>IF($N123=1,VALUE(LEFT($H123,2)),"")</f>
        <v/>
      </c>
      <c r="J123">
        <f>IF($N123=1,VALUE(MID($H123,9,2)),"")</f>
        <v/>
      </c>
      <c r="K123">
        <f>IF($N123=1,MOD($J123-$I123,24),0)</f>
        <v/>
      </c>
      <c r="L123">
        <f>IF($N123=1,$E123*24+$I123,"")</f>
        <v/>
      </c>
      <c r="M123">
        <f>IF($N123=1,$L123+$K123,"")</f>
        <v/>
      </c>
      <c r="N123">
        <f>IF(ISNUMBER(SEARCH(" - ",$H123&amp;"")),1,0)</f>
        <v/>
      </c>
      <c r="O123">
        <f>IF(UPPER($H123&amp;"")="LEAVE",1,0)</f>
        <v/>
      </c>
      <c r="P123">
        <f>IF($N123=1,$K123,0)</f>
        <v/>
      </c>
      <c r="Q123">
        <f>IF($N123=0,"",IFERROR($L123-LOOKUP(2,1/(($B$2:$B122=$B123)*($N$2:$N122=1)),$M$2:$M122),""))</f>
        <v/>
      </c>
    </row>
    <row r="124">
      <c r="A124" t="n">
        <v>123</v>
      </c>
      <c r="B124">
        <f>Schedule!$A$20</f>
        <v/>
      </c>
      <c r="C124">
        <f>Schedule!$D$20</f>
        <v/>
      </c>
      <c r="D124">
        <f>Schedule!$F$20</f>
        <v/>
      </c>
      <c r="E124" t="n">
        <v>3</v>
      </c>
      <c r="F124">
        <f>Schedule!$J$1</f>
        <v/>
      </c>
      <c r="G124">
        <f>Schedule!$J$2</f>
        <v/>
      </c>
      <c r="H124">
        <f>Schedule!$J$20</f>
        <v/>
      </c>
      <c r="I124">
        <f>IF($N124=1,VALUE(LEFT($H124,2)),"")</f>
        <v/>
      </c>
      <c r="J124">
        <f>IF($N124=1,VALUE(MID($H124,9,2)),"")</f>
        <v/>
      </c>
      <c r="K124">
        <f>IF($N124=1,MOD($J124-$I124,24),0)</f>
        <v/>
      </c>
      <c r="L124">
        <f>IF($N124=1,$E124*24+$I124,"")</f>
        <v/>
      </c>
      <c r="M124">
        <f>IF($N124=1,$L124+$K124,"")</f>
        <v/>
      </c>
      <c r="N124">
        <f>IF(ISNUMBER(SEARCH(" - ",$H124&amp;"")),1,0)</f>
        <v/>
      </c>
      <c r="O124">
        <f>IF(UPPER($H124&amp;"")="LEAVE",1,0)</f>
        <v/>
      </c>
      <c r="P124">
        <f>IF($N124=1,$K124,0)</f>
        <v/>
      </c>
      <c r="Q124">
        <f>IF($N124=0,"",IFERROR($L124-LOOKUP(2,1/(($B$2:$B123=$B124)*($N$2:$N123=1)),$M$2:$M123),""))</f>
        <v/>
      </c>
    </row>
    <row r="125">
      <c r="A125" t="n">
        <v>124</v>
      </c>
      <c r="B125">
        <f>Schedule!$A$20</f>
        <v/>
      </c>
      <c r="C125">
        <f>Schedule!$D$20</f>
        <v/>
      </c>
      <c r="D125">
        <f>Schedule!$F$20</f>
        <v/>
      </c>
      <c r="E125" t="n">
        <v>4</v>
      </c>
      <c r="F125">
        <f>Schedule!$K$1</f>
        <v/>
      </c>
      <c r="G125">
        <f>Schedule!$K$2</f>
        <v/>
      </c>
      <c r="H125">
        <f>Schedule!$K$20</f>
        <v/>
      </c>
      <c r="I125">
        <f>IF($N125=1,VALUE(LEFT($H125,2)),"")</f>
        <v/>
      </c>
      <c r="J125">
        <f>IF($N125=1,VALUE(MID($H125,9,2)),"")</f>
        <v/>
      </c>
      <c r="K125">
        <f>IF($N125=1,MOD($J125-$I125,24),0)</f>
        <v/>
      </c>
      <c r="L125">
        <f>IF($N125=1,$E125*24+$I125,"")</f>
        <v/>
      </c>
      <c r="M125">
        <f>IF($N125=1,$L125+$K125,"")</f>
        <v/>
      </c>
      <c r="N125">
        <f>IF(ISNUMBER(SEARCH(" - ",$H125&amp;"")),1,0)</f>
        <v/>
      </c>
      <c r="O125">
        <f>IF(UPPER($H125&amp;"")="LEAVE",1,0)</f>
        <v/>
      </c>
      <c r="P125">
        <f>IF($N125=1,$K125,0)</f>
        <v/>
      </c>
      <c r="Q125">
        <f>IF($N125=0,"",IFERROR($L125-LOOKUP(2,1/(($B$2:$B124=$B125)*($N$2:$N124=1)),$M$2:$M124),""))</f>
        <v/>
      </c>
    </row>
    <row r="126">
      <c r="A126" t="n">
        <v>125</v>
      </c>
      <c r="B126">
        <f>Schedule!$A$20</f>
        <v/>
      </c>
      <c r="C126">
        <f>Schedule!$D$20</f>
        <v/>
      </c>
      <c r="D126">
        <f>Schedule!$F$20</f>
        <v/>
      </c>
      <c r="E126" t="n">
        <v>5</v>
      </c>
      <c r="F126">
        <f>Schedule!$L$1</f>
        <v/>
      </c>
      <c r="G126">
        <f>Schedule!$L$2</f>
        <v/>
      </c>
      <c r="H126">
        <f>Schedule!$L$20</f>
        <v/>
      </c>
      <c r="I126">
        <f>IF($N126=1,VALUE(LEFT($H126,2)),"")</f>
        <v/>
      </c>
      <c r="J126">
        <f>IF($N126=1,VALUE(MID($H126,9,2)),"")</f>
        <v/>
      </c>
      <c r="K126">
        <f>IF($N126=1,MOD($J126-$I126,24),0)</f>
        <v/>
      </c>
      <c r="L126">
        <f>IF($N126=1,$E126*24+$I126,"")</f>
        <v/>
      </c>
      <c r="M126">
        <f>IF($N126=1,$L126+$K126,"")</f>
        <v/>
      </c>
      <c r="N126">
        <f>IF(ISNUMBER(SEARCH(" - ",$H126&amp;"")),1,0)</f>
        <v/>
      </c>
      <c r="O126">
        <f>IF(UPPER($H126&amp;"")="LEAVE",1,0)</f>
        <v/>
      </c>
      <c r="P126">
        <f>IF($N126=1,$K126,0)</f>
        <v/>
      </c>
      <c r="Q126">
        <f>IF($N126=0,"",IFERROR($L126-LOOKUP(2,1/(($B$2:$B125=$B126)*($N$2:$N125=1)),$M$2:$M125),""))</f>
        <v/>
      </c>
    </row>
    <row r="127">
      <c r="A127" t="n">
        <v>126</v>
      </c>
      <c r="B127">
        <f>Schedule!$A$20</f>
        <v/>
      </c>
      <c r="C127">
        <f>Schedule!$D$20</f>
        <v/>
      </c>
      <c r="D127">
        <f>Schedule!$F$20</f>
        <v/>
      </c>
      <c r="E127" t="n">
        <v>6</v>
      </c>
      <c r="F127">
        <f>Schedule!$M$1</f>
        <v/>
      </c>
      <c r="G127">
        <f>Schedule!$M$2</f>
        <v/>
      </c>
      <c r="H127">
        <f>Schedule!$M$20</f>
        <v/>
      </c>
      <c r="I127">
        <f>IF($N127=1,VALUE(LEFT($H127,2)),"")</f>
        <v/>
      </c>
      <c r="J127">
        <f>IF($N127=1,VALUE(MID($H127,9,2)),"")</f>
        <v/>
      </c>
      <c r="K127">
        <f>IF($N127=1,MOD($J127-$I127,24),0)</f>
        <v/>
      </c>
      <c r="L127">
        <f>IF($N127=1,$E127*24+$I127,"")</f>
        <v/>
      </c>
      <c r="M127">
        <f>IF($N127=1,$L127+$K127,"")</f>
        <v/>
      </c>
      <c r="N127">
        <f>IF(ISNUMBER(SEARCH(" - ",$H127&amp;"")),1,0)</f>
        <v/>
      </c>
      <c r="O127">
        <f>IF(UPPER($H127&amp;"")="LEAVE",1,0)</f>
        <v/>
      </c>
      <c r="P127">
        <f>IF($N127=1,$K127,0)</f>
        <v/>
      </c>
      <c r="Q127">
        <f>IF($N127=0,"",IFERROR($L127-LOOKUP(2,1/(($B$2:$B126=$B127)*($N$2:$N126=1)),$M$2:$M126),""))</f>
        <v/>
      </c>
    </row>
    <row r="128">
      <c r="A128" t="n">
        <v>127</v>
      </c>
      <c r="B128">
        <f>Schedule!$A$21</f>
        <v/>
      </c>
      <c r="C128">
        <f>Schedule!$D$21</f>
        <v/>
      </c>
      <c r="D128">
        <f>Schedule!$F$21</f>
        <v/>
      </c>
      <c r="E128" t="n">
        <v>0</v>
      </c>
      <c r="F128">
        <f>Schedule!$G$1</f>
        <v/>
      </c>
      <c r="G128">
        <f>Schedule!$G$2</f>
        <v/>
      </c>
      <c r="H128">
        <f>Schedule!$G$21</f>
        <v/>
      </c>
      <c r="I128">
        <f>IF($N128=1,VALUE(LEFT($H128,2)),"")</f>
        <v/>
      </c>
      <c r="J128">
        <f>IF($N128=1,VALUE(MID($H128,9,2)),"")</f>
        <v/>
      </c>
      <c r="K128">
        <f>IF($N128=1,MOD($J128-$I128,24),0)</f>
        <v/>
      </c>
      <c r="L128">
        <f>IF($N128=1,$E128*24+$I128,"")</f>
        <v/>
      </c>
      <c r="M128">
        <f>IF($N128=1,$L128+$K128,"")</f>
        <v/>
      </c>
      <c r="N128">
        <f>IF(ISNUMBER(SEARCH(" - ",$H128&amp;"")),1,0)</f>
        <v/>
      </c>
      <c r="O128">
        <f>IF(UPPER($H128&amp;"")="LEAVE",1,0)</f>
        <v/>
      </c>
      <c r="P128">
        <f>IF($N128=1,$K128,0)</f>
        <v/>
      </c>
      <c r="Q128">
        <f>IF($N128=0,"",IFERROR($L128-'Previous Engine'!$M$20,""))</f>
        <v/>
      </c>
    </row>
    <row r="129">
      <c r="A129" t="n">
        <v>128</v>
      </c>
      <c r="B129">
        <f>Schedule!$A$21</f>
        <v/>
      </c>
      <c r="C129">
        <f>Schedule!$D$21</f>
        <v/>
      </c>
      <c r="D129">
        <f>Schedule!$F$21</f>
        <v/>
      </c>
      <c r="E129" t="n">
        <v>1</v>
      </c>
      <c r="F129">
        <f>Schedule!$H$1</f>
        <v/>
      </c>
      <c r="G129">
        <f>Schedule!$H$2</f>
        <v/>
      </c>
      <c r="H129">
        <f>Schedule!$H$21</f>
        <v/>
      </c>
      <c r="I129">
        <f>IF($N129=1,VALUE(LEFT($H129,2)),"")</f>
        <v/>
      </c>
      <c r="J129">
        <f>IF($N129=1,VALUE(MID($H129,9,2)),"")</f>
        <v/>
      </c>
      <c r="K129">
        <f>IF($N129=1,MOD($J129-$I129,24),0)</f>
        <v/>
      </c>
      <c r="L129">
        <f>IF($N129=1,$E129*24+$I129,"")</f>
        <v/>
      </c>
      <c r="M129">
        <f>IF($N129=1,$L129+$K129,"")</f>
        <v/>
      </c>
      <c r="N129">
        <f>IF(ISNUMBER(SEARCH(" - ",$H129&amp;"")),1,0)</f>
        <v/>
      </c>
      <c r="O129">
        <f>IF(UPPER($H129&amp;"")="LEAVE",1,0)</f>
        <v/>
      </c>
      <c r="P129">
        <f>IF($N129=1,$K129,0)</f>
        <v/>
      </c>
      <c r="Q129">
        <f>IF($N129=0,"",IFERROR($L129-LOOKUP(2,1/(($B$2:$B128=$B129)*($N$2:$N128=1)),$M$2:$M128),""))</f>
        <v/>
      </c>
    </row>
    <row r="130">
      <c r="A130" t="n">
        <v>129</v>
      </c>
      <c r="B130">
        <f>Schedule!$A$21</f>
        <v/>
      </c>
      <c r="C130">
        <f>Schedule!$D$21</f>
        <v/>
      </c>
      <c r="D130">
        <f>Schedule!$F$21</f>
        <v/>
      </c>
      <c r="E130" t="n">
        <v>2</v>
      </c>
      <c r="F130">
        <f>Schedule!$I$1</f>
        <v/>
      </c>
      <c r="G130">
        <f>Schedule!$I$2</f>
        <v/>
      </c>
      <c r="H130">
        <f>Schedule!$I$21</f>
        <v/>
      </c>
      <c r="I130">
        <f>IF($N130=1,VALUE(LEFT($H130,2)),"")</f>
        <v/>
      </c>
      <c r="J130">
        <f>IF($N130=1,VALUE(MID($H130,9,2)),"")</f>
        <v/>
      </c>
      <c r="K130">
        <f>IF($N130=1,MOD($J130-$I130,24),0)</f>
        <v/>
      </c>
      <c r="L130">
        <f>IF($N130=1,$E130*24+$I130,"")</f>
        <v/>
      </c>
      <c r="M130">
        <f>IF($N130=1,$L130+$K130,"")</f>
        <v/>
      </c>
      <c r="N130">
        <f>IF(ISNUMBER(SEARCH(" - ",$H130&amp;"")),1,0)</f>
        <v/>
      </c>
      <c r="O130">
        <f>IF(UPPER($H130&amp;"")="LEAVE",1,0)</f>
        <v/>
      </c>
      <c r="P130">
        <f>IF($N130=1,$K130,0)</f>
        <v/>
      </c>
      <c r="Q130">
        <f>IF($N130=0,"",IFERROR($L130-LOOKUP(2,1/(($B$2:$B129=$B130)*($N$2:$N129=1)),$M$2:$M129),""))</f>
        <v/>
      </c>
    </row>
    <row r="131">
      <c r="A131" t="n">
        <v>130</v>
      </c>
      <c r="B131">
        <f>Schedule!$A$21</f>
        <v/>
      </c>
      <c r="C131">
        <f>Schedule!$D$21</f>
        <v/>
      </c>
      <c r="D131">
        <f>Schedule!$F$21</f>
        <v/>
      </c>
      <c r="E131" t="n">
        <v>3</v>
      </c>
      <c r="F131">
        <f>Schedule!$J$1</f>
        <v/>
      </c>
      <c r="G131">
        <f>Schedule!$J$2</f>
        <v/>
      </c>
      <c r="H131">
        <f>Schedule!$J$21</f>
        <v/>
      </c>
      <c r="I131">
        <f>IF($N131=1,VALUE(LEFT($H131,2)),"")</f>
        <v/>
      </c>
      <c r="J131">
        <f>IF($N131=1,VALUE(MID($H131,9,2)),"")</f>
        <v/>
      </c>
      <c r="K131">
        <f>IF($N131=1,MOD($J131-$I131,24),0)</f>
        <v/>
      </c>
      <c r="L131">
        <f>IF($N131=1,$E131*24+$I131,"")</f>
        <v/>
      </c>
      <c r="M131">
        <f>IF($N131=1,$L131+$K131,"")</f>
        <v/>
      </c>
      <c r="N131">
        <f>IF(ISNUMBER(SEARCH(" - ",$H131&amp;"")),1,0)</f>
        <v/>
      </c>
      <c r="O131">
        <f>IF(UPPER($H131&amp;"")="LEAVE",1,0)</f>
        <v/>
      </c>
      <c r="P131">
        <f>IF($N131=1,$K131,0)</f>
        <v/>
      </c>
      <c r="Q131">
        <f>IF($N131=0,"",IFERROR($L131-LOOKUP(2,1/(($B$2:$B130=$B131)*($N$2:$N130=1)),$M$2:$M130),""))</f>
        <v/>
      </c>
    </row>
    <row r="132">
      <c r="A132" t="n">
        <v>131</v>
      </c>
      <c r="B132">
        <f>Schedule!$A$21</f>
        <v/>
      </c>
      <c r="C132">
        <f>Schedule!$D$21</f>
        <v/>
      </c>
      <c r="D132">
        <f>Schedule!$F$21</f>
        <v/>
      </c>
      <c r="E132" t="n">
        <v>4</v>
      </c>
      <c r="F132">
        <f>Schedule!$K$1</f>
        <v/>
      </c>
      <c r="G132">
        <f>Schedule!$K$2</f>
        <v/>
      </c>
      <c r="H132">
        <f>Schedule!$K$21</f>
        <v/>
      </c>
      <c r="I132">
        <f>IF($N132=1,VALUE(LEFT($H132,2)),"")</f>
        <v/>
      </c>
      <c r="J132">
        <f>IF($N132=1,VALUE(MID($H132,9,2)),"")</f>
        <v/>
      </c>
      <c r="K132">
        <f>IF($N132=1,MOD($J132-$I132,24),0)</f>
        <v/>
      </c>
      <c r="L132">
        <f>IF($N132=1,$E132*24+$I132,"")</f>
        <v/>
      </c>
      <c r="M132">
        <f>IF($N132=1,$L132+$K132,"")</f>
        <v/>
      </c>
      <c r="N132">
        <f>IF(ISNUMBER(SEARCH(" - ",$H132&amp;"")),1,0)</f>
        <v/>
      </c>
      <c r="O132">
        <f>IF(UPPER($H132&amp;"")="LEAVE",1,0)</f>
        <v/>
      </c>
      <c r="P132">
        <f>IF($N132=1,$K132,0)</f>
        <v/>
      </c>
      <c r="Q132">
        <f>IF($N132=0,"",IFERROR($L132-LOOKUP(2,1/(($B$2:$B131=$B132)*($N$2:$N131=1)),$M$2:$M131),""))</f>
        <v/>
      </c>
    </row>
    <row r="133">
      <c r="A133" t="n">
        <v>132</v>
      </c>
      <c r="B133">
        <f>Schedule!$A$21</f>
        <v/>
      </c>
      <c r="C133">
        <f>Schedule!$D$21</f>
        <v/>
      </c>
      <c r="D133">
        <f>Schedule!$F$21</f>
        <v/>
      </c>
      <c r="E133" t="n">
        <v>5</v>
      </c>
      <c r="F133">
        <f>Schedule!$L$1</f>
        <v/>
      </c>
      <c r="G133">
        <f>Schedule!$L$2</f>
        <v/>
      </c>
      <c r="H133">
        <f>Schedule!$L$21</f>
        <v/>
      </c>
      <c r="I133">
        <f>IF($N133=1,VALUE(LEFT($H133,2)),"")</f>
        <v/>
      </c>
      <c r="J133">
        <f>IF($N133=1,VALUE(MID($H133,9,2)),"")</f>
        <v/>
      </c>
      <c r="K133">
        <f>IF($N133=1,MOD($J133-$I133,24),0)</f>
        <v/>
      </c>
      <c r="L133">
        <f>IF($N133=1,$E133*24+$I133,"")</f>
        <v/>
      </c>
      <c r="M133">
        <f>IF($N133=1,$L133+$K133,"")</f>
        <v/>
      </c>
      <c r="N133">
        <f>IF(ISNUMBER(SEARCH(" - ",$H133&amp;"")),1,0)</f>
        <v/>
      </c>
      <c r="O133">
        <f>IF(UPPER($H133&amp;"")="LEAVE",1,0)</f>
        <v/>
      </c>
      <c r="P133">
        <f>IF($N133=1,$K133,0)</f>
        <v/>
      </c>
      <c r="Q133">
        <f>IF($N133=0,"",IFERROR($L133-LOOKUP(2,1/(($B$2:$B132=$B133)*($N$2:$N132=1)),$M$2:$M132),""))</f>
        <v/>
      </c>
    </row>
    <row r="134">
      <c r="A134" t="n">
        <v>133</v>
      </c>
      <c r="B134">
        <f>Schedule!$A$21</f>
        <v/>
      </c>
      <c r="C134">
        <f>Schedule!$D$21</f>
        <v/>
      </c>
      <c r="D134">
        <f>Schedule!$F$21</f>
        <v/>
      </c>
      <c r="E134" t="n">
        <v>6</v>
      </c>
      <c r="F134">
        <f>Schedule!$M$1</f>
        <v/>
      </c>
      <c r="G134">
        <f>Schedule!$M$2</f>
        <v/>
      </c>
      <c r="H134">
        <f>Schedule!$M$21</f>
        <v/>
      </c>
      <c r="I134">
        <f>IF($N134=1,VALUE(LEFT($H134,2)),"")</f>
        <v/>
      </c>
      <c r="J134">
        <f>IF($N134=1,VALUE(MID($H134,9,2)),"")</f>
        <v/>
      </c>
      <c r="K134">
        <f>IF($N134=1,MOD($J134-$I134,24),0)</f>
        <v/>
      </c>
      <c r="L134">
        <f>IF($N134=1,$E134*24+$I134,"")</f>
        <v/>
      </c>
      <c r="M134">
        <f>IF($N134=1,$L134+$K134,"")</f>
        <v/>
      </c>
      <c r="N134">
        <f>IF(ISNUMBER(SEARCH(" - ",$H134&amp;"")),1,0)</f>
        <v/>
      </c>
      <c r="O134">
        <f>IF(UPPER($H134&amp;"")="LEAVE",1,0)</f>
        <v/>
      </c>
      <c r="P134">
        <f>IF($N134=1,$K134,0)</f>
        <v/>
      </c>
      <c r="Q134">
        <f>IF($N134=0,"",IFERROR($L134-LOOKUP(2,1/(($B$2:$B133=$B134)*($N$2:$N133=1)),$M$2:$M133),""))</f>
        <v/>
      </c>
    </row>
    <row r="135">
      <c r="A135" t="n">
        <v>134</v>
      </c>
      <c r="B135">
        <f>Schedule!$A$22</f>
        <v/>
      </c>
      <c r="C135">
        <f>Schedule!$D$22</f>
        <v/>
      </c>
      <c r="D135">
        <f>Schedule!$F$22</f>
        <v/>
      </c>
      <c r="E135" t="n">
        <v>0</v>
      </c>
      <c r="F135">
        <f>Schedule!$G$1</f>
        <v/>
      </c>
      <c r="G135">
        <f>Schedule!$G$2</f>
        <v/>
      </c>
      <c r="H135">
        <f>Schedule!$G$22</f>
        <v/>
      </c>
      <c r="I135">
        <f>IF($N135=1,VALUE(LEFT($H135,2)),"")</f>
        <v/>
      </c>
      <c r="J135">
        <f>IF($N135=1,VALUE(MID($H135,9,2)),"")</f>
        <v/>
      </c>
      <c r="K135">
        <f>IF($N135=1,MOD($J135-$I135,24),0)</f>
        <v/>
      </c>
      <c r="L135">
        <f>IF($N135=1,$E135*24+$I135,"")</f>
        <v/>
      </c>
      <c r="M135">
        <f>IF($N135=1,$L135+$K135,"")</f>
        <v/>
      </c>
      <c r="N135">
        <f>IF(ISNUMBER(SEARCH(" - ",$H135&amp;"")),1,0)</f>
        <v/>
      </c>
      <c r="O135">
        <f>IF(UPPER($H135&amp;"")="LEAVE",1,0)</f>
        <v/>
      </c>
      <c r="P135">
        <f>IF($N135=1,$K135,0)</f>
        <v/>
      </c>
      <c r="Q135">
        <f>IF($N135=0,"",IFERROR($L135-'Previous Engine'!$M$21,""))</f>
        <v/>
      </c>
    </row>
    <row r="136">
      <c r="A136" t="n">
        <v>135</v>
      </c>
      <c r="B136">
        <f>Schedule!$A$22</f>
        <v/>
      </c>
      <c r="C136">
        <f>Schedule!$D$22</f>
        <v/>
      </c>
      <c r="D136">
        <f>Schedule!$F$22</f>
        <v/>
      </c>
      <c r="E136" t="n">
        <v>1</v>
      </c>
      <c r="F136">
        <f>Schedule!$H$1</f>
        <v/>
      </c>
      <c r="G136">
        <f>Schedule!$H$2</f>
        <v/>
      </c>
      <c r="H136">
        <f>Schedule!$H$22</f>
        <v/>
      </c>
      <c r="I136">
        <f>IF($N136=1,VALUE(LEFT($H136,2)),"")</f>
        <v/>
      </c>
      <c r="J136">
        <f>IF($N136=1,VALUE(MID($H136,9,2)),"")</f>
        <v/>
      </c>
      <c r="K136">
        <f>IF($N136=1,MOD($J136-$I136,24),0)</f>
        <v/>
      </c>
      <c r="L136">
        <f>IF($N136=1,$E136*24+$I136,"")</f>
        <v/>
      </c>
      <c r="M136">
        <f>IF($N136=1,$L136+$K136,"")</f>
        <v/>
      </c>
      <c r="N136">
        <f>IF(ISNUMBER(SEARCH(" - ",$H136&amp;"")),1,0)</f>
        <v/>
      </c>
      <c r="O136">
        <f>IF(UPPER($H136&amp;"")="LEAVE",1,0)</f>
        <v/>
      </c>
      <c r="P136">
        <f>IF($N136=1,$K136,0)</f>
        <v/>
      </c>
      <c r="Q136">
        <f>IF($N136=0,"",IFERROR($L136-LOOKUP(2,1/(($B$2:$B135=$B136)*($N$2:$N135=1)),$M$2:$M135),""))</f>
        <v/>
      </c>
    </row>
    <row r="137">
      <c r="A137" t="n">
        <v>136</v>
      </c>
      <c r="B137">
        <f>Schedule!$A$22</f>
        <v/>
      </c>
      <c r="C137">
        <f>Schedule!$D$22</f>
        <v/>
      </c>
      <c r="D137">
        <f>Schedule!$F$22</f>
        <v/>
      </c>
      <c r="E137" t="n">
        <v>2</v>
      </c>
      <c r="F137">
        <f>Schedule!$I$1</f>
        <v/>
      </c>
      <c r="G137">
        <f>Schedule!$I$2</f>
        <v/>
      </c>
      <c r="H137">
        <f>Schedule!$I$22</f>
        <v/>
      </c>
      <c r="I137">
        <f>IF($N137=1,VALUE(LEFT($H137,2)),"")</f>
        <v/>
      </c>
      <c r="J137">
        <f>IF($N137=1,VALUE(MID($H137,9,2)),"")</f>
        <v/>
      </c>
      <c r="K137">
        <f>IF($N137=1,MOD($J137-$I137,24),0)</f>
        <v/>
      </c>
      <c r="L137">
        <f>IF($N137=1,$E137*24+$I137,"")</f>
        <v/>
      </c>
      <c r="M137">
        <f>IF($N137=1,$L137+$K137,"")</f>
        <v/>
      </c>
      <c r="N137">
        <f>IF(ISNUMBER(SEARCH(" - ",$H137&amp;"")),1,0)</f>
        <v/>
      </c>
      <c r="O137">
        <f>IF(UPPER($H137&amp;"")="LEAVE",1,0)</f>
        <v/>
      </c>
      <c r="P137">
        <f>IF($N137=1,$K137,0)</f>
        <v/>
      </c>
      <c r="Q137">
        <f>IF($N137=0,"",IFERROR($L137-LOOKUP(2,1/(($B$2:$B136=$B137)*($N$2:$N136=1)),$M$2:$M136),""))</f>
        <v/>
      </c>
    </row>
    <row r="138">
      <c r="A138" t="n">
        <v>137</v>
      </c>
      <c r="B138">
        <f>Schedule!$A$22</f>
        <v/>
      </c>
      <c r="C138">
        <f>Schedule!$D$22</f>
        <v/>
      </c>
      <c r="D138">
        <f>Schedule!$F$22</f>
        <v/>
      </c>
      <c r="E138" t="n">
        <v>3</v>
      </c>
      <c r="F138">
        <f>Schedule!$J$1</f>
        <v/>
      </c>
      <c r="G138">
        <f>Schedule!$J$2</f>
        <v/>
      </c>
      <c r="H138">
        <f>Schedule!$J$22</f>
        <v/>
      </c>
      <c r="I138">
        <f>IF($N138=1,VALUE(LEFT($H138,2)),"")</f>
        <v/>
      </c>
      <c r="J138">
        <f>IF($N138=1,VALUE(MID($H138,9,2)),"")</f>
        <v/>
      </c>
      <c r="K138">
        <f>IF($N138=1,MOD($J138-$I138,24),0)</f>
        <v/>
      </c>
      <c r="L138">
        <f>IF($N138=1,$E138*24+$I138,"")</f>
        <v/>
      </c>
      <c r="M138">
        <f>IF($N138=1,$L138+$K138,"")</f>
        <v/>
      </c>
      <c r="N138">
        <f>IF(ISNUMBER(SEARCH(" - ",$H138&amp;"")),1,0)</f>
        <v/>
      </c>
      <c r="O138">
        <f>IF(UPPER($H138&amp;"")="LEAVE",1,0)</f>
        <v/>
      </c>
      <c r="P138">
        <f>IF($N138=1,$K138,0)</f>
        <v/>
      </c>
      <c r="Q138">
        <f>IF($N138=0,"",IFERROR($L138-LOOKUP(2,1/(($B$2:$B137=$B138)*($N$2:$N137=1)),$M$2:$M137),""))</f>
        <v/>
      </c>
    </row>
    <row r="139">
      <c r="A139" t="n">
        <v>138</v>
      </c>
      <c r="B139">
        <f>Schedule!$A$22</f>
        <v/>
      </c>
      <c r="C139">
        <f>Schedule!$D$22</f>
        <v/>
      </c>
      <c r="D139">
        <f>Schedule!$F$22</f>
        <v/>
      </c>
      <c r="E139" t="n">
        <v>4</v>
      </c>
      <c r="F139">
        <f>Schedule!$K$1</f>
        <v/>
      </c>
      <c r="G139">
        <f>Schedule!$K$2</f>
        <v/>
      </c>
      <c r="H139">
        <f>Schedule!$K$22</f>
        <v/>
      </c>
      <c r="I139">
        <f>IF($N139=1,VALUE(LEFT($H139,2)),"")</f>
        <v/>
      </c>
      <c r="J139">
        <f>IF($N139=1,VALUE(MID($H139,9,2)),"")</f>
        <v/>
      </c>
      <c r="K139">
        <f>IF($N139=1,MOD($J139-$I139,24),0)</f>
        <v/>
      </c>
      <c r="L139">
        <f>IF($N139=1,$E139*24+$I139,"")</f>
        <v/>
      </c>
      <c r="M139">
        <f>IF($N139=1,$L139+$K139,"")</f>
        <v/>
      </c>
      <c r="N139">
        <f>IF(ISNUMBER(SEARCH(" - ",$H139&amp;"")),1,0)</f>
        <v/>
      </c>
      <c r="O139">
        <f>IF(UPPER($H139&amp;"")="LEAVE",1,0)</f>
        <v/>
      </c>
      <c r="P139">
        <f>IF($N139=1,$K139,0)</f>
        <v/>
      </c>
      <c r="Q139">
        <f>IF($N139=0,"",IFERROR($L139-LOOKUP(2,1/(($B$2:$B138=$B139)*($N$2:$N138=1)),$M$2:$M138),""))</f>
        <v/>
      </c>
    </row>
    <row r="140">
      <c r="A140" t="n">
        <v>139</v>
      </c>
      <c r="B140">
        <f>Schedule!$A$22</f>
        <v/>
      </c>
      <c r="C140">
        <f>Schedule!$D$22</f>
        <v/>
      </c>
      <c r="D140">
        <f>Schedule!$F$22</f>
        <v/>
      </c>
      <c r="E140" t="n">
        <v>5</v>
      </c>
      <c r="F140">
        <f>Schedule!$L$1</f>
        <v/>
      </c>
      <c r="G140">
        <f>Schedule!$L$2</f>
        <v/>
      </c>
      <c r="H140">
        <f>Schedule!$L$22</f>
        <v/>
      </c>
      <c r="I140">
        <f>IF($N140=1,VALUE(LEFT($H140,2)),"")</f>
        <v/>
      </c>
      <c r="J140">
        <f>IF($N140=1,VALUE(MID($H140,9,2)),"")</f>
        <v/>
      </c>
      <c r="K140">
        <f>IF($N140=1,MOD($J140-$I140,24),0)</f>
        <v/>
      </c>
      <c r="L140">
        <f>IF($N140=1,$E140*24+$I140,"")</f>
        <v/>
      </c>
      <c r="M140">
        <f>IF($N140=1,$L140+$K140,"")</f>
        <v/>
      </c>
      <c r="N140">
        <f>IF(ISNUMBER(SEARCH(" - ",$H140&amp;"")),1,0)</f>
        <v/>
      </c>
      <c r="O140">
        <f>IF(UPPER($H140&amp;"")="LEAVE",1,0)</f>
        <v/>
      </c>
      <c r="P140">
        <f>IF($N140=1,$K140,0)</f>
        <v/>
      </c>
      <c r="Q140">
        <f>IF($N140=0,"",IFERROR($L140-LOOKUP(2,1/(($B$2:$B139=$B140)*($N$2:$N139=1)),$M$2:$M139),""))</f>
        <v/>
      </c>
    </row>
    <row r="141">
      <c r="A141" t="n">
        <v>140</v>
      </c>
      <c r="B141">
        <f>Schedule!$A$22</f>
        <v/>
      </c>
      <c r="C141">
        <f>Schedule!$D$22</f>
        <v/>
      </c>
      <c r="D141">
        <f>Schedule!$F$22</f>
        <v/>
      </c>
      <c r="E141" t="n">
        <v>6</v>
      </c>
      <c r="F141">
        <f>Schedule!$M$1</f>
        <v/>
      </c>
      <c r="G141">
        <f>Schedule!$M$2</f>
        <v/>
      </c>
      <c r="H141">
        <f>Schedule!$M$22</f>
        <v/>
      </c>
      <c r="I141">
        <f>IF($N141=1,VALUE(LEFT($H141,2)),"")</f>
        <v/>
      </c>
      <c r="J141">
        <f>IF($N141=1,VALUE(MID($H141,9,2)),"")</f>
        <v/>
      </c>
      <c r="K141">
        <f>IF($N141=1,MOD($J141-$I141,24),0)</f>
        <v/>
      </c>
      <c r="L141">
        <f>IF($N141=1,$E141*24+$I141,"")</f>
        <v/>
      </c>
      <c r="M141">
        <f>IF($N141=1,$L141+$K141,"")</f>
        <v/>
      </c>
      <c r="N141">
        <f>IF(ISNUMBER(SEARCH(" - ",$H141&amp;"")),1,0)</f>
        <v/>
      </c>
      <c r="O141">
        <f>IF(UPPER($H141&amp;"")="LEAVE",1,0)</f>
        <v/>
      </c>
      <c r="P141">
        <f>IF($N141=1,$K141,0)</f>
        <v/>
      </c>
      <c r="Q141">
        <f>IF($N141=0,"",IFERROR($L141-LOOKUP(2,1/(($B$2:$B140=$B141)*($N$2:$N140=1)),$M$2:$M140),""))</f>
        <v/>
      </c>
    </row>
    <row r="142">
      <c r="A142" t="n">
        <v>141</v>
      </c>
      <c r="B142">
        <f>Schedule!$A$23</f>
        <v/>
      </c>
      <c r="C142">
        <f>Schedule!$D$23</f>
        <v/>
      </c>
      <c r="D142">
        <f>Schedule!$F$23</f>
        <v/>
      </c>
      <c r="E142" t="n">
        <v>0</v>
      </c>
      <c r="F142">
        <f>Schedule!$G$1</f>
        <v/>
      </c>
      <c r="G142">
        <f>Schedule!$G$2</f>
        <v/>
      </c>
      <c r="H142">
        <f>Schedule!$G$23</f>
        <v/>
      </c>
      <c r="I142">
        <f>IF($N142=1,VALUE(LEFT($H142,2)),"")</f>
        <v/>
      </c>
      <c r="J142">
        <f>IF($N142=1,VALUE(MID($H142,9,2)),"")</f>
        <v/>
      </c>
      <c r="K142">
        <f>IF($N142=1,MOD($J142-$I142,24),0)</f>
        <v/>
      </c>
      <c r="L142">
        <f>IF($N142=1,$E142*24+$I142,"")</f>
        <v/>
      </c>
      <c r="M142">
        <f>IF($N142=1,$L142+$K142,"")</f>
        <v/>
      </c>
      <c r="N142">
        <f>IF(ISNUMBER(SEARCH(" - ",$H142&amp;"")),1,0)</f>
        <v/>
      </c>
      <c r="O142">
        <f>IF(UPPER($H142&amp;"")="LEAVE",1,0)</f>
        <v/>
      </c>
      <c r="P142">
        <f>IF($N142=1,$K142,0)</f>
        <v/>
      </c>
      <c r="Q142">
        <f>IF($N142=0,"",IFERROR($L142-'Previous Engine'!$M$22,""))</f>
        <v/>
      </c>
    </row>
    <row r="143">
      <c r="A143" t="n">
        <v>142</v>
      </c>
      <c r="B143">
        <f>Schedule!$A$23</f>
        <v/>
      </c>
      <c r="C143">
        <f>Schedule!$D$23</f>
        <v/>
      </c>
      <c r="D143">
        <f>Schedule!$F$23</f>
        <v/>
      </c>
      <c r="E143" t="n">
        <v>1</v>
      </c>
      <c r="F143">
        <f>Schedule!$H$1</f>
        <v/>
      </c>
      <c r="G143">
        <f>Schedule!$H$2</f>
        <v/>
      </c>
      <c r="H143">
        <f>Schedule!$H$23</f>
        <v/>
      </c>
      <c r="I143">
        <f>IF($N143=1,VALUE(LEFT($H143,2)),"")</f>
        <v/>
      </c>
      <c r="J143">
        <f>IF($N143=1,VALUE(MID($H143,9,2)),"")</f>
        <v/>
      </c>
      <c r="K143">
        <f>IF($N143=1,MOD($J143-$I143,24),0)</f>
        <v/>
      </c>
      <c r="L143">
        <f>IF($N143=1,$E143*24+$I143,"")</f>
        <v/>
      </c>
      <c r="M143">
        <f>IF($N143=1,$L143+$K143,"")</f>
        <v/>
      </c>
      <c r="N143">
        <f>IF(ISNUMBER(SEARCH(" - ",$H143&amp;"")),1,0)</f>
        <v/>
      </c>
      <c r="O143">
        <f>IF(UPPER($H143&amp;"")="LEAVE",1,0)</f>
        <v/>
      </c>
      <c r="P143">
        <f>IF($N143=1,$K143,0)</f>
        <v/>
      </c>
      <c r="Q143">
        <f>IF($N143=0,"",IFERROR($L143-LOOKUP(2,1/(($B$2:$B142=$B143)*($N$2:$N142=1)),$M$2:$M142),""))</f>
        <v/>
      </c>
    </row>
    <row r="144">
      <c r="A144" t="n">
        <v>143</v>
      </c>
      <c r="B144">
        <f>Schedule!$A$23</f>
        <v/>
      </c>
      <c r="C144">
        <f>Schedule!$D$23</f>
        <v/>
      </c>
      <c r="D144">
        <f>Schedule!$F$23</f>
        <v/>
      </c>
      <c r="E144" t="n">
        <v>2</v>
      </c>
      <c r="F144">
        <f>Schedule!$I$1</f>
        <v/>
      </c>
      <c r="G144">
        <f>Schedule!$I$2</f>
        <v/>
      </c>
      <c r="H144">
        <f>Schedule!$I$23</f>
        <v/>
      </c>
      <c r="I144">
        <f>IF($N144=1,VALUE(LEFT($H144,2)),"")</f>
        <v/>
      </c>
      <c r="J144">
        <f>IF($N144=1,VALUE(MID($H144,9,2)),"")</f>
        <v/>
      </c>
      <c r="K144">
        <f>IF($N144=1,MOD($J144-$I144,24),0)</f>
        <v/>
      </c>
      <c r="L144">
        <f>IF($N144=1,$E144*24+$I144,"")</f>
        <v/>
      </c>
      <c r="M144">
        <f>IF($N144=1,$L144+$K144,"")</f>
        <v/>
      </c>
      <c r="N144">
        <f>IF(ISNUMBER(SEARCH(" - ",$H144&amp;"")),1,0)</f>
        <v/>
      </c>
      <c r="O144">
        <f>IF(UPPER($H144&amp;"")="LEAVE",1,0)</f>
        <v/>
      </c>
      <c r="P144">
        <f>IF($N144=1,$K144,0)</f>
        <v/>
      </c>
      <c r="Q144">
        <f>IF($N144=0,"",IFERROR($L144-LOOKUP(2,1/(($B$2:$B143=$B144)*($N$2:$N143=1)),$M$2:$M143),""))</f>
        <v/>
      </c>
    </row>
    <row r="145">
      <c r="A145" t="n">
        <v>144</v>
      </c>
      <c r="B145">
        <f>Schedule!$A$23</f>
        <v/>
      </c>
      <c r="C145">
        <f>Schedule!$D$23</f>
        <v/>
      </c>
      <c r="D145">
        <f>Schedule!$F$23</f>
        <v/>
      </c>
      <c r="E145" t="n">
        <v>3</v>
      </c>
      <c r="F145">
        <f>Schedule!$J$1</f>
        <v/>
      </c>
      <c r="G145">
        <f>Schedule!$J$2</f>
        <v/>
      </c>
      <c r="H145">
        <f>Schedule!$J$23</f>
        <v/>
      </c>
      <c r="I145">
        <f>IF($N145=1,VALUE(LEFT($H145,2)),"")</f>
        <v/>
      </c>
      <c r="J145">
        <f>IF($N145=1,VALUE(MID($H145,9,2)),"")</f>
        <v/>
      </c>
      <c r="K145">
        <f>IF($N145=1,MOD($J145-$I145,24),0)</f>
        <v/>
      </c>
      <c r="L145">
        <f>IF($N145=1,$E145*24+$I145,"")</f>
        <v/>
      </c>
      <c r="M145">
        <f>IF($N145=1,$L145+$K145,"")</f>
        <v/>
      </c>
      <c r="N145">
        <f>IF(ISNUMBER(SEARCH(" - ",$H145&amp;"")),1,0)</f>
        <v/>
      </c>
      <c r="O145">
        <f>IF(UPPER($H145&amp;"")="LEAVE",1,0)</f>
        <v/>
      </c>
      <c r="P145">
        <f>IF($N145=1,$K145,0)</f>
        <v/>
      </c>
      <c r="Q145">
        <f>IF($N145=0,"",IFERROR($L145-LOOKUP(2,1/(($B$2:$B144=$B145)*($N$2:$N144=1)),$M$2:$M144),""))</f>
        <v/>
      </c>
    </row>
    <row r="146">
      <c r="A146" t="n">
        <v>145</v>
      </c>
      <c r="B146">
        <f>Schedule!$A$23</f>
        <v/>
      </c>
      <c r="C146">
        <f>Schedule!$D$23</f>
        <v/>
      </c>
      <c r="D146">
        <f>Schedule!$F$23</f>
        <v/>
      </c>
      <c r="E146" t="n">
        <v>4</v>
      </c>
      <c r="F146">
        <f>Schedule!$K$1</f>
        <v/>
      </c>
      <c r="G146">
        <f>Schedule!$K$2</f>
        <v/>
      </c>
      <c r="H146">
        <f>Schedule!$K$23</f>
        <v/>
      </c>
      <c r="I146">
        <f>IF($N146=1,VALUE(LEFT($H146,2)),"")</f>
        <v/>
      </c>
      <c r="J146">
        <f>IF($N146=1,VALUE(MID($H146,9,2)),"")</f>
        <v/>
      </c>
      <c r="K146">
        <f>IF($N146=1,MOD($J146-$I146,24),0)</f>
        <v/>
      </c>
      <c r="L146">
        <f>IF($N146=1,$E146*24+$I146,"")</f>
        <v/>
      </c>
      <c r="M146">
        <f>IF($N146=1,$L146+$K146,"")</f>
        <v/>
      </c>
      <c r="N146">
        <f>IF(ISNUMBER(SEARCH(" - ",$H146&amp;"")),1,0)</f>
        <v/>
      </c>
      <c r="O146">
        <f>IF(UPPER($H146&amp;"")="LEAVE",1,0)</f>
        <v/>
      </c>
      <c r="P146">
        <f>IF($N146=1,$K146,0)</f>
        <v/>
      </c>
      <c r="Q146">
        <f>IF($N146=0,"",IFERROR($L146-LOOKUP(2,1/(($B$2:$B145=$B146)*($N$2:$N145=1)),$M$2:$M145),""))</f>
        <v/>
      </c>
    </row>
    <row r="147">
      <c r="A147" t="n">
        <v>146</v>
      </c>
      <c r="B147">
        <f>Schedule!$A$23</f>
        <v/>
      </c>
      <c r="C147">
        <f>Schedule!$D$23</f>
        <v/>
      </c>
      <c r="D147">
        <f>Schedule!$F$23</f>
        <v/>
      </c>
      <c r="E147" t="n">
        <v>5</v>
      </c>
      <c r="F147">
        <f>Schedule!$L$1</f>
        <v/>
      </c>
      <c r="G147">
        <f>Schedule!$L$2</f>
        <v/>
      </c>
      <c r="H147">
        <f>Schedule!$L$23</f>
        <v/>
      </c>
      <c r="I147">
        <f>IF($N147=1,VALUE(LEFT($H147,2)),"")</f>
        <v/>
      </c>
      <c r="J147">
        <f>IF($N147=1,VALUE(MID($H147,9,2)),"")</f>
        <v/>
      </c>
      <c r="K147">
        <f>IF($N147=1,MOD($J147-$I147,24),0)</f>
        <v/>
      </c>
      <c r="L147">
        <f>IF($N147=1,$E147*24+$I147,"")</f>
        <v/>
      </c>
      <c r="M147">
        <f>IF($N147=1,$L147+$K147,"")</f>
        <v/>
      </c>
      <c r="N147">
        <f>IF(ISNUMBER(SEARCH(" - ",$H147&amp;"")),1,0)</f>
        <v/>
      </c>
      <c r="O147">
        <f>IF(UPPER($H147&amp;"")="LEAVE",1,0)</f>
        <v/>
      </c>
      <c r="P147">
        <f>IF($N147=1,$K147,0)</f>
        <v/>
      </c>
      <c r="Q147">
        <f>IF($N147=0,"",IFERROR($L147-LOOKUP(2,1/(($B$2:$B146=$B147)*($N$2:$N146=1)),$M$2:$M146),""))</f>
        <v/>
      </c>
    </row>
    <row r="148">
      <c r="A148" t="n">
        <v>147</v>
      </c>
      <c r="B148">
        <f>Schedule!$A$23</f>
        <v/>
      </c>
      <c r="C148">
        <f>Schedule!$D$23</f>
        <v/>
      </c>
      <c r="D148">
        <f>Schedule!$F$23</f>
        <v/>
      </c>
      <c r="E148" t="n">
        <v>6</v>
      </c>
      <c r="F148">
        <f>Schedule!$M$1</f>
        <v/>
      </c>
      <c r="G148">
        <f>Schedule!$M$2</f>
        <v/>
      </c>
      <c r="H148">
        <f>Schedule!$M$23</f>
        <v/>
      </c>
      <c r="I148">
        <f>IF($N148=1,VALUE(LEFT($H148,2)),"")</f>
        <v/>
      </c>
      <c r="J148">
        <f>IF($N148=1,VALUE(MID($H148,9,2)),"")</f>
        <v/>
      </c>
      <c r="K148">
        <f>IF($N148=1,MOD($J148-$I148,24),0)</f>
        <v/>
      </c>
      <c r="L148">
        <f>IF($N148=1,$E148*24+$I148,"")</f>
        <v/>
      </c>
      <c r="M148">
        <f>IF($N148=1,$L148+$K148,"")</f>
        <v/>
      </c>
      <c r="N148">
        <f>IF(ISNUMBER(SEARCH(" - ",$H148&amp;"")),1,0)</f>
        <v/>
      </c>
      <c r="O148">
        <f>IF(UPPER($H148&amp;"")="LEAVE",1,0)</f>
        <v/>
      </c>
      <c r="P148">
        <f>IF($N148=1,$K148,0)</f>
        <v/>
      </c>
      <c r="Q148">
        <f>IF($N148=0,"",IFERROR($L148-LOOKUP(2,1/(($B$2:$B147=$B148)*($N$2:$N147=1)),$M$2:$M147),""))</f>
        <v/>
      </c>
    </row>
    <row r="149">
      <c r="A149" t="n">
        <v>148</v>
      </c>
      <c r="B149">
        <f>Schedule!$A$24</f>
        <v/>
      </c>
      <c r="C149">
        <f>Schedule!$D$24</f>
        <v/>
      </c>
      <c r="D149">
        <f>Schedule!$F$24</f>
        <v/>
      </c>
      <c r="E149" t="n">
        <v>0</v>
      </c>
      <c r="F149">
        <f>Schedule!$G$1</f>
        <v/>
      </c>
      <c r="G149">
        <f>Schedule!$G$2</f>
        <v/>
      </c>
      <c r="H149">
        <f>Schedule!$G$24</f>
        <v/>
      </c>
      <c r="I149">
        <f>IF($N149=1,VALUE(LEFT($H149,2)),"")</f>
        <v/>
      </c>
      <c r="J149">
        <f>IF($N149=1,VALUE(MID($H149,9,2)),"")</f>
        <v/>
      </c>
      <c r="K149">
        <f>IF($N149=1,MOD($J149-$I149,24),0)</f>
        <v/>
      </c>
      <c r="L149">
        <f>IF($N149=1,$E149*24+$I149,"")</f>
        <v/>
      </c>
      <c r="M149">
        <f>IF($N149=1,$L149+$K149,"")</f>
        <v/>
      </c>
      <c r="N149">
        <f>IF(ISNUMBER(SEARCH(" - ",$H149&amp;"")),1,0)</f>
        <v/>
      </c>
      <c r="O149">
        <f>IF(UPPER($H149&amp;"")="LEAVE",1,0)</f>
        <v/>
      </c>
      <c r="P149">
        <f>IF($N149=1,$K149,0)</f>
        <v/>
      </c>
      <c r="Q149">
        <f>IF($N149=0,"",IFERROR($L149-'Previous Engine'!$M$23,""))</f>
        <v/>
      </c>
    </row>
    <row r="150">
      <c r="A150" t="n">
        <v>149</v>
      </c>
      <c r="B150">
        <f>Schedule!$A$24</f>
        <v/>
      </c>
      <c r="C150">
        <f>Schedule!$D$24</f>
        <v/>
      </c>
      <c r="D150">
        <f>Schedule!$F$24</f>
        <v/>
      </c>
      <c r="E150" t="n">
        <v>1</v>
      </c>
      <c r="F150">
        <f>Schedule!$H$1</f>
        <v/>
      </c>
      <c r="G150">
        <f>Schedule!$H$2</f>
        <v/>
      </c>
      <c r="H150">
        <f>Schedule!$H$24</f>
        <v/>
      </c>
      <c r="I150">
        <f>IF($N150=1,VALUE(LEFT($H150,2)),"")</f>
        <v/>
      </c>
      <c r="J150">
        <f>IF($N150=1,VALUE(MID($H150,9,2)),"")</f>
        <v/>
      </c>
      <c r="K150">
        <f>IF($N150=1,MOD($J150-$I150,24),0)</f>
        <v/>
      </c>
      <c r="L150">
        <f>IF($N150=1,$E150*24+$I150,"")</f>
        <v/>
      </c>
      <c r="M150">
        <f>IF($N150=1,$L150+$K150,"")</f>
        <v/>
      </c>
      <c r="N150">
        <f>IF(ISNUMBER(SEARCH(" - ",$H150&amp;"")),1,0)</f>
        <v/>
      </c>
      <c r="O150">
        <f>IF(UPPER($H150&amp;"")="LEAVE",1,0)</f>
        <v/>
      </c>
      <c r="P150">
        <f>IF($N150=1,$K150,0)</f>
        <v/>
      </c>
      <c r="Q150">
        <f>IF($N150=0,"",IFERROR($L150-LOOKUP(2,1/(($B$2:$B149=$B150)*($N$2:$N149=1)),$M$2:$M149),""))</f>
        <v/>
      </c>
    </row>
    <row r="151">
      <c r="A151" t="n">
        <v>150</v>
      </c>
      <c r="B151">
        <f>Schedule!$A$24</f>
        <v/>
      </c>
      <c r="C151">
        <f>Schedule!$D$24</f>
        <v/>
      </c>
      <c r="D151">
        <f>Schedule!$F$24</f>
        <v/>
      </c>
      <c r="E151" t="n">
        <v>2</v>
      </c>
      <c r="F151">
        <f>Schedule!$I$1</f>
        <v/>
      </c>
      <c r="G151">
        <f>Schedule!$I$2</f>
        <v/>
      </c>
      <c r="H151">
        <f>Schedule!$I$24</f>
        <v/>
      </c>
      <c r="I151">
        <f>IF($N151=1,VALUE(LEFT($H151,2)),"")</f>
        <v/>
      </c>
      <c r="J151">
        <f>IF($N151=1,VALUE(MID($H151,9,2)),"")</f>
        <v/>
      </c>
      <c r="K151">
        <f>IF($N151=1,MOD($J151-$I151,24),0)</f>
        <v/>
      </c>
      <c r="L151">
        <f>IF($N151=1,$E151*24+$I151,"")</f>
        <v/>
      </c>
      <c r="M151">
        <f>IF($N151=1,$L151+$K151,"")</f>
        <v/>
      </c>
      <c r="N151">
        <f>IF(ISNUMBER(SEARCH(" - ",$H151&amp;"")),1,0)</f>
        <v/>
      </c>
      <c r="O151">
        <f>IF(UPPER($H151&amp;"")="LEAVE",1,0)</f>
        <v/>
      </c>
      <c r="P151">
        <f>IF($N151=1,$K151,0)</f>
        <v/>
      </c>
      <c r="Q151">
        <f>IF($N151=0,"",IFERROR($L151-LOOKUP(2,1/(($B$2:$B150=$B151)*($N$2:$N150=1)),$M$2:$M150),""))</f>
        <v/>
      </c>
    </row>
    <row r="152">
      <c r="A152" t="n">
        <v>151</v>
      </c>
      <c r="B152">
        <f>Schedule!$A$24</f>
        <v/>
      </c>
      <c r="C152">
        <f>Schedule!$D$24</f>
        <v/>
      </c>
      <c r="D152">
        <f>Schedule!$F$24</f>
        <v/>
      </c>
      <c r="E152" t="n">
        <v>3</v>
      </c>
      <c r="F152">
        <f>Schedule!$J$1</f>
        <v/>
      </c>
      <c r="G152">
        <f>Schedule!$J$2</f>
        <v/>
      </c>
      <c r="H152">
        <f>Schedule!$J$24</f>
        <v/>
      </c>
      <c r="I152">
        <f>IF($N152=1,VALUE(LEFT($H152,2)),"")</f>
        <v/>
      </c>
      <c r="J152">
        <f>IF($N152=1,VALUE(MID($H152,9,2)),"")</f>
        <v/>
      </c>
      <c r="K152">
        <f>IF($N152=1,MOD($J152-$I152,24),0)</f>
        <v/>
      </c>
      <c r="L152">
        <f>IF($N152=1,$E152*24+$I152,"")</f>
        <v/>
      </c>
      <c r="M152">
        <f>IF($N152=1,$L152+$K152,"")</f>
        <v/>
      </c>
      <c r="N152">
        <f>IF(ISNUMBER(SEARCH(" - ",$H152&amp;"")),1,0)</f>
        <v/>
      </c>
      <c r="O152">
        <f>IF(UPPER($H152&amp;"")="LEAVE",1,0)</f>
        <v/>
      </c>
      <c r="P152">
        <f>IF($N152=1,$K152,0)</f>
        <v/>
      </c>
      <c r="Q152">
        <f>IF($N152=0,"",IFERROR($L152-LOOKUP(2,1/(($B$2:$B151=$B152)*($N$2:$N151=1)),$M$2:$M151),""))</f>
        <v/>
      </c>
    </row>
    <row r="153">
      <c r="A153" t="n">
        <v>152</v>
      </c>
      <c r="B153">
        <f>Schedule!$A$24</f>
        <v/>
      </c>
      <c r="C153">
        <f>Schedule!$D$24</f>
        <v/>
      </c>
      <c r="D153">
        <f>Schedule!$F$24</f>
        <v/>
      </c>
      <c r="E153" t="n">
        <v>4</v>
      </c>
      <c r="F153">
        <f>Schedule!$K$1</f>
        <v/>
      </c>
      <c r="G153">
        <f>Schedule!$K$2</f>
        <v/>
      </c>
      <c r="H153">
        <f>Schedule!$K$24</f>
        <v/>
      </c>
      <c r="I153">
        <f>IF($N153=1,VALUE(LEFT($H153,2)),"")</f>
        <v/>
      </c>
      <c r="J153">
        <f>IF($N153=1,VALUE(MID($H153,9,2)),"")</f>
        <v/>
      </c>
      <c r="K153">
        <f>IF($N153=1,MOD($J153-$I153,24),0)</f>
        <v/>
      </c>
      <c r="L153">
        <f>IF($N153=1,$E153*24+$I153,"")</f>
        <v/>
      </c>
      <c r="M153">
        <f>IF($N153=1,$L153+$K153,"")</f>
        <v/>
      </c>
      <c r="N153">
        <f>IF(ISNUMBER(SEARCH(" - ",$H153&amp;"")),1,0)</f>
        <v/>
      </c>
      <c r="O153">
        <f>IF(UPPER($H153&amp;"")="LEAVE",1,0)</f>
        <v/>
      </c>
      <c r="P153">
        <f>IF($N153=1,$K153,0)</f>
        <v/>
      </c>
      <c r="Q153">
        <f>IF($N153=0,"",IFERROR($L153-LOOKUP(2,1/(($B$2:$B152=$B153)*($N$2:$N152=1)),$M$2:$M152),""))</f>
        <v/>
      </c>
    </row>
    <row r="154">
      <c r="A154" t="n">
        <v>153</v>
      </c>
      <c r="B154">
        <f>Schedule!$A$24</f>
        <v/>
      </c>
      <c r="C154">
        <f>Schedule!$D$24</f>
        <v/>
      </c>
      <c r="D154">
        <f>Schedule!$F$24</f>
        <v/>
      </c>
      <c r="E154" t="n">
        <v>5</v>
      </c>
      <c r="F154">
        <f>Schedule!$L$1</f>
        <v/>
      </c>
      <c r="G154">
        <f>Schedule!$L$2</f>
        <v/>
      </c>
      <c r="H154">
        <f>Schedule!$L$24</f>
        <v/>
      </c>
      <c r="I154">
        <f>IF($N154=1,VALUE(LEFT($H154,2)),"")</f>
        <v/>
      </c>
      <c r="J154">
        <f>IF($N154=1,VALUE(MID($H154,9,2)),"")</f>
        <v/>
      </c>
      <c r="K154">
        <f>IF($N154=1,MOD($J154-$I154,24),0)</f>
        <v/>
      </c>
      <c r="L154">
        <f>IF($N154=1,$E154*24+$I154,"")</f>
        <v/>
      </c>
      <c r="M154">
        <f>IF($N154=1,$L154+$K154,"")</f>
        <v/>
      </c>
      <c r="N154">
        <f>IF(ISNUMBER(SEARCH(" - ",$H154&amp;"")),1,0)</f>
        <v/>
      </c>
      <c r="O154">
        <f>IF(UPPER($H154&amp;"")="LEAVE",1,0)</f>
        <v/>
      </c>
      <c r="P154">
        <f>IF($N154=1,$K154,0)</f>
        <v/>
      </c>
      <c r="Q154">
        <f>IF($N154=0,"",IFERROR($L154-LOOKUP(2,1/(($B$2:$B153=$B154)*($N$2:$N153=1)),$M$2:$M153),""))</f>
        <v/>
      </c>
    </row>
    <row r="155">
      <c r="A155" t="n">
        <v>154</v>
      </c>
      <c r="B155">
        <f>Schedule!$A$24</f>
        <v/>
      </c>
      <c r="C155">
        <f>Schedule!$D$24</f>
        <v/>
      </c>
      <c r="D155">
        <f>Schedule!$F$24</f>
        <v/>
      </c>
      <c r="E155" t="n">
        <v>6</v>
      </c>
      <c r="F155">
        <f>Schedule!$M$1</f>
        <v/>
      </c>
      <c r="G155">
        <f>Schedule!$M$2</f>
        <v/>
      </c>
      <c r="H155">
        <f>Schedule!$M$24</f>
        <v/>
      </c>
      <c r="I155">
        <f>IF($N155=1,VALUE(LEFT($H155,2)),"")</f>
        <v/>
      </c>
      <c r="J155">
        <f>IF($N155=1,VALUE(MID($H155,9,2)),"")</f>
        <v/>
      </c>
      <c r="K155">
        <f>IF($N155=1,MOD($J155-$I155,24),0)</f>
        <v/>
      </c>
      <c r="L155">
        <f>IF($N155=1,$E155*24+$I155,"")</f>
        <v/>
      </c>
      <c r="M155">
        <f>IF($N155=1,$L155+$K155,"")</f>
        <v/>
      </c>
      <c r="N155">
        <f>IF(ISNUMBER(SEARCH(" - ",$H155&amp;"")),1,0)</f>
        <v/>
      </c>
      <c r="O155">
        <f>IF(UPPER($H155&amp;"")="LEAVE",1,0)</f>
        <v/>
      </c>
      <c r="P155">
        <f>IF($N155=1,$K155,0)</f>
        <v/>
      </c>
      <c r="Q155">
        <f>IF($N155=0,"",IFERROR($L155-LOOKUP(2,1/(($B$2:$B154=$B155)*($N$2:$N154=1)),$M$2:$M154),""))</f>
        <v/>
      </c>
    </row>
    <row r="156">
      <c r="A156" t="n">
        <v>155</v>
      </c>
      <c r="B156">
        <f>Schedule!$A$25</f>
        <v/>
      </c>
      <c r="C156">
        <f>Schedule!$D$25</f>
        <v/>
      </c>
      <c r="D156">
        <f>Schedule!$F$25</f>
        <v/>
      </c>
      <c r="E156" t="n">
        <v>0</v>
      </c>
      <c r="F156">
        <f>Schedule!$G$1</f>
        <v/>
      </c>
      <c r="G156">
        <f>Schedule!$G$2</f>
        <v/>
      </c>
      <c r="H156">
        <f>Schedule!$G$25</f>
        <v/>
      </c>
      <c r="I156">
        <f>IF($N156=1,VALUE(LEFT($H156,2)),"")</f>
        <v/>
      </c>
      <c r="J156">
        <f>IF($N156=1,VALUE(MID($H156,9,2)),"")</f>
        <v/>
      </c>
      <c r="K156">
        <f>IF($N156=1,MOD($J156-$I156,24),0)</f>
        <v/>
      </c>
      <c r="L156">
        <f>IF($N156=1,$E156*24+$I156,"")</f>
        <v/>
      </c>
      <c r="M156">
        <f>IF($N156=1,$L156+$K156,"")</f>
        <v/>
      </c>
      <c r="N156">
        <f>IF(ISNUMBER(SEARCH(" - ",$H156&amp;"")),1,0)</f>
        <v/>
      </c>
      <c r="O156">
        <f>IF(UPPER($H156&amp;"")="LEAVE",1,0)</f>
        <v/>
      </c>
      <c r="P156">
        <f>IF($N156=1,$K156,0)</f>
        <v/>
      </c>
      <c r="Q156">
        <f>IF($N156=0,"",IFERROR($L156-'Previous Engine'!$M$24,""))</f>
        <v/>
      </c>
    </row>
    <row r="157">
      <c r="A157" t="n">
        <v>156</v>
      </c>
      <c r="B157">
        <f>Schedule!$A$25</f>
        <v/>
      </c>
      <c r="C157">
        <f>Schedule!$D$25</f>
        <v/>
      </c>
      <c r="D157">
        <f>Schedule!$F$25</f>
        <v/>
      </c>
      <c r="E157" t="n">
        <v>1</v>
      </c>
      <c r="F157">
        <f>Schedule!$H$1</f>
        <v/>
      </c>
      <c r="G157">
        <f>Schedule!$H$2</f>
        <v/>
      </c>
      <c r="H157">
        <f>Schedule!$H$25</f>
        <v/>
      </c>
      <c r="I157">
        <f>IF($N157=1,VALUE(LEFT($H157,2)),"")</f>
        <v/>
      </c>
      <c r="J157">
        <f>IF($N157=1,VALUE(MID($H157,9,2)),"")</f>
        <v/>
      </c>
      <c r="K157">
        <f>IF($N157=1,MOD($J157-$I157,24),0)</f>
        <v/>
      </c>
      <c r="L157">
        <f>IF($N157=1,$E157*24+$I157,"")</f>
        <v/>
      </c>
      <c r="M157">
        <f>IF($N157=1,$L157+$K157,"")</f>
        <v/>
      </c>
      <c r="N157">
        <f>IF(ISNUMBER(SEARCH(" - ",$H157&amp;"")),1,0)</f>
        <v/>
      </c>
      <c r="O157">
        <f>IF(UPPER($H157&amp;"")="LEAVE",1,0)</f>
        <v/>
      </c>
      <c r="P157">
        <f>IF($N157=1,$K157,0)</f>
        <v/>
      </c>
      <c r="Q157">
        <f>IF($N157=0,"",IFERROR($L157-LOOKUP(2,1/(($B$2:$B156=$B157)*($N$2:$N156=1)),$M$2:$M156),""))</f>
        <v/>
      </c>
    </row>
    <row r="158">
      <c r="A158" t="n">
        <v>157</v>
      </c>
      <c r="B158">
        <f>Schedule!$A$25</f>
        <v/>
      </c>
      <c r="C158">
        <f>Schedule!$D$25</f>
        <v/>
      </c>
      <c r="D158">
        <f>Schedule!$F$25</f>
        <v/>
      </c>
      <c r="E158" t="n">
        <v>2</v>
      </c>
      <c r="F158">
        <f>Schedule!$I$1</f>
        <v/>
      </c>
      <c r="G158">
        <f>Schedule!$I$2</f>
        <v/>
      </c>
      <c r="H158">
        <f>Schedule!$I$25</f>
        <v/>
      </c>
      <c r="I158">
        <f>IF($N158=1,VALUE(LEFT($H158,2)),"")</f>
        <v/>
      </c>
      <c r="J158">
        <f>IF($N158=1,VALUE(MID($H158,9,2)),"")</f>
        <v/>
      </c>
      <c r="K158">
        <f>IF($N158=1,MOD($J158-$I158,24),0)</f>
        <v/>
      </c>
      <c r="L158">
        <f>IF($N158=1,$E158*24+$I158,"")</f>
        <v/>
      </c>
      <c r="M158">
        <f>IF($N158=1,$L158+$K158,"")</f>
        <v/>
      </c>
      <c r="N158">
        <f>IF(ISNUMBER(SEARCH(" - ",$H158&amp;"")),1,0)</f>
        <v/>
      </c>
      <c r="O158">
        <f>IF(UPPER($H158&amp;"")="LEAVE",1,0)</f>
        <v/>
      </c>
      <c r="P158">
        <f>IF($N158=1,$K158,0)</f>
        <v/>
      </c>
      <c r="Q158">
        <f>IF($N158=0,"",IFERROR($L158-LOOKUP(2,1/(($B$2:$B157=$B158)*($N$2:$N157=1)),$M$2:$M157),""))</f>
        <v/>
      </c>
    </row>
    <row r="159">
      <c r="A159" t="n">
        <v>158</v>
      </c>
      <c r="B159">
        <f>Schedule!$A$25</f>
        <v/>
      </c>
      <c r="C159">
        <f>Schedule!$D$25</f>
        <v/>
      </c>
      <c r="D159">
        <f>Schedule!$F$25</f>
        <v/>
      </c>
      <c r="E159" t="n">
        <v>3</v>
      </c>
      <c r="F159">
        <f>Schedule!$J$1</f>
        <v/>
      </c>
      <c r="G159">
        <f>Schedule!$J$2</f>
        <v/>
      </c>
      <c r="H159">
        <f>Schedule!$J$25</f>
        <v/>
      </c>
      <c r="I159">
        <f>IF($N159=1,VALUE(LEFT($H159,2)),"")</f>
        <v/>
      </c>
      <c r="J159">
        <f>IF($N159=1,VALUE(MID($H159,9,2)),"")</f>
        <v/>
      </c>
      <c r="K159">
        <f>IF($N159=1,MOD($J159-$I159,24),0)</f>
        <v/>
      </c>
      <c r="L159">
        <f>IF($N159=1,$E159*24+$I159,"")</f>
        <v/>
      </c>
      <c r="M159">
        <f>IF($N159=1,$L159+$K159,"")</f>
        <v/>
      </c>
      <c r="N159">
        <f>IF(ISNUMBER(SEARCH(" - ",$H159&amp;"")),1,0)</f>
        <v/>
      </c>
      <c r="O159">
        <f>IF(UPPER($H159&amp;"")="LEAVE",1,0)</f>
        <v/>
      </c>
      <c r="P159">
        <f>IF($N159=1,$K159,0)</f>
        <v/>
      </c>
      <c r="Q159">
        <f>IF($N159=0,"",IFERROR($L159-LOOKUP(2,1/(($B$2:$B158=$B159)*($N$2:$N158=1)),$M$2:$M158),""))</f>
        <v/>
      </c>
    </row>
    <row r="160">
      <c r="A160" t="n">
        <v>159</v>
      </c>
      <c r="B160">
        <f>Schedule!$A$25</f>
        <v/>
      </c>
      <c r="C160">
        <f>Schedule!$D$25</f>
        <v/>
      </c>
      <c r="D160">
        <f>Schedule!$F$25</f>
        <v/>
      </c>
      <c r="E160" t="n">
        <v>4</v>
      </c>
      <c r="F160">
        <f>Schedule!$K$1</f>
        <v/>
      </c>
      <c r="G160">
        <f>Schedule!$K$2</f>
        <v/>
      </c>
      <c r="H160">
        <f>Schedule!$K$25</f>
        <v/>
      </c>
      <c r="I160">
        <f>IF($N160=1,VALUE(LEFT($H160,2)),"")</f>
        <v/>
      </c>
      <c r="J160">
        <f>IF($N160=1,VALUE(MID($H160,9,2)),"")</f>
        <v/>
      </c>
      <c r="K160">
        <f>IF($N160=1,MOD($J160-$I160,24),0)</f>
        <v/>
      </c>
      <c r="L160">
        <f>IF($N160=1,$E160*24+$I160,"")</f>
        <v/>
      </c>
      <c r="M160">
        <f>IF($N160=1,$L160+$K160,"")</f>
        <v/>
      </c>
      <c r="N160">
        <f>IF(ISNUMBER(SEARCH(" - ",$H160&amp;"")),1,0)</f>
        <v/>
      </c>
      <c r="O160">
        <f>IF(UPPER($H160&amp;"")="LEAVE",1,0)</f>
        <v/>
      </c>
      <c r="P160">
        <f>IF($N160=1,$K160,0)</f>
        <v/>
      </c>
      <c r="Q160">
        <f>IF($N160=0,"",IFERROR($L160-LOOKUP(2,1/(($B$2:$B159=$B160)*($N$2:$N159=1)),$M$2:$M159),""))</f>
        <v/>
      </c>
    </row>
    <row r="161">
      <c r="A161" t="n">
        <v>160</v>
      </c>
      <c r="B161">
        <f>Schedule!$A$25</f>
        <v/>
      </c>
      <c r="C161">
        <f>Schedule!$D$25</f>
        <v/>
      </c>
      <c r="D161">
        <f>Schedule!$F$25</f>
        <v/>
      </c>
      <c r="E161" t="n">
        <v>5</v>
      </c>
      <c r="F161">
        <f>Schedule!$L$1</f>
        <v/>
      </c>
      <c r="G161">
        <f>Schedule!$L$2</f>
        <v/>
      </c>
      <c r="H161">
        <f>Schedule!$L$25</f>
        <v/>
      </c>
      <c r="I161">
        <f>IF($N161=1,VALUE(LEFT($H161,2)),"")</f>
        <v/>
      </c>
      <c r="J161">
        <f>IF($N161=1,VALUE(MID($H161,9,2)),"")</f>
        <v/>
      </c>
      <c r="K161">
        <f>IF($N161=1,MOD($J161-$I161,24),0)</f>
        <v/>
      </c>
      <c r="L161">
        <f>IF($N161=1,$E161*24+$I161,"")</f>
        <v/>
      </c>
      <c r="M161">
        <f>IF($N161=1,$L161+$K161,"")</f>
        <v/>
      </c>
      <c r="N161">
        <f>IF(ISNUMBER(SEARCH(" - ",$H161&amp;"")),1,0)</f>
        <v/>
      </c>
      <c r="O161">
        <f>IF(UPPER($H161&amp;"")="LEAVE",1,0)</f>
        <v/>
      </c>
      <c r="P161">
        <f>IF($N161=1,$K161,0)</f>
        <v/>
      </c>
      <c r="Q161">
        <f>IF($N161=0,"",IFERROR($L161-LOOKUP(2,1/(($B$2:$B160=$B161)*($N$2:$N160=1)),$M$2:$M160),""))</f>
        <v/>
      </c>
    </row>
    <row r="162">
      <c r="A162" t="n">
        <v>161</v>
      </c>
      <c r="B162">
        <f>Schedule!$A$25</f>
        <v/>
      </c>
      <c r="C162">
        <f>Schedule!$D$25</f>
        <v/>
      </c>
      <c r="D162">
        <f>Schedule!$F$25</f>
        <v/>
      </c>
      <c r="E162" t="n">
        <v>6</v>
      </c>
      <c r="F162">
        <f>Schedule!$M$1</f>
        <v/>
      </c>
      <c r="G162">
        <f>Schedule!$M$2</f>
        <v/>
      </c>
      <c r="H162">
        <f>Schedule!$M$25</f>
        <v/>
      </c>
      <c r="I162">
        <f>IF($N162=1,VALUE(LEFT($H162,2)),"")</f>
        <v/>
      </c>
      <c r="J162">
        <f>IF($N162=1,VALUE(MID($H162,9,2)),"")</f>
        <v/>
      </c>
      <c r="K162">
        <f>IF($N162=1,MOD($J162-$I162,24),0)</f>
        <v/>
      </c>
      <c r="L162">
        <f>IF($N162=1,$E162*24+$I162,"")</f>
        <v/>
      </c>
      <c r="M162">
        <f>IF($N162=1,$L162+$K162,"")</f>
        <v/>
      </c>
      <c r="N162">
        <f>IF(ISNUMBER(SEARCH(" - ",$H162&amp;"")),1,0)</f>
        <v/>
      </c>
      <c r="O162">
        <f>IF(UPPER($H162&amp;"")="LEAVE",1,0)</f>
        <v/>
      </c>
      <c r="P162">
        <f>IF($N162=1,$K162,0)</f>
        <v/>
      </c>
      <c r="Q162">
        <f>IF($N162=0,"",IFERROR($L162-LOOKUP(2,1/(($B$2:$B161=$B162)*($N$2:$N161=1)),$M$2:$M161),""))</f>
        <v/>
      </c>
    </row>
    <row r="163">
      <c r="A163" t="n">
        <v>162</v>
      </c>
      <c r="B163">
        <f>Schedule!$A$26</f>
        <v/>
      </c>
      <c r="C163">
        <f>Schedule!$D$26</f>
        <v/>
      </c>
      <c r="D163">
        <f>Schedule!$F$26</f>
        <v/>
      </c>
      <c r="E163" t="n">
        <v>0</v>
      </c>
      <c r="F163">
        <f>Schedule!$G$1</f>
        <v/>
      </c>
      <c r="G163">
        <f>Schedule!$G$2</f>
        <v/>
      </c>
      <c r="H163">
        <f>Schedule!$G$26</f>
        <v/>
      </c>
      <c r="I163">
        <f>IF($N163=1,VALUE(LEFT($H163,2)),"")</f>
        <v/>
      </c>
      <c r="J163">
        <f>IF($N163=1,VALUE(MID($H163,9,2)),"")</f>
        <v/>
      </c>
      <c r="K163">
        <f>IF($N163=1,MOD($J163-$I163,24),0)</f>
        <v/>
      </c>
      <c r="L163">
        <f>IF($N163=1,$E163*24+$I163,"")</f>
        <v/>
      </c>
      <c r="M163">
        <f>IF($N163=1,$L163+$K163,"")</f>
        <v/>
      </c>
      <c r="N163">
        <f>IF(ISNUMBER(SEARCH(" - ",$H163&amp;"")),1,0)</f>
        <v/>
      </c>
      <c r="O163">
        <f>IF(UPPER($H163&amp;"")="LEAVE",1,0)</f>
        <v/>
      </c>
      <c r="P163">
        <f>IF($N163=1,$K163,0)</f>
        <v/>
      </c>
      <c r="Q163">
        <f>IF($N163=0,"",IFERROR($L163-'Previous Engine'!$M$25,""))</f>
        <v/>
      </c>
    </row>
    <row r="164">
      <c r="A164" t="n">
        <v>163</v>
      </c>
      <c r="B164">
        <f>Schedule!$A$26</f>
        <v/>
      </c>
      <c r="C164">
        <f>Schedule!$D$26</f>
        <v/>
      </c>
      <c r="D164">
        <f>Schedule!$F$26</f>
        <v/>
      </c>
      <c r="E164" t="n">
        <v>1</v>
      </c>
      <c r="F164">
        <f>Schedule!$H$1</f>
        <v/>
      </c>
      <c r="G164">
        <f>Schedule!$H$2</f>
        <v/>
      </c>
      <c r="H164">
        <f>Schedule!$H$26</f>
        <v/>
      </c>
      <c r="I164">
        <f>IF($N164=1,VALUE(LEFT($H164,2)),"")</f>
        <v/>
      </c>
      <c r="J164">
        <f>IF($N164=1,VALUE(MID($H164,9,2)),"")</f>
        <v/>
      </c>
      <c r="K164">
        <f>IF($N164=1,MOD($J164-$I164,24),0)</f>
        <v/>
      </c>
      <c r="L164">
        <f>IF($N164=1,$E164*24+$I164,"")</f>
        <v/>
      </c>
      <c r="M164">
        <f>IF($N164=1,$L164+$K164,"")</f>
        <v/>
      </c>
      <c r="N164">
        <f>IF(ISNUMBER(SEARCH(" - ",$H164&amp;"")),1,0)</f>
        <v/>
      </c>
      <c r="O164">
        <f>IF(UPPER($H164&amp;"")="LEAVE",1,0)</f>
        <v/>
      </c>
      <c r="P164">
        <f>IF($N164=1,$K164,0)</f>
        <v/>
      </c>
      <c r="Q164">
        <f>IF($N164=0,"",IFERROR($L164-LOOKUP(2,1/(($B$2:$B163=$B164)*($N$2:$N163=1)),$M$2:$M163),""))</f>
        <v/>
      </c>
    </row>
    <row r="165">
      <c r="A165" t="n">
        <v>164</v>
      </c>
      <c r="B165">
        <f>Schedule!$A$26</f>
        <v/>
      </c>
      <c r="C165">
        <f>Schedule!$D$26</f>
        <v/>
      </c>
      <c r="D165">
        <f>Schedule!$F$26</f>
        <v/>
      </c>
      <c r="E165" t="n">
        <v>2</v>
      </c>
      <c r="F165">
        <f>Schedule!$I$1</f>
        <v/>
      </c>
      <c r="G165">
        <f>Schedule!$I$2</f>
        <v/>
      </c>
      <c r="H165">
        <f>Schedule!$I$26</f>
        <v/>
      </c>
      <c r="I165">
        <f>IF($N165=1,VALUE(LEFT($H165,2)),"")</f>
        <v/>
      </c>
      <c r="J165">
        <f>IF($N165=1,VALUE(MID($H165,9,2)),"")</f>
        <v/>
      </c>
      <c r="K165">
        <f>IF($N165=1,MOD($J165-$I165,24),0)</f>
        <v/>
      </c>
      <c r="L165">
        <f>IF($N165=1,$E165*24+$I165,"")</f>
        <v/>
      </c>
      <c r="M165">
        <f>IF($N165=1,$L165+$K165,"")</f>
        <v/>
      </c>
      <c r="N165">
        <f>IF(ISNUMBER(SEARCH(" - ",$H165&amp;"")),1,0)</f>
        <v/>
      </c>
      <c r="O165">
        <f>IF(UPPER($H165&amp;"")="LEAVE",1,0)</f>
        <v/>
      </c>
      <c r="P165">
        <f>IF($N165=1,$K165,0)</f>
        <v/>
      </c>
      <c r="Q165">
        <f>IF($N165=0,"",IFERROR($L165-LOOKUP(2,1/(($B$2:$B164=$B165)*($N$2:$N164=1)),$M$2:$M164),""))</f>
        <v/>
      </c>
    </row>
    <row r="166">
      <c r="A166" t="n">
        <v>165</v>
      </c>
      <c r="B166">
        <f>Schedule!$A$26</f>
        <v/>
      </c>
      <c r="C166">
        <f>Schedule!$D$26</f>
        <v/>
      </c>
      <c r="D166">
        <f>Schedule!$F$26</f>
        <v/>
      </c>
      <c r="E166" t="n">
        <v>3</v>
      </c>
      <c r="F166">
        <f>Schedule!$J$1</f>
        <v/>
      </c>
      <c r="G166">
        <f>Schedule!$J$2</f>
        <v/>
      </c>
      <c r="H166">
        <f>Schedule!$J$26</f>
        <v/>
      </c>
      <c r="I166">
        <f>IF($N166=1,VALUE(LEFT($H166,2)),"")</f>
        <v/>
      </c>
      <c r="J166">
        <f>IF($N166=1,VALUE(MID($H166,9,2)),"")</f>
        <v/>
      </c>
      <c r="K166">
        <f>IF($N166=1,MOD($J166-$I166,24),0)</f>
        <v/>
      </c>
      <c r="L166">
        <f>IF($N166=1,$E166*24+$I166,"")</f>
        <v/>
      </c>
      <c r="M166">
        <f>IF($N166=1,$L166+$K166,"")</f>
        <v/>
      </c>
      <c r="N166">
        <f>IF(ISNUMBER(SEARCH(" - ",$H166&amp;"")),1,0)</f>
        <v/>
      </c>
      <c r="O166">
        <f>IF(UPPER($H166&amp;"")="LEAVE",1,0)</f>
        <v/>
      </c>
      <c r="P166">
        <f>IF($N166=1,$K166,0)</f>
        <v/>
      </c>
      <c r="Q166">
        <f>IF($N166=0,"",IFERROR($L166-LOOKUP(2,1/(($B$2:$B165=$B166)*($N$2:$N165=1)),$M$2:$M165),""))</f>
        <v/>
      </c>
    </row>
    <row r="167">
      <c r="A167" t="n">
        <v>166</v>
      </c>
      <c r="B167">
        <f>Schedule!$A$26</f>
        <v/>
      </c>
      <c r="C167">
        <f>Schedule!$D$26</f>
        <v/>
      </c>
      <c r="D167">
        <f>Schedule!$F$26</f>
        <v/>
      </c>
      <c r="E167" t="n">
        <v>4</v>
      </c>
      <c r="F167">
        <f>Schedule!$K$1</f>
        <v/>
      </c>
      <c r="G167">
        <f>Schedule!$K$2</f>
        <v/>
      </c>
      <c r="H167">
        <f>Schedule!$K$26</f>
        <v/>
      </c>
      <c r="I167">
        <f>IF($N167=1,VALUE(LEFT($H167,2)),"")</f>
        <v/>
      </c>
      <c r="J167">
        <f>IF($N167=1,VALUE(MID($H167,9,2)),"")</f>
        <v/>
      </c>
      <c r="K167">
        <f>IF($N167=1,MOD($J167-$I167,24),0)</f>
        <v/>
      </c>
      <c r="L167">
        <f>IF($N167=1,$E167*24+$I167,"")</f>
        <v/>
      </c>
      <c r="M167">
        <f>IF($N167=1,$L167+$K167,"")</f>
        <v/>
      </c>
      <c r="N167">
        <f>IF(ISNUMBER(SEARCH(" - ",$H167&amp;"")),1,0)</f>
        <v/>
      </c>
      <c r="O167">
        <f>IF(UPPER($H167&amp;"")="LEAVE",1,0)</f>
        <v/>
      </c>
      <c r="P167">
        <f>IF($N167=1,$K167,0)</f>
        <v/>
      </c>
      <c r="Q167">
        <f>IF($N167=0,"",IFERROR($L167-LOOKUP(2,1/(($B$2:$B166=$B167)*($N$2:$N166=1)),$M$2:$M166),""))</f>
        <v/>
      </c>
    </row>
    <row r="168">
      <c r="A168" t="n">
        <v>167</v>
      </c>
      <c r="B168">
        <f>Schedule!$A$26</f>
        <v/>
      </c>
      <c r="C168">
        <f>Schedule!$D$26</f>
        <v/>
      </c>
      <c r="D168">
        <f>Schedule!$F$26</f>
        <v/>
      </c>
      <c r="E168" t="n">
        <v>5</v>
      </c>
      <c r="F168">
        <f>Schedule!$L$1</f>
        <v/>
      </c>
      <c r="G168">
        <f>Schedule!$L$2</f>
        <v/>
      </c>
      <c r="H168">
        <f>Schedule!$L$26</f>
        <v/>
      </c>
      <c r="I168">
        <f>IF($N168=1,VALUE(LEFT($H168,2)),"")</f>
        <v/>
      </c>
      <c r="J168">
        <f>IF($N168=1,VALUE(MID($H168,9,2)),"")</f>
        <v/>
      </c>
      <c r="K168">
        <f>IF($N168=1,MOD($J168-$I168,24),0)</f>
        <v/>
      </c>
      <c r="L168">
        <f>IF($N168=1,$E168*24+$I168,"")</f>
        <v/>
      </c>
      <c r="M168">
        <f>IF($N168=1,$L168+$K168,"")</f>
        <v/>
      </c>
      <c r="N168">
        <f>IF(ISNUMBER(SEARCH(" - ",$H168&amp;"")),1,0)</f>
        <v/>
      </c>
      <c r="O168">
        <f>IF(UPPER($H168&amp;"")="LEAVE",1,0)</f>
        <v/>
      </c>
      <c r="P168">
        <f>IF($N168=1,$K168,0)</f>
        <v/>
      </c>
      <c r="Q168">
        <f>IF($N168=0,"",IFERROR($L168-LOOKUP(2,1/(($B$2:$B167=$B168)*($N$2:$N167=1)),$M$2:$M167),""))</f>
        <v/>
      </c>
    </row>
    <row r="169">
      <c r="A169" t="n">
        <v>168</v>
      </c>
      <c r="B169">
        <f>Schedule!$A$26</f>
        <v/>
      </c>
      <c r="C169">
        <f>Schedule!$D$26</f>
        <v/>
      </c>
      <c r="D169">
        <f>Schedule!$F$26</f>
        <v/>
      </c>
      <c r="E169" t="n">
        <v>6</v>
      </c>
      <c r="F169">
        <f>Schedule!$M$1</f>
        <v/>
      </c>
      <c r="G169">
        <f>Schedule!$M$2</f>
        <v/>
      </c>
      <c r="H169">
        <f>Schedule!$M$26</f>
        <v/>
      </c>
      <c r="I169">
        <f>IF($N169=1,VALUE(LEFT($H169,2)),"")</f>
        <v/>
      </c>
      <c r="J169">
        <f>IF($N169=1,VALUE(MID($H169,9,2)),"")</f>
        <v/>
      </c>
      <c r="K169">
        <f>IF($N169=1,MOD($J169-$I169,24),0)</f>
        <v/>
      </c>
      <c r="L169">
        <f>IF($N169=1,$E169*24+$I169,"")</f>
        <v/>
      </c>
      <c r="M169">
        <f>IF($N169=1,$L169+$K169,"")</f>
        <v/>
      </c>
      <c r="N169">
        <f>IF(ISNUMBER(SEARCH(" - ",$H169&amp;"")),1,0)</f>
        <v/>
      </c>
      <c r="O169">
        <f>IF(UPPER($H169&amp;"")="LEAVE",1,0)</f>
        <v/>
      </c>
      <c r="P169">
        <f>IF($N169=1,$K169,0)</f>
        <v/>
      </c>
      <c r="Q169">
        <f>IF($N169=0,"",IFERROR($L169-LOOKUP(2,1/(($B$2:$B168=$B169)*($N$2:$N168=1)),$M$2:$M168),""))</f>
        <v/>
      </c>
    </row>
    <row r="170">
      <c r="A170" t="n">
        <v>169</v>
      </c>
      <c r="B170">
        <f>Schedule!$A$27</f>
        <v/>
      </c>
      <c r="C170">
        <f>Schedule!$D$27</f>
        <v/>
      </c>
      <c r="D170">
        <f>Schedule!$F$27</f>
        <v/>
      </c>
      <c r="E170" t="n">
        <v>0</v>
      </c>
      <c r="F170">
        <f>Schedule!$G$1</f>
        <v/>
      </c>
      <c r="G170">
        <f>Schedule!$G$2</f>
        <v/>
      </c>
      <c r="H170">
        <f>Schedule!$G$27</f>
        <v/>
      </c>
      <c r="I170">
        <f>IF($N170=1,VALUE(LEFT($H170,2)),"")</f>
        <v/>
      </c>
      <c r="J170">
        <f>IF($N170=1,VALUE(MID($H170,9,2)),"")</f>
        <v/>
      </c>
      <c r="K170">
        <f>IF($N170=1,MOD($J170-$I170,24),0)</f>
        <v/>
      </c>
      <c r="L170">
        <f>IF($N170=1,$E170*24+$I170,"")</f>
        <v/>
      </c>
      <c r="M170">
        <f>IF($N170=1,$L170+$K170,"")</f>
        <v/>
      </c>
      <c r="N170">
        <f>IF(ISNUMBER(SEARCH(" - ",$H170&amp;"")),1,0)</f>
        <v/>
      </c>
      <c r="O170">
        <f>IF(UPPER($H170&amp;"")="LEAVE",1,0)</f>
        <v/>
      </c>
      <c r="P170">
        <f>IF($N170=1,$K170,0)</f>
        <v/>
      </c>
      <c r="Q170">
        <f>IF($N170=0,"",IFERROR($L170-'Previous Engine'!$M$26,""))</f>
        <v/>
      </c>
    </row>
    <row r="171">
      <c r="A171" t="n">
        <v>170</v>
      </c>
      <c r="B171">
        <f>Schedule!$A$27</f>
        <v/>
      </c>
      <c r="C171">
        <f>Schedule!$D$27</f>
        <v/>
      </c>
      <c r="D171">
        <f>Schedule!$F$27</f>
        <v/>
      </c>
      <c r="E171" t="n">
        <v>1</v>
      </c>
      <c r="F171">
        <f>Schedule!$H$1</f>
        <v/>
      </c>
      <c r="G171">
        <f>Schedule!$H$2</f>
        <v/>
      </c>
      <c r="H171">
        <f>Schedule!$H$27</f>
        <v/>
      </c>
      <c r="I171">
        <f>IF($N171=1,VALUE(LEFT($H171,2)),"")</f>
        <v/>
      </c>
      <c r="J171">
        <f>IF($N171=1,VALUE(MID($H171,9,2)),"")</f>
        <v/>
      </c>
      <c r="K171">
        <f>IF($N171=1,MOD($J171-$I171,24),0)</f>
        <v/>
      </c>
      <c r="L171">
        <f>IF($N171=1,$E171*24+$I171,"")</f>
        <v/>
      </c>
      <c r="M171">
        <f>IF($N171=1,$L171+$K171,"")</f>
        <v/>
      </c>
      <c r="N171">
        <f>IF(ISNUMBER(SEARCH(" - ",$H171&amp;"")),1,0)</f>
        <v/>
      </c>
      <c r="O171">
        <f>IF(UPPER($H171&amp;"")="LEAVE",1,0)</f>
        <v/>
      </c>
      <c r="P171">
        <f>IF($N171=1,$K171,0)</f>
        <v/>
      </c>
      <c r="Q171">
        <f>IF($N171=0,"",IFERROR($L171-LOOKUP(2,1/(($B$2:$B170=$B171)*($N$2:$N170=1)),$M$2:$M170),""))</f>
        <v/>
      </c>
    </row>
    <row r="172">
      <c r="A172" t="n">
        <v>171</v>
      </c>
      <c r="B172">
        <f>Schedule!$A$27</f>
        <v/>
      </c>
      <c r="C172">
        <f>Schedule!$D$27</f>
        <v/>
      </c>
      <c r="D172">
        <f>Schedule!$F$27</f>
        <v/>
      </c>
      <c r="E172" t="n">
        <v>2</v>
      </c>
      <c r="F172">
        <f>Schedule!$I$1</f>
        <v/>
      </c>
      <c r="G172">
        <f>Schedule!$I$2</f>
        <v/>
      </c>
      <c r="H172">
        <f>Schedule!$I$27</f>
        <v/>
      </c>
      <c r="I172">
        <f>IF($N172=1,VALUE(LEFT($H172,2)),"")</f>
        <v/>
      </c>
      <c r="J172">
        <f>IF($N172=1,VALUE(MID($H172,9,2)),"")</f>
        <v/>
      </c>
      <c r="K172">
        <f>IF($N172=1,MOD($J172-$I172,24),0)</f>
        <v/>
      </c>
      <c r="L172">
        <f>IF($N172=1,$E172*24+$I172,"")</f>
        <v/>
      </c>
      <c r="M172">
        <f>IF($N172=1,$L172+$K172,"")</f>
        <v/>
      </c>
      <c r="N172">
        <f>IF(ISNUMBER(SEARCH(" - ",$H172&amp;"")),1,0)</f>
        <v/>
      </c>
      <c r="O172">
        <f>IF(UPPER($H172&amp;"")="LEAVE",1,0)</f>
        <v/>
      </c>
      <c r="P172">
        <f>IF($N172=1,$K172,0)</f>
        <v/>
      </c>
      <c r="Q172">
        <f>IF($N172=0,"",IFERROR($L172-LOOKUP(2,1/(($B$2:$B171=$B172)*($N$2:$N171=1)),$M$2:$M171),""))</f>
        <v/>
      </c>
    </row>
    <row r="173">
      <c r="A173" t="n">
        <v>172</v>
      </c>
      <c r="B173">
        <f>Schedule!$A$27</f>
        <v/>
      </c>
      <c r="C173">
        <f>Schedule!$D$27</f>
        <v/>
      </c>
      <c r="D173">
        <f>Schedule!$F$27</f>
        <v/>
      </c>
      <c r="E173" t="n">
        <v>3</v>
      </c>
      <c r="F173">
        <f>Schedule!$J$1</f>
        <v/>
      </c>
      <c r="G173">
        <f>Schedule!$J$2</f>
        <v/>
      </c>
      <c r="H173">
        <f>Schedule!$J$27</f>
        <v/>
      </c>
      <c r="I173">
        <f>IF($N173=1,VALUE(LEFT($H173,2)),"")</f>
        <v/>
      </c>
      <c r="J173">
        <f>IF($N173=1,VALUE(MID($H173,9,2)),"")</f>
        <v/>
      </c>
      <c r="K173">
        <f>IF($N173=1,MOD($J173-$I173,24),0)</f>
        <v/>
      </c>
      <c r="L173">
        <f>IF($N173=1,$E173*24+$I173,"")</f>
        <v/>
      </c>
      <c r="M173">
        <f>IF($N173=1,$L173+$K173,"")</f>
        <v/>
      </c>
      <c r="N173">
        <f>IF(ISNUMBER(SEARCH(" - ",$H173&amp;"")),1,0)</f>
        <v/>
      </c>
      <c r="O173">
        <f>IF(UPPER($H173&amp;"")="LEAVE",1,0)</f>
        <v/>
      </c>
      <c r="P173">
        <f>IF($N173=1,$K173,0)</f>
        <v/>
      </c>
      <c r="Q173">
        <f>IF($N173=0,"",IFERROR($L173-LOOKUP(2,1/(($B$2:$B172=$B173)*($N$2:$N172=1)),$M$2:$M172),""))</f>
        <v/>
      </c>
    </row>
    <row r="174">
      <c r="A174" t="n">
        <v>173</v>
      </c>
      <c r="B174">
        <f>Schedule!$A$27</f>
        <v/>
      </c>
      <c r="C174">
        <f>Schedule!$D$27</f>
        <v/>
      </c>
      <c r="D174">
        <f>Schedule!$F$27</f>
        <v/>
      </c>
      <c r="E174" t="n">
        <v>4</v>
      </c>
      <c r="F174">
        <f>Schedule!$K$1</f>
        <v/>
      </c>
      <c r="G174">
        <f>Schedule!$K$2</f>
        <v/>
      </c>
      <c r="H174">
        <f>Schedule!$K$27</f>
        <v/>
      </c>
      <c r="I174">
        <f>IF($N174=1,VALUE(LEFT($H174,2)),"")</f>
        <v/>
      </c>
      <c r="J174">
        <f>IF($N174=1,VALUE(MID($H174,9,2)),"")</f>
        <v/>
      </c>
      <c r="K174">
        <f>IF($N174=1,MOD($J174-$I174,24),0)</f>
        <v/>
      </c>
      <c r="L174">
        <f>IF($N174=1,$E174*24+$I174,"")</f>
        <v/>
      </c>
      <c r="M174">
        <f>IF($N174=1,$L174+$K174,"")</f>
        <v/>
      </c>
      <c r="N174">
        <f>IF(ISNUMBER(SEARCH(" - ",$H174&amp;"")),1,0)</f>
        <v/>
      </c>
      <c r="O174">
        <f>IF(UPPER($H174&amp;"")="LEAVE",1,0)</f>
        <v/>
      </c>
      <c r="P174">
        <f>IF($N174=1,$K174,0)</f>
        <v/>
      </c>
      <c r="Q174">
        <f>IF($N174=0,"",IFERROR($L174-LOOKUP(2,1/(($B$2:$B173=$B174)*($N$2:$N173=1)),$M$2:$M173),""))</f>
        <v/>
      </c>
    </row>
    <row r="175">
      <c r="A175" t="n">
        <v>174</v>
      </c>
      <c r="B175">
        <f>Schedule!$A$27</f>
        <v/>
      </c>
      <c r="C175">
        <f>Schedule!$D$27</f>
        <v/>
      </c>
      <c r="D175">
        <f>Schedule!$F$27</f>
        <v/>
      </c>
      <c r="E175" t="n">
        <v>5</v>
      </c>
      <c r="F175">
        <f>Schedule!$L$1</f>
        <v/>
      </c>
      <c r="G175">
        <f>Schedule!$L$2</f>
        <v/>
      </c>
      <c r="H175">
        <f>Schedule!$L$27</f>
        <v/>
      </c>
      <c r="I175">
        <f>IF($N175=1,VALUE(LEFT($H175,2)),"")</f>
        <v/>
      </c>
      <c r="J175">
        <f>IF($N175=1,VALUE(MID($H175,9,2)),"")</f>
        <v/>
      </c>
      <c r="K175">
        <f>IF($N175=1,MOD($J175-$I175,24),0)</f>
        <v/>
      </c>
      <c r="L175">
        <f>IF($N175=1,$E175*24+$I175,"")</f>
        <v/>
      </c>
      <c r="M175">
        <f>IF($N175=1,$L175+$K175,"")</f>
        <v/>
      </c>
      <c r="N175">
        <f>IF(ISNUMBER(SEARCH(" - ",$H175&amp;"")),1,0)</f>
        <v/>
      </c>
      <c r="O175">
        <f>IF(UPPER($H175&amp;"")="LEAVE",1,0)</f>
        <v/>
      </c>
      <c r="P175">
        <f>IF($N175=1,$K175,0)</f>
        <v/>
      </c>
      <c r="Q175">
        <f>IF($N175=0,"",IFERROR($L175-LOOKUP(2,1/(($B$2:$B174=$B175)*($N$2:$N174=1)),$M$2:$M174),""))</f>
        <v/>
      </c>
    </row>
    <row r="176">
      <c r="A176" t="n">
        <v>175</v>
      </c>
      <c r="B176">
        <f>Schedule!$A$27</f>
        <v/>
      </c>
      <c r="C176">
        <f>Schedule!$D$27</f>
        <v/>
      </c>
      <c r="D176">
        <f>Schedule!$F$27</f>
        <v/>
      </c>
      <c r="E176" t="n">
        <v>6</v>
      </c>
      <c r="F176">
        <f>Schedule!$M$1</f>
        <v/>
      </c>
      <c r="G176">
        <f>Schedule!$M$2</f>
        <v/>
      </c>
      <c r="H176">
        <f>Schedule!$M$27</f>
        <v/>
      </c>
      <c r="I176">
        <f>IF($N176=1,VALUE(LEFT($H176,2)),"")</f>
        <v/>
      </c>
      <c r="J176">
        <f>IF($N176=1,VALUE(MID($H176,9,2)),"")</f>
        <v/>
      </c>
      <c r="K176">
        <f>IF($N176=1,MOD($J176-$I176,24),0)</f>
        <v/>
      </c>
      <c r="L176">
        <f>IF($N176=1,$E176*24+$I176,"")</f>
        <v/>
      </c>
      <c r="M176">
        <f>IF($N176=1,$L176+$K176,"")</f>
        <v/>
      </c>
      <c r="N176">
        <f>IF(ISNUMBER(SEARCH(" - ",$H176&amp;"")),1,0)</f>
        <v/>
      </c>
      <c r="O176">
        <f>IF(UPPER($H176&amp;"")="LEAVE",1,0)</f>
        <v/>
      </c>
      <c r="P176">
        <f>IF($N176=1,$K176,0)</f>
        <v/>
      </c>
      <c r="Q176">
        <f>IF($N176=0,"",IFERROR($L176-LOOKUP(2,1/(($B$2:$B175=$B176)*($N$2:$N175=1)),$M$2:$M175),""))</f>
        <v/>
      </c>
    </row>
    <row r="177">
      <c r="A177" t="n">
        <v>176</v>
      </c>
      <c r="B177">
        <f>Schedule!$A$28</f>
        <v/>
      </c>
      <c r="C177">
        <f>Schedule!$D$28</f>
        <v/>
      </c>
      <c r="D177">
        <f>Schedule!$F$28</f>
        <v/>
      </c>
      <c r="E177" t="n">
        <v>0</v>
      </c>
      <c r="F177">
        <f>Schedule!$G$1</f>
        <v/>
      </c>
      <c r="G177">
        <f>Schedule!$G$2</f>
        <v/>
      </c>
      <c r="H177">
        <f>Schedule!$G$28</f>
        <v/>
      </c>
      <c r="I177">
        <f>IF($N177=1,VALUE(LEFT($H177,2)),"")</f>
        <v/>
      </c>
      <c r="J177">
        <f>IF($N177=1,VALUE(MID($H177,9,2)),"")</f>
        <v/>
      </c>
      <c r="K177">
        <f>IF($N177=1,MOD($J177-$I177,24),0)</f>
        <v/>
      </c>
      <c r="L177">
        <f>IF($N177=1,$E177*24+$I177,"")</f>
        <v/>
      </c>
      <c r="M177">
        <f>IF($N177=1,$L177+$K177,"")</f>
        <v/>
      </c>
      <c r="N177">
        <f>IF(ISNUMBER(SEARCH(" - ",$H177&amp;"")),1,0)</f>
        <v/>
      </c>
      <c r="O177">
        <f>IF(UPPER($H177&amp;"")="LEAVE",1,0)</f>
        <v/>
      </c>
      <c r="P177">
        <f>IF($N177=1,$K177,0)</f>
        <v/>
      </c>
      <c r="Q177">
        <f>IF($N177=0,"",IFERROR($L177-'Previous Engine'!$M$27,""))</f>
        <v/>
      </c>
    </row>
    <row r="178">
      <c r="A178" t="n">
        <v>177</v>
      </c>
      <c r="B178">
        <f>Schedule!$A$28</f>
        <v/>
      </c>
      <c r="C178">
        <f>Schedule!$D$28</f>
        <v/>
      </c>
      <c r="D178">
        <f>Schedule!$F$28</f>
        <v/>
      </c>
      <c r="E178" t="n">
        <v>1</v>
      </c>
      <c r="F178">
        <f>Schedule!$H$1</f>
        <v/>
      </c>
      <c r="G178">
        <f>Schedule!$H$2</f>
        <v/>
      </c>
      <c r="H178">
        <f>Schedule!$H$28</f>
        <v/>
      </c>
      <c r="I178">
        <f>IF($N178=1,VALUE(LEFT($H178,2)),"")</f>
        <v/>
      </c>
      <c r="J178">
        <f>IF($N178=1,VALUE(MID($H178,9,2)),"")</f>
        <v/>
      </c>
      <c r="K178">
        <f>IF($N178=1,MOD($J178-$I178,24),0)</f>
        <v/>
      </c>
      <c r="L178">
        <f>IF($N178=1,$E178*24+$I178,"")</f>
        <v/>
      </c>
      <c r="M178">
        <f>IF($N178=1,$L178+$K178,"")</f>
        <v/>
      </c>
      <c r="N178">
        <f>IF(ISNUMBER(SEARCH(" - ",$H178&amp;"")),1,0)</f>
        <v/>
      </c>
      <c r="O178">
        <f>IF(UPPER($H178&amp;"")="LEAVE",1,0)</f>
        <v/>
      </c>
      <c r="P178">
        <f>IF($N178=1,$K178,0)</f>
        <v/>
      </c>
      <c r="Q178">
        <f>IF($N178=0,"",IFERROR($L178-LOOKUP(2,1/(($B$2:$B177=$B178)*($N$2:$N177=1)),$M$2:$M177),""))</f>
        <v/>
      </c>
    </row>
    <row r="179">
      <c r="A179" t="n">
        <v>178</v>
      </c>
      <c r="B179">
        <f>Schedule!$A$28</f>
        <v/>
      </c>
      <c r="C179">
        <f>Schedule!$D$28</f>
        <v/>
      </c>
      <c r="D179">
        <f>Schedule!$F$28</f>
        <v/>
      </c>
      <c r="E179" t="n">
        <v>2</v>
      </c>
      <c r="F179">
        <f>Schedule!$I$1</f>
        <v/>
      </c>
      <c r="G179">
        <f>Schedule!$I$2</f>
        <v/>
      </c>
      <c r="H179">
        <f>Schedule!$I$28</f>
        <v/>
      </c>
      <c r="I179">
        <f>IF($N179=1,VALUE(LEFT($H179,2)),"")</f>
        <v/>
      </c>
      <c r="J179">
        <f>IF($N179=1,VALUE(MID($H179,9,2)),"")</f>
        <v/>
      </c>
      <c r="K179">
        <f>IF($N179=1,MOD($J179-$I179,24),0)</f>
        <v/>
      </c>
      <c r="L179">
        <f>IF($N179=1,$E179*24+$I179,"")</f>
        <v/>
      </c>
      <c r="M179">
        <f>IF($N179=1,$L179+$K179,"")</f>
        <v/>
      </c>
      <c r="N179">
        <f>IF(ISNUMBER(SEARCH(" - ",$H179&amp;"")),1,0)</f>
        <v/>
      </c>
      <c r="O179">
        <f>IF(UPPER($H179&amp;"")="LEAVE",1,0)</f>
        <v/>
      </c>
      <c r="P179">
        <f>IF($N179=1,$K179,0)</f>
        <v/>
      </c>
      <c r="Q179">
        <f>IF($N179=0,"",IFERROR($L179-LOOKUP(2,1/(($B$2:$B178=$B179)*($N$2:$N178=1)),$M$2:$M178),""))</f>
        <v/>
      </c>
    </row>
    <row r="180">
      <c r="A180" t="n">
        <v>179</v>
      </c>
      <c r="B180">
        <f>Schedule!$A$28</f>
        <v/>
      </c>
      <c r="C180">
        <f>Schedule!$D$28</f>
        <v/>
      </c>
      <c r="D180">
        <f>Schedule!$F$28</f>
        <v/>
      </c>
      <c r="E180" t="n">
        <v>3</v>
      </c>
      <c r="F180">
        <f>Schedule!$J$1</f>
        <v/>
      </c>
      <c r="G180">
        <f>Schedule!$J$2</f>
        <v/>
      </c>
      <c r="H180">
        <f>Schedule!$J$28</f>
        <v/>
      </c>
      <c r="I180">
        <f>IF($N180=1,VALUE(LEFT($H180,2)),"")</f>
        <v/>
      </c>
      <c r="J180">
        <f>IF($N180=1,VALUE(MID($H180,9,2)),"")</f>
        <v/>
      </c>
      <c r="K180">
        <f>IF($N180=1,MOD($J180-$I180,24),0)</f>
        <v/>
      </c>
      <c r="L180">
        <f>IF($N180=1,$E180*24+$I180,"")</f>
        <v/>
      </c>
      <c r="M180">
        <f>IF($N180=1,$L180+$K180,"")</f>
        <v/>
      </c>
      <c r="N180">
        <f>IF(ISNUMBER(SEARCH(" - ",$H180&amp;"")),1,0)</f>
        <v/>
      </c>
      <c r="O180">
        <f>IF(UPPER($H180&amp;"")="LEAVE",1,0)</f>
        <v/>
      </c>
      <c r="P180">
        <f>IF($N180=1,$K180,0)</f>
        <v/>
      </c>
      <c r="Q180">
        <f>IF($N180=0,"",IFERROR($L180-LOOKUP(2,1/(($B$2:$B179=$B180)*($N$2:$N179=1)),$M$2:$M179),""))</f>
        <v/>
      </c>
    </row>
    <row r="181">
      <c r="A181" t="n">
        <v>180</v>
      </c>
      <c r="B181">
        <f>Schedule!$A$28</f>
        <v/>
      </c>
      <c r="C181">
        <f>Schedule!$D$28</f>
        <v/>
      </c>
      <c r="D181">
        <f>Schedule!$F$28</f>
        <v/>
      </c>
      <c r="E181" t="n">
        <v>4</v>
      </c>
      <c r="F181">
        <f>Schedule!$K$1</f>
        <v/>
      </c>
      <c r="G181">
        <f>Schedule!$K$2</f>
        <v/>
      </c>
      <c r="H181">
        <f>Schedule!$K$28</f>
        <v/>
      </c>
      <c r="I181">
        <f>IF($N181=1,VALUE(LEFT($H181,2)),"")</f>
        <v/>
      </c>
      <c r="J181">
        <f>IF($N181=1,VALUE(MID($H181,9,2)),"")</f>
        <v/>
      </c>
      <c r="K181">
        <f>IF($N181=1,MOD($J181-$I181,24),0)</f>
        <v/>
      </c>
      <c r="L181">
        <f>IF($N181=1,$E181*24+$I181,"")</f>
        <v/>
      </c>
      <c r="M181">
        <f>IF($N181=1,$L181+$K181,"")</f>
        <v/>
      </c>
      <c r="N181">
        <f>IF(ISNUMBER(SEARCH(" - ",$H181&amp;"")),1,0)</f>
        <v/>
      </c>
      <c r="O181">
        <f>IF(UPPER($H181&amp;"")="LEAVE",1,0)</f>
        <v/>
      </c>
      <c r="P181">
        <f>IF($N181=1,$K181,0)</f>
        <v/>
      </c>
      <c r="Q181">
        <f>IF($N181=0,"",IFERROR($L181-LOOKUP(2,1/(($B$2:$B180=$B181)*($N$2:$N180=1)),$M$2:$M180),""))</f>
        <v/>
      </c>
    </row>
    <row r="182">
      <c r="A182" t="n">
        <v>181</v>
      </c>
      <c r="B182">
        <f>Schedule!$A$28</f>
        <v/>
      </c>
      <c r="C182">
        <f>Schedule!$D$28</f>
        <v/>
      </c>
      <c r="D182">
        <f>Schedule!$F$28</f>
        <v/>
      </c>
      <c r="E182" t="n">
        <v>5</v>
      </c>
      <c r="F182">
        <f>Schedule!$L$1</f>
        <v/>
      </c>
      <c r="G182">
        <f>Schedule!$L$2</f>
        <v/>
      </c>
      <c r="H182">
        <f>Schedule!$L$28</f>
        <v/>
      </c>
      <c r="I182">
        <f>IF($N182=1,VALUE(LEFT($H182,2)),"")</f>
        <v/>
      </c>
      <c r="J182">
        <f>IF($N182=1,VALUE(MID($H182,9,2)),"")</f>
        <v/>
      </c>
      <c r="K182">
        <f>IF($N182=1,MOD($J182-$I182,24),0)</f>
        <v/>
      </c>
      <c r="L182">
        <f>IF($N182=1,$E182*24+$I182,"")</f>
        <v/>
      </c>
      <c r="M182">
        <f>IF($N182=1,$L182+$K182,"")</f>
        <v/>
      </c>
      <c r="N182">
        <f>IF(ISNUMBER(SEARCH(" - ",$H182&amp;"")),1,0)</f>
        <v/>
      </c>
      <c r="O182">
        <f>IF(UPPER($H182&amp;"")="LEAVE",1,0)</f>
        <v/>
      </c>
      <c r="P182">
        <f>IF($N182=1,$K182,0)</f>
        <v/>
      </c>
      <c r="Q182">
        <f>IF($N182=0,"",IFERROR($L182-LOOKUP(2,1/(($B$2:$B181=$B182)*($N$2:$N181=1)),$M$2:$M181),""))</f>
        <v/>
      </c>
    </row>
    <row r="183">
      <c r="A183" t="n">
        <v>182</v>
      </c>
      <c r="B183">
        <f>Schedule!$A$28</f>
        <v/>
      </c>
      <c r="C183">
        <f>Schedule!$D$28</f>
        <v/>
      </c>
      <c r="D183">
        <f>Schedule!$F$28</f>
        <v/>
      </c>
      <c r="E183" t="n">
        <v>6</v>
      </c>
      <c r="F183">
        <f>Schedule!$M$1</f>
        <v/>
      </c>
      <c r="G183">
        <f>Schedule!$M$2</f>
        <v/>
      </c>
      <c r="H183">
        <f>Schedule!$M$28</f>
        <v/>
      </c>
      <c r="I183">
        <f>IF($N183=1,VALUE(LEFT($H183,2)),"")</f>
        <v/>
      </c>
      <c r="J183">
        <f>IF($N183=1,VALUE(MID($H183,9,2)),"")</f>
        <v/>
      </c>
      <c r="K183">
        <f>IF($N183=1,MOD($J183-$I183,24),0)</f>
        <v/>
      </c>
      <c r="L183">
        <f>IF($N183=1,$E183*24+$I183,"")</f>
        <v/>
      </c>
      <c r="M183">
        <f>IF($N183=1,$L183+$K183,"")</f>
        <v/>
      </c>
      <c r="N183">
        <f>IF(ISNUMBER(SEARCH(" - ",$H183&amp;"")),1,0)</f>
        <v/>
      </c>
      <c r="O183">
        <f>IF(UPPER($H183&amp;"")="LEAVE",1,0)</f>
        <v/>
      </c>
      <c r="P183">
        <f>IF($N183=1,$K183,0)</f>
        <v/>
      </c>
      <c r="Q183">
        <f>IF($N183=0,"",IFERROR($L183-LOOKUP(2,1/(($B$2:$B182=$B183)*($N$2:$N182=1)),$M$2:$M182),""))</f>
        <v/>
      </c>
    </row>
    <row r="184">
      <c r="A184" t="n">
        <v>183</v>
      </c>
      <c r="B184">
        <f>Schedule!$A$29</f>
        <v/>
      </c>
      <c r="C184">
        <f>Schedule!$D$29</f>
        <v/>
      </c>
      <c r="D184">
        <f>Schedule!$F$29</f>
        <v/>
      </c>
      <c r="E184" t="n">
        <v>0</v>
      </c>
      <c r="F184">
        <f>Schedule!$G$1</f>
        <v/>
      </c>
      <c r="G184">
        <f>Schedule!$G$2</f>
        <v/>
      </c>
      <c r="H184">
        <f>Schedule!$G$29</f>
        <v/>
      </c>
      <c r="I184">
        <f>IF($N184=1,VALUE(LEFT($H184,2)),"")</f>
        <v/>
      </c>
      <c r="J184">
        <f>IF($N184=1,VALUE(MID($H184,9,2)),"")</f>
        <v/>
      </c>
      <c r="K184">
        <f>IF($N184=1,MOD($J184-$I184,24),0)</f>
        <v/>
      </c>
      <c r="L184">
        <f>IF($N184=1,$E184*24+$I184,"")</f>
        <v/>
      </c>
      <c r="M184">
        <f>IF($N184=1,$L184+$K184,"")</f>
        <v/>
      </c>
      <c r="N184">
        <f>IF(ISNUMBER(SEARCH(" - ",$H184&amp;"")),1,0)</f>
        <v/>
      </c>
      <c r="O184">
        <f>IF(UPPER($H184&amp;"")="LEAVE",1,0)</f>
        <v/>
      </c>
      <c r="P184">
        <f>IF($N184=1,$K184,0)</f>
        <v/>
      </c>
      <c r="Q184">
        <f>IF($N184=0,"",IFERROR($L184-'Previous Engine'!$M$28,""))</f>
        <v/>
      </c>
    </row>
    <row r="185">
      <c r="A185" t="n">
        <v>184</v>
      </c>
      <c r="B185">
        <f>Schedule!$A$29</f>
        <v/>
      </c>
      <c r="C185">
        <f>Schedule!$D$29</f>
        <v/>
      </c>
      <c r="D185">
        <f>Schedule!$F$29</f>
        <v/>
      </c>
      <c r="E185" t="n">
        <v>1</v>
      </c>
      <c r="F185">
        <f>Schedule!$H$1</f>
        <v/>
      </c>
      <c r="G185">
        <f>Schedule!$H$2</f>
        <v/>
      </c>
      <c r="H185">
        <f>Schedule!$H$29</f>
        <v/>
      </c>
      <c r="I185">
        <f>IF($N185=1,VALUE(LEFT($H185,2)),"")</f>
        <v/>
      </c>
      <c r="J185">
        <f>IF($N185=1,VALUE(MID($H185,9,2)),"")</f>
        <v/>
      </c>
      <c r="K185">
        <f>IF($N185=1,MOD($J185-$I185,24),0)</f>
        <v/>
      </c>
      <c r="L185">
        <f>IF($N185=1,$E185*24+$I185,"")</f>
        <v/>
      </c>
      <c r="M185">
        <f>IF($N185=1,$L185+$K185,"")</f>
        <v/>
      </c>
      <c r="N185">
        <f>IF(ISNUMBER(SEARCH(" - ",$H185&amp;"")),1,0)</f>
        <v/>
      </c>
      <c r="O185">
        <f>IF(UPPER($H185&amp;"")="LEAVE",1,0)</f>
        <v/>
      </c>
      <c r="P185">
        <f>IF($N185=1,$K185,0)</f>
        <v/>
      </c>
      <c r="Q185">
        <f>IF($N185=0,"",IFERROR($L185-LOOKUP(2,1/(($B$2:$B184=$B185)*($N$2:$N184=1)),$M$2:$M184),""))</f>
        <v/>
      </c>
    </row>
    <row r="186">
      <c r="A186" t="n">
        <v>185</v>
      </c>
      <c r="B186">
        <f>Schedule!$A$29</f>
        <v/>
      </c>
      <c r="C186">
        <f>Schedule!$D$29</f>
        <v/>
      </c>
      <c r="D186">
        <f>Schedule!$F$29</f>
        <v/>
      </c>
      <c r="E186" t="n">
        <v>2</v>
      </c>
      <c r="F186">
        <f>Schedule!$I$1</f>
        <v/>
      </c>
      <c r="G186">
        <f>Schedule!$I$2</f>
        <v/>
      </c>
      <c r="H186">
        <f>Schedule!$I$29</f>
        <v/>
      </c>
      <c r="I186">
        <f>IF($N186=1,VALUE(LEFT($H186,2)),"")</f>
        <v/>
      </c>
      <c r="J186">
        <f>IF($N186=1,VALUE(MID($H186,9,2)),"")</f>
        <v/>
      </c>
      <c r="K186">
        <f>IF($N186=1,MOD($J186-$I186,24),0)</f>
        <v/>
      </c>
      <c r="L186">
        <f>IF($N186=1,$E186*24+$I186,"")</f>
        <v/>
      </c>
      <c r="M186">
        <f>IF($N186=1,$L186+$K186,"")</f>
        <v/>
      </c>
      <c r="N186">
        <f>IF(ISNUMBER(SEARCH(" - ",$H186&amp;"")),1,0)</f>
        <v/>
      </c>
      <c r="O186">
        <f>IF(UPPER($H186&amp;"")="LEAVE",1,0)</f>
        <v/>
      </c>
      <c r="P186">
        <f>IF($N186=1,$K186,0)</f>
        <v/>
      </c>
      <c r="Q186">
        <f>IF($N186=0,"",IFERROR($L186-LOOKUP(2,1/(($B$2:$B185=$B186)*($N$2:$N185=1)),$M$2:$M185),""))</f>
        <v/>
      </c>
    </row>
    <row r="187">
      <c r="A187" t="n">
        <v>186</v>
      </c>
      <c r="B187">
        <f>Schedule!$A$29</f>
        <v/>
      </c>
      <c r="C187">
        <f>Schedule!$D$29</f>
        <v/>
      </c>
      <c r="D187">
        <f>Schedule!$F$29</f>
        <v/>
      </c>
      <c r="E187" t="n">
        <v>3</v>
      </c>
      <c r="F187">
        <f>Schedule!$J$1</f>
        <v/>
      </c>
      <c r="G187">
        <f>Schedule!$J$2</f>
        <v/>
      </c>
      <c r="H187">
        <f>Schedule!$J$29</f>
        <v/>
      </c>
      <c r="I187">
        <f>IF($N187=1,VALUE(LEFT($H187,2)),"")</f>
        <v/>
      </c>
      <c r="J187">
        <f>IF($N187=1,VALUE(MID($H187,9,2)),"")</f>
        <v/>
      </c>
      <c r="K187">
        <f>IF($N187=1,MOD($J187-$I187,24),0)</f>
        <v/>
      </c>
      <c r="L187">
        <f>IF($N187=1,$E187*24+$I187,"")</f>
        <v/>
      </c>
      <c r="M187">
        <f>IF($N187=1,$L187+$K187,"")</f>
        <v/>
      </c>
      <c r="N187">
        <f>IF(ISNUMBER(SEARCH(" - ",$H187&amp;"")),1,0)</f>
        <v/>
      </c>
      <c r="O187">
        <f>IF(UPPER($H187&amp;"")="LEAVE",1,0)</f>
        <v/>
      </c>
      <c r="P187">
        <f>IF($N187=1,$K187,0)</f>
        <v/>
      </c>
      <c r="Q187">
        <f>IF($N187=0,"",IFERROR($L187-LOOKUP(2,1/(($B$2:$B186=$B187)*($N$2:$N186=1)),$M$2:$M186),""))</f>
        <v/>
      </c>
    </row>
    <row r="188">
      <c r="A188" t="n">
        <v>187</v>
      </c>
      <c r="B188">
        <f>Schedule!$A$29</f>
        <v/>
      </c>
      <c r="C188">
        <f>Schedule!$D$29</f>
        <v/>
      </c>
      <c r="D188">
        <f>Schedule!$F$29</f>
        <v/>
      </c>
      <c r="E188" t="n">
        <v>4</v>
      </c>
      <c r="F188">
        <f>Schedule!$K$1</f>
        <v/>
      </c>
      <c r="G188">
        <f>Schedule!$K$2</f>
        <v/>
      </c>
      <c r="H188">
        <f>Schedule!$K$29</f>
        <v/>
      </c>
      <c r="I188">
        <f>IF($N188=1,VALUE(LEFT($H188,2)),"")</f>
        <v/>
      </c>
      <c r="J188">
        <f>IF($N188=1,VALUE(MID($H188,9,2)),"")</f>
        <v/>
      </c>
      <c r="K188">
        <f>IF($N188=1,MOD($J188-$I188,24),0)</f>
        <v/>
      </c>
      <c r="L188">
        <f>IF($N188=1,$E188*24+$I188,"")</f>
        <v/>
      </c>
      <c r="M188">
        <f>IF($N188=1,$L188+$K188,"")</f>
        <v/>
      </c>
      <c r="N188">
        <f>IF(ISNUMBER(SEARCH(" - ",$H188&amp;"")),1,0)</f>
        <v/>
      </c>
      <c r="O188">
        <f>IF(UPPER($H188&amp;"")="LEAVE",1,0)</f>
        <v/>
      </c>
      <c r="P188">
        <f>IF($N188=1,$K188,0)</f>
        <v/>
      </c>
      <c r="Q188">
        <f>IF($N188=0,"",IFERROR($L188-LOOKUP(2,1/(($B$2:$B187=$B188)*($N$2:$N187=1)),$M$2:$M187),""))</f>
        <v/>
      </c>
    </row>
    <row r="189">
      <c r="A189" t="n">
        <v>188</v>
      </c>
      <c r="B189">
        <f>Schedule!$A$29</f>
        <v/>
      </c>
      <c r="C189">
        <f>Schedule!$D$29</f>
        <v/>
      </c>
      <c r="D189">
        <f>Schedule!$F$29</f>
        <v/>
      </c>
      <c r="E189" t="n">
        <v>5</v>
      </c>
      <c r="F189">
        <f>Schedule!$L$1</f>
        <v/>
      </c>
      <c r="G189">
        <f>Schedule!$L$2</f>
        <v/>
      </c>
      <c r="H189">
        <f>Schedule!$L$29</f>
        <v/>
      </c>
      <c r="I189">
        <f>IF($N189=1,VALUE(LEFT($H189,2)),"")</f>
        <v/>
      </c>
      <c r="J189">
        <f>IF($N189=1,VALUE(MID($H189,9,2)),"")</f>
        <v/>
      </c>
      <c r="K189">
        <f>IF($N189=1,MOD($J189-$I189,24),0)</f>
        <v/>
      </c>
      <c r="L189">
        <f>IF($N189=1,$E189*24+$I189,"")</f>
        <v/>
      </c>
      <c r="M189">
        <f>IF($N189=1,$L189+$K189,"")</f>
        <v/>
      </c>
      <c r="N189">
        <f>IF(ISNUMBER(SEARCH(" - ",$H189&amp;"")),1,0)</f>
        <v/>
      </c>
      <c r="O189">
        <f>IF(UPPER($H189&amp;"")="LEAVE",1,0)</f>
        <v/>
      </c>
      <c r="P189">
        <f>IF($N189=1,$K189,0)</f>
        <v/>
      </c>
      <c r="Q189">
        <f>IF($N189=0,"",IFERROR($L189-LOOKUP(2,1/(($B$2:$B188=$B189)*($N$2:$N188=1)),$M$2:$M188),""))</f>
        <v/>
      </c>
    </row>
    <row r="190">
      <c r="A190" t="n">
        <v>189</v>
      </c>
      <c r="B190">
        <f>Schedule!$A$29</f>
        <v/>
      </c>
      <c r="C190">
        <f>Schedule!$D$29</f>
        <v/>
      </c>
      <c r="D190">
        <f>Schedule!$F$29</f>
        <v/>
      </c>
      <c r="E190" t="n">
        <v>6</v>
      </c>
      <c r="F190">
        <f>Schedule!$M$1</f>
        <v/>
      </c>
      <c r="G190">
        <f>Schedule!$M$2</f>
        <v/>
      </c>
      <c r="H190">
        <f>Schedule!$M$29</f>
        <v/>
      </c>
      <c r="I190">
        <f>IF($N190=1,VALUE(LEFT($H190,2)),"")</f>
        <v/>
      </c>
      <c r="J190">
        <f>IF($N190=1,VALUE(MID($H190,9,2)),"")</f>
        <v/>
      </c>
      <c r="K190">
        <f>IF($N190=1,MOD($J190-$I190,24),0)</f>
        <v/>
      </c>
      <c r="L190">
        <f>IF($N190=1,$E190*24+$I190,"")</f>
        <v/>
      </c>
      <c r="M190">
        <f>IF($N190=1,$L190+$K190,"")</f>
        <v/>
      </c>
      <c r="N190">
        <f>IF(ISNUMBER(SEARCH(" - ",$H190&amp;"")),1,0)</f>
        <v/>
      </c>
      <c r="O190">
        <f>IF(UPPER($H190&amp;"")="LEAVE",1,0)</f>
        <v/>
      </c>
      <c r="P190">
        <f>IF($N190=1,$K190,0)</f>
        <v/>
      </c>
      <c r="Q190">
        <f>IF($N190=0,"",IFERROR($L190-LOOKUP(2,1/(($B$2:$B189=$B190)*($N$2:$N189=1)),$M$2:$M189),""))</f>
        <v/>
      </c>
    </row>
    <row r="191">
      <c r="A191" t="n">
        <v>190</v>
      </c>
      <c r="B191">
        <f>Schedule!$A$30</f>
        <v/>
      </c>
      <c r="C191">
        <f>Schedule!$D$30</f>
        <v/>
      </c>
      <c r="D191">
        <f>Schedule!$F$30</f>
        <v/>
      </c>
      <c r="E191" t="n">
        <v>0</v>
      </c>
      <c r="F191">
        <f>Schedule!$G$1</f>
        <v/>
      </c>
      <c r="G191">
        <f>Schedule!$G$2</f>
        <v/>
      </c>
      <c r="H191">
        <f>Schedule!$G$30</f>
        <v/>
      </c>
      <c r="I191">
        <f>IF($N191=1,VALUE(LEFT($H191,2)),"")</f>
        <v/>
      </c>
      <c r="J191">
        <f>IF($N191=1,VALUE(MID($H191,9,2)),"")</f>
        <v/>
      </c>
      <c r="K191">
        <f>IF($N191=1,MOD($J191-$I191,24),0)</f>
        <v/>
      </c>
      <c r="L191">
        <f>IF($N191=1,$E191*24+$I191,"")</f>
        <v/>
      </c>
      <c r="M191">
        <f>IF($N191=1,$L191+$K191,"")</f>
        <v/>
      </c>
      <c r="N191">
        <f>IF(ISNUMBER(SEARCH(" - ",$H191&amp;"")),1,0)</f>
        <v/>
      </c>
      <c r="O191">
        <f>IF(UPPER($H191&amp;"")="LEAVE",1,0)</f>
        <v/>
      </c>
      <c r="P191">
        <f>IF($N191=1,$K191,0)</f>
        <v/>
      </c>
      <c r="Q191">
        <f>IF($N191=0,"",IFERROR($L191-'Previous Engine'!$M$29,""))</f>
        <v/>
      </c>
    </row>
    <row r="192">
      <c r="A192" t="n">
        <v>191</v>
      </c>
      <c r="B192">
        <f>Schedule!$A$30</f>
        <v/>
      </c>
      <c r="C192">
        <f>Schedule!$D$30</f>
        <v/>
      </c>
      <c r="D192">
        <f>Schedule!$F$30</f>
        <v/>
      </c>
      <c r="E192" t="n">
        <v>1</v>
      </c>
      <c r="F192">
        <f>Schedule!$H$1</f>
        <v/>
      </c>
      <c r="G192">
        <f>Schedule!$H$2</f>
        <v/>
      </c>
      <c r="H192">
        <f>Schedule!$H$30</f>
        <v/>
      </c>
      <c r="I192">
        <f>IF($N192=1,VALUE(LEFT($H192,2)),"")</f>
        <v/>
      </c>
      <c r="J192">
        <f>IF($N192=1,VALUE(MID($H192,9,2)),"")</f>
        <v/>
      </c>
      <c r="K192">
        <f>IF($N192=1,MOD($J192-$I192,24),0)</f>
        <v/>
      </c>
      <c r="L192">
        <f>IF($N192=1,$E192*24+$I192,"")</f>
        <v/>
      </c>
      <c r="M192">
        <f>IF($N192=1,$L192+$K192,"")</f>
        <v/>
      </c>
      <c r="N192">
        <f>IF(ISNUMBER(SEARCH(" - ",$H192&amp;"")),1,0)</f>
        <v/>
      </c>
      <c r="O192">
        <f>IF(UPPER($H192&amp;"")="LEAVE",1,0)</f>
        <v/>
      </c>
      <c r="P192">
        <f>IF($N192=1,$K192,0)</f>
        <v/>
      </c>
      <c r="Q192">
        <f>IF($N192=0,"",IFERROR($L192-LOOKUP(2,1/(($B$2:$B191=$B192)*($N$2:$N191=1)),$M$2:$M191),""))</f>
        <v/>
      </c>
    </row>
    <row r="193">
      <c r="A193" t="n">
        <v>192</v>
      </c>
      <c r="B193">
        <f>Schedule!$A$30</f>
        <v/>
      </c>
      <c r="C193">
        <f>Schedule!$D$30</f>
        <v/>
      </c>
      <c r="D193">
        <f>Schedule!$F$30</f>
        <v/>
      </c>
      <c r="E193" t="n">
        <v>2</v>
      </c>
      <c r="F193">
        <f>Schedule!$I$1</f>
        <v/>
      </c>
      <c r="G193">
        <f>Schedule!$I$2</f>
        <v/>
      </c>
      <c r="H193">
        <f>Schedule!$I$30</f>
        <v/>
      </c>
      <c r="I193">
        <f>IF($N193=1,VALUE(LEFT($H193,2)),"")</f>
        <v/>
      </c>
      <c r="J193">
        <f>IF($N193=1,VALUE(MID($H193,9,2)),"")</f>
        <v/>
      </c>
      <c r="K193">
        <f>IF($N193=1,MOD($J193-$I193,24),0)</f>
        <v/>
      </c>
      <c r="L193">
        <f>IF($N193=1,$E193*24+$I193,"")</f>
        <v/>
      </c>
      <c r="M193">
        <f>IF($N193=1,$L193+$K193,"")</f>
        <v/>
      </c>
      <c r="N193">
        <f>IF(ISNUMBER(SEARCH(" - ",$H193&amp;"")),1,0)</f>
        <v/>
      </c>
      <c r="O193">
        <f>IF(UPPER($H193&amp;"")="LEAVE",1,0)</f>
        <v/>
      </c>
      <c r="P193">
        <f>IF($N193=1,$K193,0)</f>
        <v/>
      </c>
      <c r="Q193">
        <f>IF($N193=0,"",IFERROR($L193-LOOKUP(2,1/(($B$2:$B192=$B193)*($N$2:$N192=1)),$M$2:$M192),""))</f>
        <v/>
      </c>
    </row>
    <row r="194">
      <c r="A194" t="n">
        <v>193</v>
      </c>
      <c r="B194">
        <f>Schedule!$A$30</f>
        <v/>
      </c>
      <c r="C194">
        <f>Schedule!$D$30</f>
        <v/>
      </c>
      <c r="D194">
        <f>Schedule!$F$30</f>
        <v/>
      </c>
      <c r="E194" t="n">
        <v>3</v>
      </c>
      <c r="F194">
        <f>Schedule!$J$1</f>
        <v/>
      </c>
      <c r="G194">
        <f>Schedule!$J$2</f>
        <v/>
      </c>
      <c r="H194">
        <f>Schedule!$J$30</f>
        <v/>
      </c>
      <c r="I194">
        <f>IF($N194=1,VALUE(LEFT($H194,2)),"")</f>
        <v/>
      </c>
      <c r="J194">
        <f>IF($N194=1,VALUE(MID($H194,9,2)),"")</f>
        <v/>
      </c>
      <c r="K194">
        <f>IF($N194=1,MOD($J194-$I194,24),0)</f>
        <v/>
      </c>
      <c r="L194">
        <f>IF($N194=1,$E194*24+$I194,"")</f>
        <v/>
      </c>
      <c r="M194">
        <f>IF($N194=1,$L194+$K194,"")</f>
        <v/>
      </c>
      <c r="N194">
        <f>IF(ISNUMBER(SEARCH(" - ",$H194&amp;"")),1,0)</f>
        <v/>
      </c>
      <c r="O194">
        <f>IF(UPPER($H194&amp;"")="LEAVE",1,0)</f>
        <v/>
      </c>
      <c r="P194">
        <f>IF($N194=1,$K194,0)</f>
        <v/>
      </c>
      <c r="Q194">
        <f>IF($N194=0,"",IFERROR($L194-LOOKUP(2,1/(($B$2:$B193=$B194)*($N$2:$N193=1)),$M$2:$M193),""))</f>
        <v/>
      </c>
    </row>
    <row r="195">
      <c r="A195" t="n">
        <v>194</v>
      </c>
      <c r="B195">
        <f>Schedule!$A$30</f>
        <v/>
      </c>
      <c r="C195">
        <f>Schedule!$D$30</f>
        <v/>
      </c>
      <c r="D195">
        <f>Schedule!$F$30</f>
        <v/>
      </c>
      <c r="E195" t="n">
        <v>4</v>
      </c>
      <c r="F195">
        <f>Schedule!$K$1</f>
        <v/>
      </c>
      <c r="G195">
        <f>Schedule!$K$2</f>
        <v/>
      </c>
      <c r="H195">
        <f>Schedule!$K$30</f>
        <v/>
      </c>
      <c r="I195">
        <f>IF($N195=1,VALUE(LEFT($H195,2)),"")</f>
        <v/>
      </c>
      <c r="J195">
        <f>IF($N195=1,VALUE(MID($H195,9,2)),"")</f>
        <v/>
      </c>
      <c r="K195">
        <f>IF($N195=1,MOD($J195-$I195,24),0)</f>
        <v/>
      </c>
      <c r="L195">
        <f>IF($N195=1,$E195*24+$I195,"")</f>
        <v/>
      </c>
      <c r="M195">
        <f>IF($N195=1,$L195+$K195,"")</f>
        <v/>
      </c>
      <c r="N195">
        <f>IF(ISNUMBER(SEARCH(" - ",$H195&amp;"")),1,0)</f>
        <v/>
      </c>
      <c r="O195">
        <f>IF(UPPER($H195&amp;"")="LEAVE",1,0)</f>
        <v/>
      </c>
      <c r="P195">
        <f>IF($N195=1,$K195,0)</f>
        <v/>
      </c>
      <c r="Q195">
        <f>IF($N195=0,"",IFERROR($L195-LOOKUP(2,1/(($B$2:$B194=$B195)*($N$2:$N194=1)),$M$2:$M194),""))</f>
        <v/>
      </c>
    </row>
    <row r="196">
      <c r="A196" t="n">
        <v>195</v>
      </c>
      <c r="B196">
        <f>Schedule!$A$30</f>
        <v/>
      </c>
      <c r="C196">
        <f>Schedule!$D$30</f>
        <v/>
      </c>
      <c r="D196">
        <f>Schedule!$F$30</f>
        <v/>
      </c>
      <c r="E196" t="n">
        <v>5</v>
      </c>
      <c r="F196">
        <f>Schedule!$L$1</f>
        <v/>
      </c>
      <c r="G196">
        <f>Schedule!$L$2</f>
        <v/>
      </c>
      <c r="H196">
        <f>Schedule!$L$30</f>
        <v/>
      </c>
      <c r="I196">
        <f>IF($N196=1,VALUE(LEFT($H196,2)),"")</f>
        <v/>
      </c>
      <c r="J196">
        <f>IF($N196=1,VALUE(MID($H196,9,2)),"")</f>
        <v/>
      </c>
      <c r="K196">
        <f>IF($N196=1,MOD($J196-$I196,24),0)</f>
        <v/>
      </c>
      <c r="L196">
        <f>IF($N196=1,$E196*24+$I196,"")</f>
        <v/>
      </c>
      <c r="M196">
        <f>IF($N196=1,$L196+$K196,"")</f>
        <v/>
      </c>
      <c r="N196">
        <f>IF(ISNUMBER(SEARCH(" - ",$H196&amp;"")),1,0)</f>
        <v/>
      </c>
      <c r="O196">
        <f>IF(UPPER($H196&amp;"")="LEAVE",1,0)</f>
        <v/>
      </c>
      <c r="P196">
        <f>IF($N196=1,$K196,0)</f>
        <v/>
      </c>
      <c r="Q196">
        <f>IF($N196=0,"",IFERROR($L196-LOOKUP(2,1/(($B$2:$B195=$B196)*($N$2:$N195=1)),$M$2:$M195),""))</f>
        <v/>
      </c>
    </row>
    <row r="197">
      <c r="A197" t="n">
        <v>196</v>
      </c>
      <c r="B197">
        <f>Schedule!$A$30</f>
        <v/>
      </c>
      <c r="C197">
        <f>Schedule!$D$30</f>
        <v/>
      </c>
      <c r="D197">
        <f>Schedule!$F$30</f>
        <v/>
      </c>
      <c r="E197" t="n">
        <v>6</v>
      </c>
      <c r="F197">
        <f>Schedule!$M$1</f>
        <v/>
      </c>
      <c r="G197">
        <f>Schedule!$M$2</f>
        <v/>
      </c>
      <c r="H197">
        <f>Schedule!$M$30</f>
        <v/>
      </c>
      <c r="I197">
        <f>IF($N197=1,VALUE(LEFT($H197,2)),"")</f>
        <v/>
      </c>
      <c r="J197">
        <f>IF($N197=1,VALUE(MID($H197,9,2)),"")</f>
        <v/>
      </c>
      <c r="K197">
        <f>IF($N197=1,MOD($J197-$I197,24),0)</f>
        <v/>
      </c>
      <c r="L197">
        <f>IF($N197=1,$E197*24+$I197,"")</f>
        <v/>
      </c>
      <c r="M197">
        <f>IF($N197=1,$L197+$K197,"")</f>
        <v/>
      </c>
      <c r="N197">
        <f>IF(ISNUMBER(SEARCH(" - ",$H197&amp;"")),1,0)</f>
        <v/>
      </c>
      <c r="O197">
        <f>IF(UPPER($H197&amp;"")="LEAVE",1,0)</f>
        <v/>
      </c>
      <c r="P197">
        <f>IF($N197=1,$K197,0)</f>
        <v/>
      </c>
      <c r="Q197">
        <f>IF($N197=0,"",IFERROR($L197-LOOKUP(2,1/(($B$2:$B196=$B197)*($N$2:$N196=1)),$M$2:$M196),""))</f>
        <v/>
      </c>
    </row>
    <row r="198">
      <c r="A198" t="n">
        <v>197</v>
      </c>
      <c r="B198">
        <f>Schedule!$A$31</f>
        <v/>
      </c>
      <c r="C198">
        <f>Schedule!$D$31</f>
        <v/>
      </c>
      <c r="D198">
        <f>Schedule!$F$31</f>
        <v/>
      </c>
      <c r="E198" t="n">
        <v>0</v>
      </c>
      <c r="F198">
        <f>Schedule!$G$1</f>
        <v/>
      </c>
      <c r="G198">
        <f>Schedule!$G$2</f>
        <v/>
      </c>
      <c r="H198">
        <f>Schedule!$G$31</f>
        <v/>
      </c>
      <c r="I198">
        <f>IF($N198=1,VALUE(LEFT($H198,2)),"")</f>
        <v/>
      </c>
      <c r="J198">
        <f>IF($N198=1,VALUE(MID($H198,9,2)),"")</f>
        <v/>
      </c>
      <c r="K198">
        <f>IF($N198=1,MOD($J198-$I198,24),0)</f>
        <v/>
      </c>
      <c r="L198">
        <f>IF($N198=1,$E198*24+$I198,"")</f>
        <v/>
      </c>
      <c r="M198">
        <f>IF($N198=1,$L198+$K198,"")</f>
        <v/>
      </c>
      <c r="N198">
        <f>IF(ISNUMBER(SEARCH(" - ",$H198&amp;"")),1,0)</f>
        <v/>
      </c>
      <c r="O198">
        <f>IF(UPPER($H198&amp;"")="LEAVE",1,0)</f>
        <v/>
      </c>
      <c r="P198">
        <f>IF($N198=1,$K198,0)</f>
        <v/>
      </c>
      <c r="Q198">
        <f>IF($N198=0,"",IFERROR($L198-'Previous Engine'!$M$30,""))</f>
        <v/>
      </c>
    </row>
    <row r="199">
      <c r="A199" t="n">
        <v>198</v>
      </c>
      <c r="B199">
        <f>Schedule!$A$31</f>
        <v/>
      </c>
      <c r="C199">
        <f>Schedule!$D$31</f>
        <v/>
      </c>
      <c r="D199">
        <f>Schedule!$F$31</f>
        <v/>
      </c>
      <c r="E199" t="n">
        <v>1</v>
      </c>
      <c r="F199">
        <f>Schedule!$H$1</f>
        <v/>
      </c>
      <c r="G199">
        <f>Schedule!$H$2</f>
        <v/>
      </c>
      <c r="H199">
        <f>Schedule!$H$31</f>
        <v/>
      </c>
      <c r="I199">
        <f>IF($N199=1,VALUE(LEFT($H199,2)),"")</f>
        <v/>
      </c>
      <c r="J199">
        <f>IF($N199=1,VALUE(MID($H199,9,2)),"")</f>
        <v/>
      </c>
      <c r="K199">
        <f>IF($N199=1,MOD($J199-$I199,24),0)</f>
        <v/>
      </c>
      <c r="L199">
        <f>IF($N199=1,$E199*24+$I199,"")</f>
        <v/>
      </c>
      <c r="M199">
        <f>IF($N199=1,$L199+$K199,"")</f>
        <v/>
      </c>
      <c r="N199">
        <f>IF(ISNUMBER(SEARCH(" - ",$H199&amp;"")),1,0)</f>
        <v/>
      </c>
      <c r="O199">
        <f>IF(UPPER($H199&amp;"")="LEAVE",1,0)</f>
        <v/>
      </c>
      <c r="P199">
        <f>IF($N199=1,$K199,0)</f>
        <v/>
      </c>
      <c r="Q199">
        <f>IF($N199=0,"",IFERROR($L199-LOOKUP(2,1/(($B$2:$B198=$B199)*($N$2:$N198=1)),$M$2:$M198),""))</f>
        <v/>
      </c>
    </row>
    <row r="200">
      <c r="A200" t="n">
        <v>199</v>
      </c>
      <c r="B200">
        <f>Schedule!$A$31</f>
        <v/>
      </c>
      <c r="C200">
        <f>Schedule!$D$31</f>
        <v/>
      </c>
      <c r="D200">
        <f>Schedule!$F$31</f>
        <v/>
      </c>
      <c r="E200" t="n">
        <v>2</v>
      </c>
      <c r="F200">
        <f>Schedule!$I$1</f>
        <v/>
      </c>
      <c r="G200">
        <f>Schedule!$I$2</f>
        <v/>
      </c>
      <c r="H200">
        <f>Schedule!$I$31</f>
        <v/>
      </c>
      <c r="I200">
        <f>IF($N200=1,VALUE(LEFT($H200,2)),"")</f>
        <v/>
      </c>
      <c r="J200">
        <f>IF($N200=1,VALUE(MID($H200,9,2)),"")</f>
        <v/>
      </c>
      <c r="K200">
        <f>IF($N200=1,MOD($J200-$I200,24),0)</f>
        <v/>
      </c>
      <c r="L200">
        <f>IF($N200=1,$E200*24+$I200,"")</f>
        <v/>
      </c>
      <c r="M200">
        <f>IF($N200=1,$L200+$K200,"")</f>
        <v/>
      </c>
      <c r="N200">
        <f>IF(ISNUMBER(SEARCH(" - ",$H200&amp;"")),1,0)</f>
        <v/>
      </c>
      <c r="O200">
        <f>IF(UPPER($H200&amp;"")="LEAVE",1,0)</f>
        <v/>
      </c>
      <c r="P200">
        <f>IF($N200=1,$K200,0)</f>
        <v/>
      </c>
      <c r="Q200">
        <f>IF($N200=0,"",IFERROR($L200-LOOKUP(2,1/(($B$2:$B199=$B200)*($N$2:$N199=1)),$M$2:$M199),""))</f>
        <v/>
      </c>
    </row>
    <row r="201">
      <c r="A201" t="n">
        <v>200</v>
      </c>
      <c r="B201">
        <f>Schedule!$A$31</f>
        <v/>
      </c>
      <c r="C201">
        <f>Schedule!$D$31</f>
        <v/>
      </c>
      <c r="D201">
        <f>Schedule!$F$31</f>
        <v/>
      </c>
      <c r="E201" t="n">
        <v>3</v>
      </c>
      <c r="F201">
        <f>Schedule!$J$1</f>
        <v/>
      </c>
      <c r="G201">
        <f>Schedule!$J$2</f>
        <v/>
      </c>
      <c r="H201">
        <f>Schedule!$J$31</f>
        <v/>
      </c>
      <c r="I201">
        <f>IF($N201=1,VALUE(LEFT($H201,2)),"")</f>
        <v/>
      </c>
      <c r="J201">
        <f>IF($N201=1,VALUE(MID($H201,9,2)),"")</f>
        <v/>
      </c>
      <c r="K201">
        <f>IF($N201=1,MOD($J201-$I201,24),0)</f>
        <v/>
      </c>
      <c r="L201">
        <f>IF($N201=1,$E201*24+$I201,"")</f>
        <v/>
      </c>
      <c r="M201">
        <f>IF($N201=1,$L201+$K201,"")</f>
        <v/>
      </c>
      <c r="N201">
        <f>IF(ISNUMBER(SEARCH(" - ",$H201&amp;"")),1,0)</f>
        <v/>
      </c>
      <c r="O201">
        <f>IF(UPPER($H201&amp;"")="LEAVE",1,0)</f>
        <v/>
      </c>
      <c r="P201">
        <f>IF($N201=1,$K201,0)</f>
        <v/>
      </c>
      <c r="Q201">
        <f>IF($N201=0,"",IFERROR($L201-LOOKUP(2,1/(($B$2:$B200=$B201)*($N$2:$N200=1)),$M$2:$M200),""))</f>
        <v/>
      </c>
    </row>
    <row r="202">
      <c r="A202" t="n">
        <v>201</v>
      </c>
      <c r="B202">
        <f>Schedule!$A$31</f>
        <v/>
      </c>
      <c r="C202">
        <f>Schedule!$D$31</f>
        <v/>
      </c>
      <c r="D202">
        <f>Schedule!$F$31</f>
        <v/>
      </c>
      <c r="E202" t="n">
        <v>4</v>
      </c>
      <c r="F202">
        <f>Schedule!$K$1</f>
        <v/>
      </c>
      <c r="G202">
        <f>Schedule!$K$2</f>
        <v/>
      </c>
      <c r="H202">
        <f>Schedule!$K$31</f>
        <v/>
      </c>
      <c r="I202">
        <f>IF($N202=1,VALUE(LEFT($H202,2)),"")</f>
        <v/>
      </c>
      <c r="J202">
        <f>IF($N202=1,VALUE(MID($H202,9,2)),"")</f>
        <v/>
      </c>
      <c r="K202">
        <f>IF($N202=1,MOD($J202-$I202,24),0)</f>
        <v/>
      </c>
      <c r="L202">
        <f>IF($N202=1,$E202*24+$I202,"")</f>
        <v/>
      </c>
      <c r="M202">
        <f>IF($N202=1,$L202+$K202,"")</f>
        <v/>
      </c>
      <c r="N202">
        <f>IF(ISNUMBER(SEARCH(" - ",$H202&amp;"")),1,0)</f>
        <v/>
      </c>
      <c r="O202">
        <f>IF(UPPER($H202&amp;"")="LEAVE",1,0)</f>
        <v/>
      </c>
      <c r="P202">
        <f>IF($N202=1,$K202,0)</f>
        <v/>
      </c>
      <c r="Q202">
        <f>IF($N202=0,"",IFERROR($L202-LOOKUP(2,1/(($B$2:$B201=$B202)*($N$2:$N201=1)),$M$2:$M201),""))</f>
        <v/>
      </c>
    </row>
    <row r="203">
      <c r="A203" t="n">
        <v>202</v>
      </c>
      <c r="B203">
        <f>Schedule!$A$31</f>
        <v/>
      </c>
      <c r="C203">
        <f>Schedule!$D$31</f>
        <v/>
      </c>
      <c r="D203">
        <f>Schedule!$F$31</f>
        <v/>
      </c>
      <c r="E203" t="n">
        <v>5</v>
      </c>
      <c r="F203">
        <f>Schedule!$L$1</f>
        <v/>
      </c>
      <c r="G203">
        <f>Schedule!$L$2</f>
        <v/>
      </c>
      <c r="H203">
        <f>Schedule!$L$31</f>
        <v/>
      </c>
      <c r="I203">
        <f>IF($N203=1,VALUE(LEFT($H203,2)),"")</f>
        <v/>
      </c>
      <c r="J203">
        <f>IF($N203=1,VALUE(MID($H203,9,2)),"")</f>
        <v/>
      </c>
      <c r="K203">
        <f>IF($N203=1,MOD($J203-$I203,24),0)</f>
        <v/>
      </c>
      <c r="L203">
        <f>IF($N203=1,$E203*24+$I203,"")</f>
        <v/>
      </c>
      <c r="M203">
        <f>IF($N203=1,$L203+$K203,"")</f>
        <v/>
      </c>
      <c r="N203">
        <f>IF(ISNUMBER(SEARCH(" - ",$H203&amp;"")),1,0)</f>
        <v/>
      </c>
      <c r="O203">
        <f>IF(UPPER($H203&amp;"")="LEAVE",1,0)</f>
        <v/>
      </c>
      <c r="P203">
        <f>IF($N203=1,$K203,0)</f>
        <v/>
      </c>
      <c r="Q203">
        <f>IF($N203=0,"",IFERROR($L203-LOOKUP(2,1/(($B$2:$B202=$B203)*($N$2:$N202=1)),$M$2:$M202),""))</f>
        <v/>
      </c>
    </row>
    <row r="204">
      <c r="A204" t="n">
        <v>203</v>
      </c>
      <c r="B204">
        <f>Schedule!$A$31</f>
        <v/>
      </c>
      <c r="C204">
        <f>Schedule!$D$31</f>
        <v/>
      </c>
      <c r="D204">
        <f>Schedule!$F$31</f>
        <v/>
      </c>
      <c r="E204" t="n">
        <v>6</v>
      </c>
      <c r="F204">
        <f>Schedule!$M$1</f>
        <v/>
      </c>
      <c r="G204">
        <f>Schedule!$M$2</f>
        <v/>
      </c>
      <c r="H204">
        <f>Schedule!$M$31</f>
        <v/>
      </c>
      <c r="I204">
        <f>IF($N204=1,VALUE(LEFT($H204,2)),"")</f>
        <v/>
      </c>
      <c r="J204">
        <f>IF($N204=1,VALUE(MID($H204,9,2)),"")</f>
        <v/>
      </c>
      <c r="K204">
        <f>IF($N204=1,MOD($J204-$I204,24),0)</f>
        <v/>
      </c>
      <c r="L204">
        <f>IF($N204=1,$E204*24+$I204,"")</f>
        <v/>
      </c>
      <c r="M204">
        <f>IF($N204=1,$L204+$K204,"")</f>
        <v/>
      </c>
      <c r="N204">
        <f>IF(ISNUMBER(SEARCH(" - ",$H204&amp;"")),1,0)</f>
        <v/>
      </c>
      <c r="O204">
        <f>IF(UPPER($H204&amp;"")="LEAVE",1,0)</f>
        <v/>
      </c>
      <c r="P204">
        <f>IF($N204=1,$K204,0)</f>
        <v/>
      </c>
      <c r="Q204">
        <f>IF($N204=0,"",IFERROR($L204-LOOKUP(2,1/(($B$2:$B203=$B204)*($N$2:$N203=1)),$M$2:$M203),""))</f>
        <v/>
      </c>
    </row>
    <row r="205">
      <c r="A205" t="n">
        <v>204</v>
      </c>
      <c r="B205">
        <f>Schedule!$A$32</f>
        <v/>
      </c>
      <c r="C205">
        <f>Schedule!$D$32</f>
        <v/>
      </c>
      <c r="D205">
        <f>Schedule!$F$32</f>
        <v/>
      </c>
      <c r="E205" t="n">
        <v>0</v>
      </c>
      <c r="F205">
        <f>Schedule!$G$1</f>
        <v/>
      </c>
      <c r="G205">
        <f>Schedule!$G$2</f>
        <v/>
      </c>
      <c r="H205">
        <f>Schedule!$G$32</f>
        <v/>
      </c>
      <c r="I205">
        <f>IF($N205=1,VALUE(LEFT($H205,2)),"")</f>
        <v/>
      </c>
      <c r="J205">
        <f>IF($N205=1,VALUE(MID($H205,9,2)),"")</f>
        <v/>
      </c>
      <c r="K205">
        <f>IF($N205=1,MOD($J205-$I205,24),0)</f>
        <v/>
      </c>
      <c r="L205">
        <f>IF($N205=1,$E205*24+$I205,"")</f>
        <v/>
      </c>
      <c r="M205">
        <f>IF($N205=1,$L205+$K205,"")</f>
        <v/>
      </c>
      <c r="N205">
        <f>IF(ISNUMBER(SEARCH(" - ",$H205&amp;"")),1,0)</f>
        <v/>
      </c>
      <c r="O205">
        <f>IF(UPPER($H205&amp;"")="LEAVE",1,0)</f>
        <v/>
      </c>
      <c r="P205">
        <f>IF($N205=1,$K205,0)</f>
        <v/>
      </c>
      <c r="Q205">
        <f>IF($N205=0,"",IFERROR($L205-'Previous Engine'!$M$31,""))</f>
        <v/>
      </c>
    </row>
    <row r="206">
      <c r="A206" t="n">
        <v>205</v>
      </c>
      <c r="B206">
        <f>Schedule!$A$32</f>
        <v/>
      </c>
      <c r="C206">
        <f>Schedule!$D$32</f>
        <v/>
      </c>
      <c r="D206">
        <f>Schedule!$F$32</f>
        <v/>
      </c>
      <c r="E206" t="n">
        <v>1</v>
      </c>
      <c r="F206">
        <f>Schedule!$H$1</f>
        <v/>
      </c>
      <c r="G206">
        <f>Schedule!$H$2</f>
        <v/>
      </c>
      <c r="H206">
        <f>Schedule!$H$32</f>
        <v/>
      </c>
      <c r="I206">
        <f>IF($N206=1,VALUE(LEFT($H206,2)),"")</f>
        <v/>
      </c>
      <c r="J206">
        <f>IF($N206=1,VALUE(MID($H206,9,2)),"")</f>
        <v/>
      </c>
      <c r="K206">
        <f>IF($N206=1,MOD($J206-$I206,24),0)</f>
        <v/>
      </c>
      <c r="L206">
        <f>IF($N206=1,$E206*24+$I206,"")</f>
        <v/>
      </c>
      <c r="M206">
        <f>IF($N206=1,$L206+$K206,"")</f>
        <v/>
      </c>
      <c r="N206">
        <f>IF(ISNUMBER(SEARCH(" - ",$H206&amp;"")),1,0)</f>
        <v/>
      </c>
      <c r="O206">
        <f>IF(UPPER($H206&amp;"")="LEAVE",1,0)</f>
        <v/>
      </c>
      <c r="P206">
        <f>IF($N206=1,$K206,0)</f>
        <v/>
      </c>
      <c r="Q206">
        <f>IF($N206=0,"",IFERROR($L206-LOOKUP(2,1/(($B$2:$B205=$B206)*($N$2:$N205=1)),$M$2:$M205),""))</f>
        <v/>
      </c>
    </row>
    <row r="207">
      <c r="A207" t="n">
        <v>206</v>
      </c>
      <c r="B207">
        <f>Schedule!$A$32</f>
        <v/>
      </c>
      <c r="C207">
        <f>Schedule!$D$32</f>
        <v/>
      </c>
      <c r="D207">
        <f>Schedule!$F$32</f>
        <v/>
      </c>
      <c r="E207" t="n">
        <v>2</v>
      </c>
      <c r="F207">
        <f>Schedule!$I$1</f>
        <v/>
      </c>
      <c r="G207">
        <f>Schedule!$I$2</f>
        <v/>
      </c>
      <c r="H207">
        <f>Schedule!$I$32</f>
        <v/>
      </c>
      <c r="I207">
        <f>IF($N207=1,VALUE(LEFT($H207,2)),"")</f>
        <v/>
      </c>
      <c r="J207">
        <f>IF($N207=1,VALUE(MID($H207,9,2)),"")</f>
        <v/>
      </c>
      <c r="K207">
        <f>IF($N207=1,MOD($J207-$I207,24),0)</f>
        <v/>
      </c>
      <c r="L207">
        <f>IF($N207=1,$E207*24+$I207,"")</f>
        <v/>
      </c>
      <c r="M207">
        <f>IF($N207=1,$L207+$K207,"")</f>
        <v/>
      </c>
      <c r="N207">
        <f>IF(ISNUMBER(SEARCH(" - ",$H207&amp;"")),1,0)</f>
        <v/>
      </c>
      <c r="O207">
        <f>IF(UPPER($H207&amp;"")="LEAVE",1,0)</f>
        <v/>
      </c>
      <c r="P207">
        <f>IF($N207=1,$K207,0)</f>
        <v/>
      </c>
      <c r="Q207">
        <f>IF($N207=0,"",IFERROR($L207-LOOKUP(2,1/(($B$2:$B206=$B207)*($N$2:$N206=1)),$M$2:$M206),""))</f>
        <v/>
      </c>
    </row>
    <row r="208">
      <c r="A208" t="n">
        <v>207</v>
      </c>
      <c r="B208">
        <f>Schedule!$A$32</f>
        <v/>
      </c>
      <c r="C208">
        <f>Schedule!$D$32</f>
        <v/>
      </c>
      <c r="D208">
        <f>Schedule!$F$32</f>
        <v/>
      </c>
      <c r="E208" t="n">
        <v>3</v>
      </c>
      <c r="F208">
        <f>Schedule!$J$1</f>
        <v/>
      </c>
      <c r="G208">
        <f>Schedule!$J$2</f>
        <v/>
      </c>
      <c r="H208">
        <f>Schedule!$J$32</f>
        <v/>
      </c>
      <c r="I208">
        <f>IF($N208=1,VALUE(LEFT($H208,2)),"")</f>
        <v/>
      </c>
      <c r="J208">
        <f>IF($N208=1,VALUE(MID($H208,9,2)),"")</f>
        <v/>
      </c>
      <c r="K208">
        <f>IF($N208=1,MOD($J208-$I208,24),0)</f>
        <v/>
      </c>
      <c r="L208">
        <f>IF($N208=1,$E208*24+$I208,"")</f>
        <v/>
      </c>
      <c r="M208">
        <f>IF($N208=1,$L208+$K208,"")</f>
        <v/>
      </c>
      <c r="N208">
        <f>IF(ISNUMBER(SEARCH(" - ",$H208&amp;"")),1,0)</f>
        <v/>
      </c>
      <c r="O208">
        <f>IF(UPPER($H208&amp;"")="LEAVE",1,0)</f>
        <v/>
      </c>
      <c r="P208">
        <f>IF($N208=1,$K208,0)</f>
        <v/>
      </c>
      <c r="Q208">
        <f>IF($N208=0,"",IFERROR($L208-LOOKUP(2,1/(($B$2:$B207=$B208)*($N$2:$N207=1)),$M$2:$M207),""))</f>
        <v/>
      </c>
    </row>
    <row r="209">
      <c r="A209" t="n">
        <v>208</v>
      </c>
      <c r="B209">
        <f>Schedule!$A$32</f>
        <v/>
      </c>
      <c r="C209">
        <f>Schedule!$D$32</f>
        <v/>
      </c>
      <c r="D209">
        <f>Schedule!$F$32</f>
        <v/>
      </c>
      <c r="E209" t="n">
        <v>4</v>
      </c>
      <c r="F209">
        <f>Schedule!$K$1</f>
        <v/>
      </c>
      <c r="G209">
        <f>Schedule!$K$2</f>
        <v/>
      </c>
      <c r="H209">
        <f>Schedule!$K$32</f>
        <v/>
      </c>
      <c r="I209">
        <f>IF($N209=1,VALUE(LEFT($H209,2)),"")</f>
        <v/>
      </c>
      <c r="J209">
        <f>IF($N209=1,VALUE(MID($H209,9,2)),"")</f>
        <v/>
      </c>
      <c r="K209">
        <f>IF($N209=1,MOD($J209-$I209,24),0)</f>
        <v/>
      </c>
      <c r="L209">
        <f>IF($N209=1,$E209*24+$I209,"")</f>
        <v/>
      </c>
      <c r="M209">
        <f>IF($N209=1,$L209+$K209,"")</f>
        <v/>
      </c>
      <c r="N209">
        <f>IF(ISNUMBER(SEARCH(" - ",$H209&amp;"")),1,0)</f>
        <v/>
      </c>
      <c r="O209">
        <f>IF(UPPER($H209&amp;"")="LEAVE",1,0)</f>
        <v/>
      </c>
      <c r="P209">
        <f>IF($N209=1,$K209,0)</f>
        <v/>
      </c>
      <c r="Q209">
        <f>IF($N209=0,"",IFERROR($L209-LOOKUP(2,1/(($B$2:$B208=$B209)*($N$2:$N208=1)),$M$2:$M208),""))</f>
        <v/>
      </c>
    </row>
    <row r="210">
      <c r="A210" t="n">
        <v>209</v>
      </c>
      <c r="B210">
        <f>Schedule!$A$32</f>
        <v/>
      </c>
      <c r="C210">
        <f>Schedule!$D$32</f>
        <v/>
      </c>
      <c r="D210">
        <f>Schedule!$F$32</f>
        <v/>
      </c>
      <c r="E210" t="n">
        <v>5</v>
      </c>
      <c r="F210">
        <f>Schedule!$L$1</f>
        <v/>
      </c>
      <c r="G210">
        <f>Schedule!$L$2</f>
        <v/>
      </c>
      <c r="H210">
        <f>Schedule!$L$32</f>
        <v/>
      </c>
      <c r="I210">
        <f>IF($N210=1,VALUE(LEFT($H210,2)),"")</f>
        <v/>
      </c>
      <c r="J210">
        <f>IF($N210=1,VALUE(MID($H210,9,2)),"")</f>
        <v/>
      </c>
      <c r="K210">
        <f>IF($N210=1,MOD($J210-$I210,24),0)</f>
        <v/>
      </c>
      <c r="L210">
        <f>IF($N210=1,$E210*24+$I210,"")</f>
        <v/>
      </c>
      <c r="M210">
        <f>IF($N210=1,$L210+$K210,"")</f>
        <v/>
      </c>
      <c r="N210">
        <f>IF(ISNUMBER(SEARCH(" - ",$H210&amp;"")),1,0)</f>
        <v/>
      </c>
      <c r="O210">
        <f>IF(UPPER($H210&amp;"")="LEAVE",1,0)</f>
        <v/>
      </c>
      <c r="P210">
        <f>IF($N210=1,$K210,0)</f>
        <v/>
      </c>
      <c r="Q210">
        <f>IF($N210=0,"",IFERROR($L210-LOOKUP(2,1/(($B$2:$B209=$B210)*($N$2:$N209=1)),$M$2:$M209),""))</f>
        <v/>
      </c>
    </row>
    <row r="211">
      <c r="A211" t="n">
        <v>210</v>
      </c>
      <c r="B211">
        <f>Schedule!$A$32</f>
        <v/>
      </c>
      <c r="C211">
        <f>Schedule!$D$32</f>
        <v/>
      </c>
      <c r="D211">
        <f>Schedule!$F$32</f>
        <v/>
      </c>
      <c r="E211" t="n">
        <v>6</v>
      </c>
      <c r="F211">
        <f>Schedule!$M$1</f>
        <v/>
      </c>
      <c r="G211">
        <f>Schedule!$M$2</f>
        <v/>
      </c>
      <c r="H211">
        <f>Schedule!$M$32</f>
        <v/>
      </c>
      <c r="I211">
        <f>IF($N211=1,VALUE(LEFT($H211,2)),"")</f>
        <v/>
      </c>
      <c r="J211">
        <f>IF($N211=1,VALUE(MID($H211,9,2)),"")</f>
        <v/>
      </c>
      <c r="K211">
        <f>IF($N211=1,MOD($J211-$I211,24),0)</f>
        <v/>
      </c>
      <c r="L211">
        <f>IF($N211=1,$E211*24+$I211,"")</f>
        <v/>
      </c>
      <c r="M211">
        <f>IF($N211=1,$L211+$K211,"")</f>
        <v/>
      </c>
      <c r="N211">
        <f>IF(ISNUMBER(SEARCH(" - ",$H211&amp;"")),1,0)</f>
        <v/>
      </c>
      <c r="O211">
        <f>IF(UPPER($H211&amp;"")="LEAVE",1,0)</f>
        <v/>
      </c>
      <c r="P211">
        <f>IF($N211=1,$K211,0)</f>
        <v/>
      </c>
      <c r="Q211">
        <f>IF($N211=0,"",IFERROR($L211-LOOKUP(2,1/(($B$2:$B210=$B211)*($N$2:$N210=1)),$M$2:$M210),""))</f>
        <v/>
      </c>
    </row>
    <row r="212">
      <c r="A212" t="n">
        <v>211</v>
      </c>
      <c r="B212">
        <f>Schedule!$A$33</f>
        <v/>
      </c>
      <c r="C212">
        <f>Schedule!$D$33</f>
        <v/>
      </c>
      <c r="D212">
        <f>Schedule!$F$33</f>
        <v/>
      </c>
      <c r="E212" t="n">
        <v>0</v>
      </c>
      <c r="F212">
        <f>Schedule!$G$1</f>
        <v/>
      </c>
      <c r="G212">
        <f>Schedule!$G$2</f>
        <v/>
      </c>
      <c r="H212">
        <f>Schedule!$G$33</f>
        <v/>
      </c>
      <c r="I212">
        <f>IF($N212=1,VALUE(LEFT($H212,2)),"")</f>
        <v/>
      </c>
      <c r="J212">
        <f>IF($N212=1,VALUE(MID($H212,9,2)),"")</f>
        <v/>
      </c>
      <c r="K212">
        <f>IF($N212=1,MOD($J212-$I212,24),0)</f>
        <v/>
      </c>
      <c r="L212">
        <f>IF($N212=1,$E212*24+$I212,"")</f>
        <v/>
      </c>
      <c r="M212">
        <f>IF($N212=1,$L212+$K212,"")</f>
        <v/>
      </c>
      <c r="N212">
        <f>IF(ISNUMBER(SEARCH(" - ",$H212&amp;"")),1,0)</f>
        <v/>
      </c>
      <c r="O212">
        <f>IF(UPPER($H212&amp;"")="LEAVE",1,0)</f>
        <v/>
      </c>
      <c r="P212">
        <f>IF($N212=1,$K212,0)</f>
        <v/>
      </c>
      <c r="Q212">
        <f>IF($N212=0,"",IFERROR($L212-'Previous Engine'!$M$32,""))</f>
        <v/>
      </c>
    </row>
    <row r="213">
      <c r="A213" t="n">
        <v>212</v>
      </c>
      <c r="B213">
        <f>Schedule!$A$33</f>
        <v/>
      </c>
      <c r="C213">
        <f>Schedule!$D$33</f>
        <v/>
      </c>
      <c r="D213">
        <f>Schedule!$F$33</f>
        <v/>
      </c>
      <c r="E213" t="n">
        <v>1</v>
      </c>
      <c r="F213">
        <f>Schedule!$H$1</f>
        <v/>
      </c>
      <c r="G213">
        <f>Schedule!$H$2</f>
        <v/>
      </c>
      <c r="H213">
        <f>Schedule!$H$33</f>
        <v/>
      </c>
      <c r="I213">
        <f>IF($N213=1,VALUE(LEFT($H213,2)),"")</f>
        <v/>
      </c>
      <c r="J213">
        <f>IF($N213=1,VALUE(MID($H213,9,2)),"")</f>
        <v/>
      </c>
      <c r="K213">
        <f>IF($N213=1,MOD($J213-$I213,24),0)</f>
        <v/>
      </c>
      <c r="L213">
        <f>IF($N213=1,$E213*24+$I213,"")</f>
        <v/>
      </c>
      <c r="M213">
        <f>IF($N213=1,$L213+$K213,"")</f>
        <v/>
      </c>
      <c r="N213">
        <f>IF(ISNUMBER(SEARCH(" - ",$H213&amp;"")),1,0)</f>
        <v/>
      </c>
      <c r="O213">
        <f>IF(UPPER($H213&amp;"")="LEAVE",1,0)</f>
        <v/>
      </c>
      <c r="P213">
        <f>IF($N213=1,$K213,0)</f>
        <v/>
      </c>
      <c r="Q213">
        <f>IF($N213=0,"",IFERROR($L213-LOOKUP(2,1/(($B$2:$B212=$B213)*($N$2:$N212=1)),$M$2:$M212),""))</f>
        <v/>
      </c>
    </row>
    <row r="214">
      <c r="A214" t="n">
        <v>213</v>
      </c>
      <c r="B214">
        <f>Schedule!$A$33</f>
        <v/>
      </c>
      <c r="C214">
        <f>Schedule!$D$33</f>
        <v/>
      </c>
      <c r="D214">
        <f>Schedule!$F$33</f>
        <v/>
      </c>
      <c r="E214" t="n">
        <v>2</v>
      </c>
      <c r="F214">
        <f>Schedule!$I$1</f>
        <v/>
      </c>
      <c r="G214">
        <f>Schedule!$I$2</f>
        <v/>
      </c>
      <c r="H214">
        <f>Schedule!$I$33</f>
        <v/>
      </c>
      <c r="I214">
        <f>IF($N214=1,VALUE(LEFT($H214,2)),"")</f>
        <v/>
      </c>
      <c r="J214">
        <f>IF($N214=1,VALUE(MID($H214,9,2)),"")</f>
        <v/>
      </c>
      <c r="K214">
        <f>IF($N214=1,MOD($J214-$I214,24),0)</f>
        <v/>
      </c>
      <c r="L214">
        <f>IF($N214=1,$E214*24+$I214,"")</f>
        <v/>
      </c>
      <c r="M214">
        <f>IF($N214=1,$L214+$K214,"")</f>
        <v/>
      </c>
      <c r="N214">
        <f>IF(ISNUMBER(SEARCH(" - ",$H214&amp;"")),1,0)</f>
        <v/>
      </c>
      <c r="O214">
        <f>IF(UPPER($H214&amp;"")="LEAVE",1,0)</f>
        <v/>
      </c>
      <c r="P214">
        <f>IF($N214=1,$K214,0)</f>
        <v/>
      </c>
      <c r="Q214">
        <f>IF($N214=0,"",IFERROR($L214-LOOKUP(2,1/(($B$2:$B213=$B214)*($N$2:$N213=1)),$M$2:$M213),""))</f>
        <v/>
      </c>
    </row>
    <row r="215">
      <c r="A215" t="n">
        <v>214</v>
      </c>
      <c r="B215">
        <f>Schedule!$A$33</f>
        <v/>
      </c>
      <c r="C215">
        <f>Schedule!$D$33</f>
        <v/>
      </c>
      <c r="D215">
        <f>Schedule!$F$33</f>
        <v/>
      </c>
      <c r="E215" t="n">
        <v>3</v>
      </c>
      <c r="F215">
        <f>Schedule!$J$1</f>
        <v/>
      </c>
      <c r="G215">
        <f>Schedule!$J$2</f>
        <v/>
      </c>
      <c r="H215">
        <f>Schedule!$J$33</f>
        <v/>
      </c>
      <c r="I215">
        <f>IF($N215=1,VALUE(LEFT($H215,2)),"")</f>
        <v/>
      </c>
      <c r="J215">
        <f>IF($N215=1,VALUE(MID($H215,9,2)),"")</f>
        <v/>
      </c>
      <c r="K215">
        <f>IF($N215=1,MOD($J215-$I215,24),0)</f>
        <v/>
      </c>
      <c r="L215">
        <f>IF($N215=1,$E215*24+$I215,"")</f>
        <v/>
      </c>
      <c r="M215">
        <f>IF($N215=1,$L215+$K215,"")</f>
        <v/>
      </c>
      <c r="N215">
        <f>IF(ISNUMBER(SEARCH(" - ",$H215&amp;"")),1,0)</f>
        <v/>
      </c>
      <c r="O215">
        <f>IF(UPPER($H215&amp;"")="LEAVE",1,0)</f>
        <v/>
      </c>
      <c r="P215">
        <f>IF($N215=1,$K215,0)</f>
        <v/>
      </c>
      <c r="Q215">
        <f>IF($N215=0,"",IFERROR($L215-LOOKUP(2,1/(($B$2:$B214=$B215)*($N$2:$N214=1)),$M$2:$M214),""))</f>
        <v/>
      </c>
    </row>
    <row r="216">
      <c r="A216" t="n">
        <v>215</v>
      </c>
      <c r="B216">
        <f>Schedule!$A$33</f>
        <v/>
      </c>
      <c r="C216">
        <f>Schedule!$D$33</f>
        <v/>
      </c>
      <c r="D216">
        <f>Schedule!$F$33</f>
        <v/>
      </c>
      <c r="E216" t="n">
        <v>4</v>
      </c>
      <c r="F216">
        <f>Schedule!$K$1</f>
        <v/>
      </c>
      <c r="G216">
        <f>Schedule!$K$2</f>
        <v/>
      </c>
      <c r="H216">
        <f>Schedule!$K$33</f>
        <v/>
      </c>
      <c r="I216">
        <f>IF($N216=1,VALUE(LEFT($H216,2)),"")</f>
        <v/>
      </c>
      <c r="J216">
        <f>IF($N216=1,VALUE(MID($H216,9,2)),"")</f>
        <v/>
      </c>
      <c r="K216">
        <f>IF($N216=1,MOD($J216-$I216,24),0)</f>
        <v/>
      </c>
      <c r="L216">
        <f>IF($N216=1,$E216*24+$I216,"")</f>
        <v/>
      </c>
      <c r="M216">
        <f>IF($N216=1,$L216+$K216,"")</f>
        <v/>
      </c>
      <c r="N216">
        <f>IF(ISNUMBER(SEARCH(" - ",$H216&amp;"")),1,0)</f>
        <v/>
      </c>
      <c r="O216">
        <f>IF(UPPER($H216&amp;"")="LEAVE",1,0)</f>
        <v/>
      </c>
      <c r="P216">
        <f>IF($N216=1,$K216,0)</f>
        <v/>
      </c>
      <c r="Q216">
        <f>IF($N216=0,"",IFERROR($L216-LOOKUP(2,1/(($B$2:$B215=$B216)*($N$2:$N215=1)),$M$2:$M215),""))</f>
        <v/>
      </c>
    </row>
    <row r="217">
      <c r="A217" t="n">
        <v>216</v>
      </c>
      <c r="B217">
        <f>Schedule!$A$33</f>
        <v/>
      </c>
      <c r="C217">
        <f>Schedule!$D$33</f>
        <v/>
      </c>
      <c r="D217">
        <f>Schedule!$F$33</f>
        <v/>
      </c>
      <c r="E217" t="n">
        <v>5</v>
      </c>
      <c r="F217">
        <f>Schedule!$L$1</f>
        <v/>
      </c>
      <c r="G217">
        <f>Schedule!$L$2</f>
        <v/>
      </c>
      <c r="H217">
        <f>Schedule!$L$33</f>
        <v/>
      </c>
      <c r="I217">
        <f>IF($N217=1,VALUE(LEFT($H217,2)),"")</f>
        <v/>
      </c>
      <c r="J217">
        <f>IF($N217=1,VALUE(MID($H217,9,2)),"")</f>
        <v/>
      </c>
      <c r="K217">
        <f>IF($N217=1,MOD($J217-$I217,24),0)</f>
        <v/>
      </c>
      <c r="L217">
        <f>IF($N217=1,$E217*24+$I217,"")</f>
        <v/>
      </c>
      <c r="M217">
        <f>IF($N217=1,$L217+$K217,"")</f>
        <v/>
      </c>
      <c r="N217">
        <f>IF(ISNUMBER(SEARCH(" - ",$H217&amp;"")),1,0)</f>
        <v/>
      </c>
      <c r="O217">
        <f>IF(UPPER($H217&amp;"")="LEAVE",1,0)</f>
        <v/>
      </c>
      <c r="P217">
        <f>IF($N217=1,$K217,0)</f>
        <v/>
      </c>
      <c r="Q217">
        <f>IF($N217=0,"",IFERROR($L217-LOOKUP(2,1/(($B$2:$B216=$B217)*($N$2:$N216=1)),$M$2:$M216),""))</f>
        <v/>
      </c>
    </row>
    <row r="218">
      <c r="A218" t="n">
        <v>217</v>
      </c>
      <c r="B218">
        <f>Schedule!$A$33</f>
        <v/>
      </c>
      <c r="C218">
        <f>Schedule!$D$33</f>
        <v/>
      </c>
      <c r="D218">
        <f>Schedule!$F$33</f>
        <v/>
      </c>
      <c r="E218" t="n">
        <v>6</v>
      </c>
      <c r="F218">
        <f>Schedule!$M$1</f>
        <v/>
      </c>
      <c r="G218">
        <f>Schedule!$M$2</f>
        <v/>
      </c>
      <c r="H218">
        <f>Schedule!$M$33</f>
        <v/>
      </c>
      <c r="I218">
        <f>IF($N218=1,VALUE(LEFT($H218,2)),"")</f>
        <v/>
      </c>
      <c r="J218">
        <f>IF($N218=1,VALUE(MID($H218,9,2)),"")</f>
        <v/>
      </c>
      <c r="K218">
        <f>IF($N218=1,MOD($J218-$I218,24),0)</f>
        <v/>
      </c>
      <c r="L218">
        <f>IF($N218=1,$E218*24+$I218,"")</f>
        <v/>
      </c>
      <c r="M218">
        <f>IF($N218=1,$L218+$K218,"")</f>
        <v/>
      </c>
      <c r="N218">
        <f>IF(ISNUMBER(SEARCH(" - ",$H218&amp;"")),1,0)</f>
        <v/>
      </c>
      <c r="O218">
        <f>IF(UPPER($H218&amp;"")="LEAVE",1,0)</f>
        <v/>
      </c>
      <c r="P218">
        <f>IF($N218=1,$K218,0)</f>
        <v/>
      </c>
      <c r="Q218">
        <f>IF($N218=0,"",IFERROR($L218-LOOKUP(2,1/(($B$2:$B217=$B218)*($N$2:$N217=1)),$M$2:$M217),""))</f>
        <v/>
      </c>
    </row>
    <row r="219">
      <c r="A219" t="n">
        <v>218</v>
      </c>
      <c r="B219">
        <f>Schedule!$A$34</f>
        <v/>
      </c>
      <c r="C219">
        <f>Schedule!$D$34</f>
        <v/>
      </c>
      <c r="D219">
        <f>Schedule!$F$34</f>
        <v/>
      </c>
      <c r="E219" t="n">
        <v>0</v>
      </c>
      <c r="F219">
        <f>Schedule!$G$1</f>
        <v/>
      </c>
      <c r="G219">
        <f>Schedule!$G$2</f>
        <v/>
      </c>
      <c r="H219">
        <f>Schedule!$G$34</f>
        <v/>
      </c>
      <c r="I219">
        <f>IF($N219=1,VALUE(LEFT($H219,2)),"")</f>
        <v/>
      </c>
      <c r="J219">
        <f>IF($N219=1,VALUE(MID($H219,9,2)),"")</f>
        <v/>
      </c>
      <c r="K219">
        <f>IF($N219=1,MOD($J219-$I219,24),0)</f>
        <v/>
      </c>
      <c r="L219">
        <f>IF($N219=1,$E219*24+$I219,"")</f>
        <v/>
      </c>
      <c r="M219">
        <f>IF($N219=1,$L219+$K219,"")</f>
        <v/>
      </c>
      <c r="N219">
        <f>IF(ISNUMBER(SEARCH(" - ",$H219&amp;"")),1,0)</f>
        <v/>
      </c>
      <c r="O219">
        <f>IF(UPPER($H219&amp;"")="LEAVE",1,0)</f>
        <v/>
      </c>
      <c r="P219">
        <f>IF($N219=1,$K219,0)</f>
        <v/>
      </c>
      <c r="Q219">
        <f>IF($N219=0,"",IFERROR($L219-'Previous Engine'!$M$33,""))</f>
        <v/>
      </c>
    </row>
    <row r="220">
      <c r="A220" t="n">
        <v>219</v>
      </c>
      <c r="B220">
        <f>Schedule!$A$34</f>
        <v/>
      </c>
      <c r="C220">
        <f>Schedule!$D$34</f>
        <v/>
      </c>
      <c r="D220">
        <f>Schedule!$F$34</f>
        <v/>
      </c>
      <c r="E220" t="n">
        <v>1</v>
      </c>
      <c r="F220">
        <f>Schedule!$H$1</f>
        <v/>
      </c>
      <c r="G220">
        <f>Schedule!$H$2</f>
        <v/>
      </c>
      <c r="H220">
        <f>Schedule!$H$34</f>
        <v/>
      </c>
      <c r="I220">
        <f>IF($N220=1,VALUE(LEFT($H220,2)),"")</f>
        <v/>
      </c>
      <c r="J220">
        <f>IF($N220=1,VALUE(MID($H220,9,2)),"")</f>
        <v/>
      </c>
      <c r="K220">
        <f>IF($N220=1,MOD($J220-$I220,24),0)</f>
        <v/>
      </c>
      <c r="L220">
        <f>IF($N220=1,$E220*24+$I220,"")</f>
        <v/>
      </c>
      <c r="M220">
        <f>IF($N220=1,$L220+$K220,"")</f>
        <v/>
      </c>
      <c r="N220">
        <f>IF(ISNUMBER(SEARCH(" - ",$H220&amp;"")),1,0)</f>
        <v/>
      </c>
      <c r="O220">
        <f>IF(UPPER($H220&amp;"")="LEAVE",1,0)</f>
        <v/>
      </c>
      <c r="P220">
        <f>IF($N220=1,$K220,0)</f>
        <v/>
      </c>
      <c r="Q220">
        <f>IF($N220=0,"",IFERROR($L220-LOOKUP(2,1/(($B$2:$B219=$B220)*($N$2:$N219=1)),$M$2:$M219),""))</f>
        <v/>
      </c>
    </row>
    <row r="221">
      <c r="A221" t="n">
        <v>220</v>
      </c>
      <c r="B221">
        <f>Schedule!$A$34</f>
        <v/>
      </c>
      <c r="C221">
        <f>Schedule!$D$34</f>
        <v/>
      </c>
      <c r="D221">
        <f>Schedule!$F$34</f>
        <v/>
      </c>
      <c r="E221" t="n">
        <v>2</v>
      </c>
      <c r="F221">
        <f>Schedule!$I$1</f>
        <v/>
      </c>
      <c r="G221">
        <f>Schedule!$I$2</f>
        <v/>
      </c>
      <c r="H221">
        <f>Schedule!$I$34</f>
        <v/>
      </c>
      <c r="I221">
        <f>IF($N221=1,VALUE(LEFT($H221,2)),"")</f>
        <v/>
      </c>
      <c r="J221">
        <f>IF($N221=1,VALUE(MID($H221,9,2)),"")</f>
        <v/>
      </c>
      <c r="K221">
        <f>IF($N221=1,MOD($J221-$I221,24),0)</f>
        <v/>
      </c>
      <c r="L221">
        <f>IF($N221=1,$E221*24+$I221,"")</f>
        <v/>
      </c>
      <c r="M221">
        <f>IF($N221=1,$L221+$K221,"")</f>
        <v/>
      </c>
      <c r="N221">
        <f>IF(ISNUMBER(SEARCH(" - ",$H221&amp;"")),1,0)</f>
        <v/>
      </c>
      <c r="O221">
        <f>IF(UPPER($H221&amp;"")="LEAVE",1,0)</f>
        <v/>
      </c>
      <c r="P221">
        <f>IF($N221=1,$K221,0)</f>
        <v/>
      </c>
      <c r="Q221">
        <f>IF($N221=0,"",IFERROR($L221-LOOKUP(2,1/(($B$2:$B220=$B221)*($N$2:$N220=1)),$M$2:$M220),""))</f>
        <v/>
      </c>
    </row>
    <row r="222">
      <c r="A222" t="n">
        <v>221</v>
      </c>
      <c r="B222">
        <f>Schedule!$A$34</f>
        <v/>
      </c>
      <c r="C222">
        <f>Schedule!$D$34</f>
        <v/>
      </c>
      <c r="D222">
        <f>Schedule!$F$34</f>
        <v/>
      </c>
      <c r="E222" t="n">
        <v>3</v>
      </c>
      <c r="F222">
        <f>Schedule!$J$1</f>
        <v/>
      </c>
      <c r="G222">
        <f>Schedule!$J$2</f>
        <v/>
      </c>
      <c r="H222">
        <f>Schedule!$J$34</f>
        <v/>
      </c>
      <c r="I222">
        <f>IF($N222=1,VALUE(LEFT($H222,2)),"")</f>
        <v/>
      </c>
      <c r="J222">
        <f>IF($N222=1,VALUE(MID($H222,9,2)),"")</f>
        <v/>
      </c>
      <c r="K222">
        <f>IF($N222=1,MOD($J222-$I222,24),0)</f>
        <v/>
      </c>
      <c r="L222">
        <f>IF($N222=1,$E222*24+$I222,"")</f>
        <v/>
      </c>
      <c r="M222">
        <f>IF($N222=1,$L222+$K222,"")</f>
        <v/>
      </c>
      <c r="N222">
        <f>IF(ISNUMBER(SEARCH(" - ",$H222&amp;"")),1,0)</f>
        <v/>
      </c>
      <c r="O222">
        <f>IF(UPPER($H222&amp;"")="LEAVE",1,0)</f>
        <v/>
      </c>
      <c r="P222">
        <f>IF($N222=1,$K222,0)</f>
        <v/>
      </c>
      <c r="Q222">
        <f>IF($N222=0,"",IFERROR($L222-LOOKUP(2,1/(($B$2:$B221=$B222)*($N$2:$N221=1)),$M$2:$M221),""))</f>
        <v/>
      </c>
    </row>
    <row r="223">
      <c r="A223" t="n">
        <v>222</v>
      </c>
      <c r="B223">
        <f>Schedule!$A$34</f>
        <v/>
      </c>
      <c r="C223">
        <f>Schedule!$D$34</f>
        <v/>
      </c>
      <c r="D223">
        <f>Schedule!$F$34</f>
        <v/>
      </c>
      <c r="E223" t="n">
        <v>4</v>
      </c>
      <c r="F223">
        <f>Schedule!$K$1</f>
        <v/>
      </c>
      <c r="G223">
        <f>Schedule!$K$2</f>
        <v/>
      </c>
      <c r="H223">
        <f>Schedule!$K$34</f>
        <v/>
      </c>
      <c r="I223">
        <f>IF($N223=1,VALUE(LEFT($H223,2)),"")</f>
        <v/>
      </c>
      <c r="J223">
        <f>IF($N223=1,VALUE(MID($H223,9,2)),"")</f>
        <v/>
      </c>
      <c r="K223">
        <f>IF($N223=1,MOD($J223-$I223,24),0)</f>
        <v/>
      </c>
      <c r="L223">
        <f>IF($N223=1,$E223*24+$I223,"")</f>
        <v/>
      </c>
      <c r="M223">
        <f>IF($N223=1,$L223+$K223,"")</f>
        <v/>
      </c>
      <c r="N223">
        <f>IF(ISNUMBER(SEARCH(" - ",$H223&amp;"")),1,0)</f>
        <v/>
      </c>
      <c r="O223">
        <f>IF(UPPER($H223&amp;"")="LEAVE",1,0)</f>
        <v/>
      </c>
      <c r="P223">
        <f>IF($N223=1,$K223,0)</f>
        <v/>
      </c>
      <c r="Q223">
        <f>IF($N223=0,"",IFERROR($L223-LOOKUP(2,1/(($B$2:$B222=$B223)*($N$2:$N222=1)),$M$2:$M222),""))</f>
        <v/>
      </c>
    </row>
    <row r="224">
      <c r="A224" t="n">
        <v>223</v>
      </c>
      <c r="B224">
        <f>Schedule!$A$34</f>
        <v/>
      </c>
      <c r="C224">
        <f>Schedule!$D$34</f>
        <v/>
      </c>
      <c r="D224">
        <f>Schedule!$F$34</f>
        <v/>
      </c>
      <c r="E224" t="n">
        <v>5</v>
      </c>
      <c r="F224">
        <f>Schedule!$L$1</f>
        <v/>
      </c>
      <c r="G224">
        <f>Schedule!$L$2</f>
        <v/>
      </c>
      <c r="H224">
        <f>Schedule!$L$34</f>
        <v/>
      </c>
      <c r="I224">
        <f>IF($N224=1,VALUE(LEFT($H224,2)),"")</f>
        <v/>
      </c>
      <c r="J224">
        <f>IF($N224=1,VALUE(MID($H224,9,2)),"")</f>
        <v/>
      </c>
      <c r="K224">
        <f>IF($N224=1,MOD($J224-$I224,24),0)</f>
        <v/>
      </c>
      <c r="L224">
        <f>IF($N224=1,$E224*24+$I224,"")</f>
        <v/>
      </c>
      <c r="M224">
        <f>IF($N224=1,$L224+$K224,"")</f>
        <v/>
      </c>
      <c r="N224">
        <f>IF(ISNUMBER(SEARCH(" - ",$H224&amp;"")),1,0)</f>
        <v/>
      </c>
      <c r="O224">
        <f>IF(UPPER($H224&amp;"")="LEAVE",1,0)</f>
        <v/>
      </c>
      <c r="P224">
        <f>IF($N224=1,$K224,0)</f>
        <v/>
      </c>
      <c r="Q224">
        <f>IF($N224=0,"",IFERROR($L224-LOOKUP(2,1/(($B$2:$B223=$B224)*($N$2:$N223=1)),$M$2:$M223),""))</f>
        <v/>
      </c>
    </row>
    <row r="225">
      <c r="A225" t="n">
        <v>224</v>
      </c>
      <c r="B225">
        <f>Schedule!$A$34</f>
        <v/>
      </c>
      <c r="C225">
        <f>Schedule!$D$34</f>
        <v/>
      </c>
      <c r="D225">
        <f>Schedule!$F$34</f>
        <v/>
      </c>
      <c r="E225" t="n">
        <v>6</v>
      </c>
      <c r="F225">
        <f>Schedule!$M$1</f>
        <v/>
      </c>
      <c r="G225">
        <f>Schedule!$M$2</f>
        <v/>
      </c>
      <c r="H225">
        <f>Schedule!$M$34</f>
        <v/>
      </c>
      <c r="I225">
        <f>IF($N225=1,VALUE(LEFT($H225,2)),"")</f>
        <v/>
      </c>
      <c r="J225">
        <f>IF($N225=1,VALUE(MID($H225,9,2)),"")</f>
        <v/>
      </c>
      <c r="K225">
        <f>IF($N225=1,MOD($J225-$I225,24),0)</f>
        <v/>
      </c>
      <c r="L225">
        <f>IF($N225=1,$E225*24+$I225,"")</f>
        <v/>
      </c>
      <c r="M225">
        <f>IF($N225=1,$L225+$K225,"")</f>
        <v/>
      </c>
      <c r="N225">
        <f>IF(ISNUMBER(SEARCH(" - ",$H225&amp;"")),1,0)</f>
        <v/>
      </c>
      <c r="O225">
        <f>IF(UPPER($H225&amp;"")="LEAVE",1,0)</f>
        <v/>
      </c>
      <c r="P225">
        <f>IF($N225=1,$K225,0)</f>
        <v/>
      </c>
      <c r="Q225">
        <f>IF($N225=0,"",IFERROR($L225-LOOKUP(2,1/(($B$2:$B224=$B225)*($N$2:$N224=1)),$M$2:$M224),""))</f>
        <v/>
      </c>
    </row>
    <row r="226">
      <c r="A226" t="n">
        <v>225</v>
      </c>
      <c r="B226">
        <f>Schedule!$A$35</f>
        <v/>
      </c>
      <c r="C226">
        <f>Schedule!$D$35</f>
        <v/>
      </c>
      <c r="D226">
        <f>Schedule!$F$35</f>
        <v/>
      </c>
      <c r="E226" t="n">
        <v>0</v>
      </c>
      <c r="F226">
        <f>Schedule!$G$1</f>
        <v/>
      </c>
      <c r="G226">
        <f>Schedule!$G$2</f>
        <v/>
      </c>
      <c r="H226">
        <f>Schedule!$G$35</f>
        <v/>
      </c>
      <c r="I226">
        <f>IF($N226=1,VALUE(LEFT($H226,2)),"")</f>
        <v/>
      </c>
      <c r="J226">
        <f>IF($N226=1,VALUE(MID($H226,9,2)),"")</f>
        <v/>
      </c>
      <c r="K226">
        <f>IF($N226=1,MOD($J226-$I226,24),0)</f>
        <v/>
      </c>
      <c r="L226">
        <f>IF($N226=1,$E226*24+$I226,"")</f>
        <v/>
      </c>
      <c r="M226">
        <f>IF($N226=1,$L226+$K226,"")</f>
        <v/>
      </c>
      <c r="N226">
        <f>IF(ISNUMBER(SEARCH(" - ",$H226&amp;"")),1,0)</f>
        <v/>
      </c>
      <c r="O226">
        <f>IF(UPPER($H226&amp;"")="LEAVE",1,0)</f>
        <v/>
      </c>
      <c r="P226">
        <f>IF($N226=1,$K226,0)</f>
        <v/>
      </c>
      <c r="Q226">
        <f>IF($N226=0,"",IFERROR($L226-'Previous Engine'!$M$34,""))</f>
        <v/>
      </c>
    </row>
    <row r="227">
      <c r="A227" t="n">
        <v>226</v>
      </c>
      <c r="B227">
        <f>Schedule!$A$35</f>
        <v/>
      </c>
      <c r="C227">
        <f>Schedule!$D$35</f>
        <v/>
      </c>
      <c r="D227">
        <f>Schedule!$F$35</f>
        <v/>
      </c>
      <c r="E227" t="n">
        <v>1</v>
      </c>
      <c r="F227">
        <f>Schedule!$H$1</f>
        <v/>
      </c>
      <c r="G227">
        <f>Schedule!$H$2</f>
        <v/>
      </c>
      <c r="H227">
        <f>Schedule!$H$35</f>
        <v/>
      </c>
      <c r="I227">
        <f>IF($N227=1,VALUE(LEFT($H227,2)),"")</f>
        <v/>
      </c>
      <c r="J227">
        <f>IF($N227=1,VALUE(MID($H227,9,2)),"")</f>
        <v/>
      </c>
      <c r="K227">
        <f>IF($N227=1,MOD($J227-$I227,24),0)</f>
        <v/>
      </c>
      <c r="L227">
        <f>IF($N227=1,$E227*24+$I227,"")</f>
        <v/>
      </c>
      <c r="M227">
        <f>IF($N227=1,$L227+$K227,"")</f>
        <v/>
      </c>
      <c r="N227">
        <f>IF(ISNUMBER(SEARCH(" - ",$H227&amp;"")),1,0)</f>
        <v/>
      </c>
      <c r="O227">
        <f>IF(UPPER($H227&amp;"")="LEAVE",1,0)</f>
        <v/>
      </c>
      <c r="P227">
        <f>IF($N227=1,$K227,0)</f>
        <v/>
      </c>
      <c r="Q227">
        <f>IF($N227=0,"",IFERROR($L227-LOOKUP(2,1/(($B$2:$B226=$B227)*($N$2:$N226=1)),$M$2:$M226),""))</f>
        <v/>
      </c>
    </row>
    <row r="228">
      <c r="A228" t="n">
        <v>227</v>
      </c>
      <c r="B228">
        <f>Schedule!$A$35</f>
        <v/>
      </c>
      <c r="C228">
        <f>Schedule!$D$35</f>
        <v/>
      </c>
      <c r="D228">
        <f>Schedule!$F$35</f>
        <v/>
      </c>
      <c r="E228" t="n">
        <v>2</v>
      </c>
      <c r="F228">
        <f>Schedule!$I$1</f>
        <v/>
      </c>
      <c r="G228">
        <f>Schedule!$I$2</f>
        <v/>
      </c>
      <c r="H228">
        <f>Schedule!$I$35</f>
        <v/>
      </c>
      <c r="I228">
        <f>IF($N228=1,VALUE(LEFT($H228,2)),"")</f>
        <v/>
      </c>
      <c r="J228">
        <f>IF($N228=1,VALUE(MID($H228,9,2)),"")</f>
        <v/>
      </c>
      <c r="K228">
        <f>IF($N228=1,MOD($J228-$I228,24),0)</f>
        <v/>
      </c>
      <c r="L228">
        <f>IF($N228=1,$E228*24+$I228,"")</f>
        <v/>
      </c>
      <c r="M228">
        <f>IF($N228=1,$L228+$K228,"")</f>
        <v/>
      </c>
      <c r="N228">
        <f>IF(ISNUMBER(SEARCH(" - ",$H228&amp;"")),1,0)</f>
        <v/>
      </c>
      <c r="O228">
        <f>IF(UPPER($H228&amp;"")="LEAVE",1,0)</f>
        <v/>
      </c>
      <c r="P228">
        <f>IF($N228=1,$K228,0)</f>
        <v/>
      </c>
      <c r="Q228">
        <f>IF($N228=0,"",IFERROR($L228-LOOKUP(2,1/(($B$2:$B227=$B228)*($N$2:$N227=1)),$M$2:$M227),""))</f>
        <v/>
      </c>
    </row>
    <row r="229">
      <c r="A229" t="n">
        <v>228</v>
      </c>
      <c r="B229">
        <f>Schedule!$A$35</f>
        <v/>
      </c>
      <c r="C229">
        <f>Schedule!$D$35</f>
        <v/>
      </c>
      <c r="D229">
        <f>Schedule!$F$35</f>
        <v/>
      </c>
      <c r="E229" t="n">
        <v>3</v>
      </c>
      <c r="F229">
        <f>Schedule!$J$1</f>
        <v/>
      </c>
      <c r="G229">
        <f>Schedule!$J$2</f>
        <v/>
      </c>
      <c r="H229">
        <f>Schedule!$J$35</f>
        <v/>
      </c>
      <c r="I229">
        <f>IF($N229=1,VALUE(LEFT($H229,2)),"")</f>
        <v/>
      </c>
      <c r="J229">
        <f>IF($N229=1,VALUE(MID($H229,9,2)),"")</f>
        <v/>
      </c>
      <c r="K229">
        <f>IF($N229=1,MOD($J229-$I229,24),0)</f>
        <v/>
      </c>
      <c r="L229">
        <f>IF($N229=1,$E229*24+$I229,"")</f>
        <v/>
      </c>
      <c r="M229">
        <f>IF($N229=1,$L229+$K229,"")</f>
        <v/>
      </c>
      <c r="N229">
        <f>IF(ISNUMBER(SEARCH(" - ",$H229&amp;"")),1,0)</f>
        <v/>
      </c>
      <c r="O229">
        <f>IF(UPPER($H229&amp;"")="LEAVE",1,0)</f>
        <v/>
      </c>
      <c r="P229">
        <f>IF($N229=1,$K229,0)</f>
        <v/>
      </c>
      <c r="Q229">
        <f>IF($N229=0,"",IFERROR($L229-LOOKUP(2,1/(($B$2:$B228=$B229)*($N$2:$N228=1)),$M$2:$M228),""))</f>
        <v/>
      </c>
    </row>
    <row r="230">
      <c r="A230" t="n">
        <v>229</v>
      </c>
      <c r="B230">
        <f>Schedule!$A$35</f>
        <v/>
      </c>
      <c r="C230">
        <f>Schedule!$D$35</f>
        <v/>
      </c>
      <c r="D230">
        <f>Schedule!$F$35</f>
        <v/>
      </c>
      <c r="E230" t="n">
        <v>4</v>
      </c>
      <c r="F230">
        <f>Schedule!$K$1</f>
        <v/>
      </c>
      <c r="G230">
        <f>Schedule!$K$2</f>
        <v/>
      </c>
      <c r="H230">
        <f>Schedule!$K$35</f>
        <v/>
      </c>
      <c r="I230">
        <f>IF($N230=1,VALUE(LEFT($H230,2)),"")</f>
        <v/>
      </c>
      <c r="J230">
        <f>IF($N230=1,VALUE(MID($H230,9,2)),"")</f>
        <v/>
      </c>
      <c r="K230">
        <f>IF($N230=1,MOD($J230-$I230,24),0)</f>
        <v/>
      </c>
      <c r="L230">
        <f>IF($N230=1,$E230*24+$I230,"")</f>
        <v/>
      </c>
      <c r="M230">
        <f>IF($N230=1,$L230+$K230,"")</f>
        <v/>
      </c>
      <c r="N230">
        <f>IF(ISNUMBER(SEARCH(" - ",$H230&amp;"")),1,0)</f>
        <v/>
      </c>
      <c r="O230">
        <f>IF(UPPER($H230&amp;"")="LEAVE",1,0)</f>
        <v/>
      </c>
      <c r="P230">
        <f>IF($N230=1,$K230,0)</f>
        <v/>
      </c>
      <c r="Q230">
        <f>IF($N230=0,"",IFERROR($L230-LOOKUP(2,1/(($B$2:$B229=$B230)*($N$2:$N229=1)),$M$2:$M229),""))</f>
        <v/>
      </c>
    </row>
    <row r="231">
      <c r="A231" t="n">
        <v>230</v>
      </c>
      <c r="B231">
        <f>Schedule!$A$35</f>
        <v/>
      </c>
      <c r="C231">
        <f>Schedule!$D$35</f>
        <v/>
      </c>
      <c r="D231">
        <f>Schedule!$F$35</f>
        <v/>
      </c>
      <c r="E231" t="n">
        <v>5</v>
      </c>
      <c r="F231">
        <f>Schedule!$L$1</f>
        <v/>
      </c>
      <c r="G231">
        <f>Schedule!$L$2</f>
        <v/>
      </c>
      <c r="H231">
        <f>Schedule!$L$35</f>
        <v/>
      </c>
      <c r="I231">
        <f>IF($N231=1,VALUE(LEFT($H231,2)),"")</f>
        <v/>
      </c>
      <c r="J231">
        <f>IF($N231=1,VALUE(MID($H231,9,2)),"")</f>
        <v/>
      </c>
      <c r="K231">
        <f>IF($N231=1,MOD($J231-$I231,24),0)</f>
        <v/>
      </c>
      <c r="L231">
        <f>IF($N231=1,$E231*24+$I231,"")</f>
        <v/>
      </c>
      <c r="M231">
        <f>IF($N231=1,$L231+$K231,"")</f>
        <v/>
      </c>
      <c r="N231">
        <f>IF(ISNUMBER(SEARCH(" - ",$H231&amp;"")),1,0)</f>
        <v/>
      </c>
      <c r="O231">
        <f>IF(UPPER($H231&amp;"")="LEAVE",1,0)</f>
        <v/>
      </c>
      <c r="P231">
        <f>IF($N231=1,$K231,0)</f>
        <v/>
      </c>
      <c r="Q231">
        <f>IF($N231=0,"",IFERROR($L231-LOOKUP(2,1/(($B$2:$B230=$B231)*($N$2:$N230=1)),$M$2:$M230),""))</f>
        <v/>
      </c>
    </row>
    <row r="232">
      <c r="A232" t="n">
        <v>231</v>
      </c>
      <c r="B232">
        <f>Schedule!$A$35</f>
        <v/>
      </c>
      <c r="C232">
        <f>Schedule!$D$35</f>
        <v/>
      </c>
      <c r="D232">
        <f>Schedule!$F$35</f>
        <v/>
      </c>
      <c r="E232" t="n">
        <v>6</v>
      </c>
      <c r="F232">
        <f>Schedule!$M$1</f>
        <v/>
      </c>
      <c r="G232">
        <f>Schedule!$M$2</f>
        <v/>
      </c>
      <c r="H232">
        <f>Schedule!$M$35</f>
        <v/>
      </c>
      <c r="I232">
        <f>IF($N232=1,VALUE(LEFT($H232,2)),"")</f>
        <v/>
      </c>
      <c r="J232">
        <f>IF($N232=1,VALUE(MID($H232,9,2)),"")</f>
        <v/>
      </c>
      <c r="K232">
        <f>IF($N232=1,MOD($J232-$I232,24),0)</f>
        <v/>
      </c>
      <c r="L232">
        <f>IF($N232=1,$E232*24+$I232,"")</f>
        <v/>
      </c>
      <c r="M232">
        <f>IF($N232=1,$L232+$K232,"")</f>
        <v/>
      </c>
      <c r="N232">
        <f>IF(ISNUMBER(SEARCH(" - ",$H232&amp;"")),1,0)</f>
        <v/>
      </c>
      <c r="O232">
        <f>IF(UPPER($H232&amp;"")="LEAVE",1,0)</f>
        <v/>
      </c>
      <c r="P232">
        <f>IF($N232=1,$K232,0)</f>
        <v/>
      </c>
      <c r="Q232">
        <f>IF($N232=0,"",IFERROR($L232-LOOKUP(2,1/(($B$2:$B231=$B232)*($N$2:$N231=1)),$M$2:$M231),""))</f>
        <v/>
      </c>
    </row>
    <row r="233">
      <c r="A233" t="n">
        <v>232</v>
      </c>
      <c r="B233">
        <f>Schedule!$A$36</f>
        <v/>
      </c>
      <c r="C233">
        <f>Schedule!$D$36</f>
        <v/>
      </c>
      <c r="D233">
        <f>Schedule!$F$36</f>
        <v/>
      </c>
      <c r="E233" t="n">
        <v>0</v>
      </c>
      <c r="F233">
        <f>Schedule!$G$1</f>
        <v/>
      </c>
      <c r="G233">
        <f>Schedule!$G$2</f>
        <v/>
      </c>
      <c r="H233">
        <f>Schedule!$G$36</f>
        <v/>
      </c>
      <c r="I233">
        <f>IF($N233=1,VALUE(LEFT($H233,2)),"")</f>
        <v/>
      </c>
      <c r="J233">
        <f>IF($N233=1,VALUE(MID($H233,9,2)),"")</f>
        <v/>
      </c>
      <c r="K233">
        <f>IF($N233=1,MOD($J233-$I233,24),0)</f>
        <v/>
      </c>
      <c r="L233">
        <f>IF($N233=1,$E233*24+$I233,"")</f>
        <v/>
      </c>
      <c r="M233">
        <f>IF($N233=1,$L233+$K233,"")</f>
        <v/>
      </c>
      <c r="N233">
        <f>IF(ISNUMBER(SEARCH(" - ",$H233&amp;"")),1,0)</f>
        <v/>
      </c>
      <c r="O233">
        <f>IF(UPPER($H233&amp;"")="LEAVE",1,0)</f>
        <v/>
      </c>
      <c r="P233">
        <f>IF($N233=1,$K233,0)</f>
        <v/>
      </c>
      <c r="Q233">
        <f>IF($N233=0,"",IFERROR($L233-'Previous Engine'!$M$35,""))</f>
        <v/>
      </c>
    </row>
    <row r="234">
      <c r="A234" t="n">
        <v>233</v>
      </c>
      <c r="B234">
        <f>Schedule!$A$36</f>
        <v/>
      </c>
      <c r="C234">
        <f>Schedule!$D$36</f>
        <v/>
      </c>
      <c r="D234">
        <f>Schedule!$F$36</f>
        <v/>
      </c>
      <c r="E234" t="n">
        <v>1</v>
      </c>
      <c r="F234">
        <f>Schedule!$H$1</f>
        <v/>
      </c>
      <c r="G234">
        <f>Schedule!$H$2</f>
        <v/>
      </c>
      <c r="H234">
        <f>Schedule!$H$36</f>
        <v/>
      </c>
      <c r="I234">
        <f>IF($N234=1,VALUE(LEFT($H234,2)),"")</f>
        <v/>
      </c>
      <c r="J234">
        <f>IF($N234=1,VALUE(MID($H234,9,2)),"")</f>
        <v/>
      </c>
      <c r="K234">
        <f>IF($N234=1,MOD($J234-$I234,24),0)</f>
        <v/>
      </c>
      <c r="L234">
        <f>IF($N234=1,$E234*24+$I234,"")</f>
        <v/>
      </c>
      <c r="M234">
        <f>IF($N234=1,$L234+$K234,"")</f>
        <v/>
      </c>
      <c r="N234">
        <f>IF(ISNUMBER(SEARCH(" - ",$H234&amp;"")),1,0)</f>
        <v/>
      </c>
      <c r="O234">
        <f>IF(UPPER($H234&amp;"")="LEAVE",1,0)</f>
        <v/>
      </c>
      <c r="P234">
        <f>IF($N234=1,$K234,0)</f>
        <v/>
      </c>
      <c r="Q234">
        <f>IF($N234=0,"",IFERROR($L234-LOOKUP(2,1/(($B$2:$B233=$B234)*($N$2:$N233=1)),$M$2:$M233),""))</f>
        <v/>
      </c>
    </row>
    <row r="235">
      <c r="A235" t="n">
        <v>234</v>
      </c>
      <c r="B235">
        <f>Schedule!$A$36</f>
        <v/>
      </c>
      <c r="C235">
        <f>Schedule!$D$36</f>
        <v/>
      </c>
      <c r="D235">
        <f>Schedule!$F$36</f>
        <v/>
      </c>
      <c r="E235" t="n">
        <v>2</v>
      </c>
      <c r="F235">
        <f>Schedule!$I$1</f>
        <v/>
      </c>
      <c r="G235">
        <f>Schedule!$I$2</f>
        <v/>
      </c>
      <c r="H235">
        <f>Schedule!$I$36</f>
        <v/>
      </c>
      <c r="I235">
        <f>IF($N235=1,VALUE(LEFT($H235,2)),"")</f>
        <v/>
      </c>
      <c r="J235">
        <f>IF($N235=1,VALUE(MID($H235,9,2)),"")</f>
        <v/>
      </c>
      <c r="K235">
        <f>IF($N235=1,MOD($J235-$I235,24),0)</f>
        <v/>
      </c>
      <c r="L235">
        <f>IF($N235=1,$E235*24+$I235,"")</f>
        <v/>
      </c>
      <c r="M235">
        <f>IF($N235=1,$L235+$K235,"")</f>
        <v/>
      </c>
      <c r="N235">
        <f>IF(ISNUMBER(SEARCH(" - ",$H235&amp;"")),1,0)</f>
        <v/>
      </c>
      <c r="O235">
        <f>IF(UPPER($H235&amp;"")="LEAVE",1,0)</f>
        <v/>
      </c>
      <c r="P235">
        <f>IF($N235=1,$K235,0)</f>
        <v/>
      </c>
      <c r="Q235">
        <f>IF($N235=0,"",IFERROR($L235-LOOKUP(2,1/(($B$2:$B234=$B235)*($N$2:$N234=1)),$M$2:$M234),""))</f>
        <v/>
      </c>
    </row>
    <row r="236">
      <c r="A236" t="n">
        <v>235</v>
      </c>
      <c r="B236">
        <f>Schedule!$A$36</f>
        <v/>
      </c>
      <c r="C236">
        <f>Schedule!$D$36</f>
        <v/>
      </c>
      <c r="D236">
        <f>Schedule!$F$36</f>
        <v/>
      </c>
      <c r="E236" t="n">
        <v>3</v>
      </c>
      <c r="F236">
        <f>Schedule!$J$1</f>
        <v/>
      </c>
      <c r="G236">
        <f>Schedule!$J$2</f>
        <v/>
      </c>
      <c r="H236">
        <f>Schedule!$J$36</f>
        <v/>
      </c>
      <c r="I236">
        <f>IF($N236=1,VALUE(LEFT($H236,2)),"")</f>
        <v/>
      </c>
      <c r="J236">
        <f>IF($N236=1,VALUE(MID($H236,9,2)),"")</f>
        <v/>
      </c>
      <c r="K236">
        <f>IF($N236=1,MOD($J236-$I236,24),0)</f>
        <v/>
      </c>
      <c r="L236">
        <f>IF($N236=1,$E236*24+$I236,"")</f>
        <v/>
      </c>
      <c r="M236">
        <f>IF($N236=1,$L236+$K236,"")</f>
        <v/>
      </c>
      <c r="N236">
        <f>IF(ISNUMBER(SEARCH(" - ",$H236&amp;"")),1,0)</f>
        <v/>
      </c>
      <c r="O236">
        <f>IF(UPPER($H236&amp;"")="LEAVE",1,0)</f>
        <v/>
      </c>
      <c r="P236">
        <f>IF($N236=1,$K236,0)</f>
        <v/>
      </c>
      <c r="Q236">
        <f>IF($N236=0,"",IFERROR($L236-LOOKUP(2,1/(($B$2:$B235=$B236)*($N$2:$N235=1)),$M$2:$M235),""))</f>
        <v/>
      </c>
    </row>
    <row r="237">
      <c r="A237" t="n">
        <v>236</v>
      </c>
      <c r="B237">
        <f>Schedule!$A$36</f>
        <v/>
      </c>
      <c r="C237">
        <f>Schedule!$D$36</f>
        <v/>
      </c>
      <c r="D237">
        <f>Schedule!$F$36</f>
        <v/>
      </c>
      <c r="E237" t="n">
        <v>4</v>
      </c>
      <c r="F237">
        <f>Schedule!$K$1</f>
        <v/>
      </c>
      <c r="G237">
        <f>Schedule!$K$2</f>
        <v/>
      </c>
      <c r="H237">
        <f>Schedule!$K$36</f>
        <v/>
      </c>
      <c r="I237">
        <f>IF($N237=1,VALUE(LEFT($H237,2)),"")</f>
        <v/>
      </c>
      <c r="J237">
        <f>IF($N237=1,VALUE(MID($H237,9,2)),"")</f>
        <v/>
      </c>
      <c r="K237">
        <f>IF($N237=1,MOD($J237-$I237,24),0)</f>
        <v/>
      </c>
      <c r="L237">
        <f>IF($N237=1,$E237*24+$I237,"")</f>
        <v/>
      </c>
      <c r="M237">
        <f>IF($N237=1,$L237+$K237,"")</f>
        <v/>
      </c>
      <c r="N237">
        <f>IF(ISNUMBER(SEARCH(" - ",$H237&amp;"")),1,0)</f>
        <v/>
      </c>
      <c r="O237">
        <f>IF(UPPER($H237&amp;"")="LEAVE",1,0)</f>
        <v/>
      </c>
      <c r="P237">
        <f>IF($N237=1,$K237,0)</f>
        <v/>
      </c>
      <c r="Q237">
        <f>IF($N237=0,"",IFERROR($L237-LOOKUP(2,1/(($B$2:$B236=$B237)*($N$2:$N236=1)),$M$2:$M236),""))</f>
        <v/>
      </c>
    </row>
    <row r="238">
      <c r="A238" t="n">
        <v>237</v>
      </c>
      <c r="B238">
        <f>Schedule!$A$36</f>
        <v/>
      </c>
      <c r="C238">
        <f>Schedule!$D$36</f>
        <v/>
      </c>
      <c r="D238">
        <f>Schedule!$F$36</f>
        <v/>
      </c>
      <c r="E238" t="n">
        <v>5</v>
      </c>
      <c r="F238">
        <f>Schedule!$L$1</f>
        <v/>
      </c>
      <c r="G238">
        <f>Schedule!$L$2</f>
        <v/>
      </c>
      <c r="H238">
        <f>Schedule!$L$36</f>
        <v/>
      </c>
      <c r="I238">
        <f>IF($N238=1,VALUE(LEFT($H238,2)),"")</f>
        <v/>
      </c>
      <c r="J238">
        <f>IF($N238=1,VALUE(MID($H238,9,2)),"")</f>
        <v/>
      </c>
      <c r="K238">
        <f>IF($N238=1,MOD($J238-$I238,24),0)</f>
        <v/>
      </c>
      <c r="L238">
        <f>IF($N238=1,$E238*24+$I238,"")</f>
        <v/>
      </c>
      <c r="M238">
        <f>IF($N238=1,$L238+$K238,"")</f>
        <v/>
      </c>
      <c r="N238">
        <f>IF(ISNUMBER(SEARCH(" - ",$H238&amp;"")),1,0)</f>
        <v/>
      </c>
      <c r="O238">
        <f>IF(UPPER($H238&amp;"")="LEAVE",1,0)</f>
        <v/>
      </c>
      <c r="P238">
        <f>IF($N238=1,$K238,0)</f>
        <v/>
      </c>
      <c r="Q238">
        <f>IF($N238=0,"",IFERROR($L238-LOOKUP(2,1/(($B$2:$B237=$B238)*($N$2:$N237=1)),$M$2:$M237),""))</f>
        <v/>
      </c>
    </row>
    <row r="239">
      <c r="A239" t="n">
        <v>238</v>
      </c>
      <c r="B239">
        <f>Schedule!$A$36</f>
        <v/>
      </c>
      <c r="C239">
        <f>Schedule!$D$36</f>
        <v/>
      </c>
      <c r="D239">
        <f>Schedule!$F$36</f>
        <v/>
      </c>
      <c r="E239" t="n">
        <v>6</v>
      </c>
      <c r="F239">
        <f>Schedule!$M$1</f>
        <v/>
      </c>
      <c r="G239">
        <f>Schedule!$M$2</f>
        <v/>
      </c>
      <c r="H239">
        <f>Schedule!$M$36</f>
        <v/>
      </c>
      <c r="I239">
        <f>IF($N239=1,VALUE(LEFT($H239,2)),"")</f>
        <v/>
      </c>
      <c r="J239">
        <f>IF($N239=1,VALUE(MID($H239,9,2)),"")</f>
        <v/>
      </c>
      <c r="K239">
        <f>IF($N239=1,MOD($J239-$I239,24),0)</f>
        <v/>
      </c>
      <c r="L239">
        <f>IF($N239=1,$E239*24+$I239,"")</f>
        <v/>
      </c>
      <c r="M239">
        <f>IF($N239=1,$L239+$K239,"")</f>
        <v/>
      </c>
      <c r="N239">
        <f>IF(ISNUMBER(SEARCH(" - ",$H239&amp;"")),1,0)</f>
        <v/>
      </c>
      <c r="O239">
        <f>IF(UPPER($H239&amp;"")="LEAVE",1,0)</f>
        <v/>
      </c>
      <c r="P239">
        <f>IF($N239=1,$K239,0)</f>
        <v/>
      </c>
      <c r="Q239">
        <f>IF($N239=0,"",IFERROR($L239-LOOKUP(2,1/(($B$2:$B238=$B239)*($N$2:$N238=1)),$M$2:$M238),""))</f>
        <v/>
      </c>
    </row>
    <row r="240">
      <c r="A240" t="n">
        <v>239</v>
      </c>
      <c r="B240">
        <f>Schedule!$A$37</f>
        <v/>
      </c>
      <c r="C240">
        <f>Schedule!$D$37</f>
        <v/>
      </c>
      <c r="D240">
        <f>Schedule!$F$37</f>
        <v/>
      </c>
      <c r="E240" t="n">
        <v>0</v>
      </c>
      <c r="F240">
        <f>Schedule!$G$1</f>
        <v/>
      </c>
      <c r="G240">
        <f>Schedule!$G$2</f>
        <v/>
      </c>
      <c r="H240">
        <f>Schedule!$G$37</f>
        <v/>
      </c>
      <c r="I240">
        <f>IF($N240=1,VALUE(LEFT($H240,2)),"")</f>
        <v/>
      </c>
      <c r="J240">
        <f>IF($N240=1,VALUE(MID($H240,9,2)),"")</f>
        <v/>
      </c>
      <c r="K240">
        <f>IF($N240=1,MOD($J240-$I240,24),0)</f>
        <v/>
      </c>
      <c r="L240">
        <f>IF($N240=1,$E240*24+$I240,"")</f>
        <v/>
      </c>
      <c r="M240">
        <f>IF($N240=1,$L240+$K240,"")</f>
        <v/>
      </c>
      <c r="N240">
        <f>IF(ISNUMBER(SEARCH(" - ",$H240&amp;"")),1,0)</f>
        <v/>
      </c>
      <c r="O240">
        <f>IF(UPPER($H240&amp;"")="LEAVE",1,0)</f>
        <v/>
      </c>
      <c r="P240">
        <f>IF($N240=1,$K240,0)</f>
        <v/>
      </c>
      <c r="Q240">
        <f>IF($N240=0,"",IFERROR($L240-'Previous Engine'!$M$36,""))</f>
        <v/>
      </c>
    </row>
    <row r="241">
      <c r="A241" t="n">
        <v>240</v>
      </c>
      <c r="B241">
        <f>Schedule!$A$37</f>
        <v/>
      </c>
      <c r="C241">
        <f>Schedule!$D$37</f>
        <v/>
      </c>
      <c r="D241">
        <f>Schedule!$F$37</f>
        <v/>
      </c>
      <c r="E241" t="n">
        <v>1</v>
      </c>
      <c r="F241">
        <f>Schedule!$H$1</f>
        <v/>
      </c>
      <c r="G241">
        <f>Schedule!$H$2</f>
        <v/>
      </c>
      <c r="H241">
        <f>Schedule!$H$37</f>
        <v/>
      </c>
      <c r="I241">
        <f>IF($N241=1,VALUE(LEFT($H241,2)),"")</f>
        <v/>
      </c>
      <c r="J241">
        <f>IF($N241=1,VALUE(MID($H241,9,2)),"")</f>
        <v/>
      </c>
      <c r="K241">
        <f>IF($N241=1,MOD($J241-$I241,24),0)</f>
        <v/>
      </c>
      <c r="L241">
        <f>IF($N241=1,$E241*24+$I241,"")</f>
        <v/>
      </c>
      <c r="M241">
        <f>IF($N241=1,$L241+$K241,"")</f>
        <v/>
      </c>
      <c r="N241">
        <f>IF(ISNUMBER(SEARCH(" - ",$H241&amp;"")),1,0)</f>
        <v/>
      </c>
      <c r="O241">
        <f>IF(UPPER($H241&amp;"")="LEAVE",1,0)</f>
        <v/>
      </c>
      <c r="P241">
        <f>IF($N241=1,$K241,0)</f>
        <v/>
      </c>
      <c r="Q241">
        <f>IF($N241=0,"",IFERROR($L241-LOOKUP(2,1/(($B$2:$B240=$B241)*($N$2:$N240=1)),$M$2:$M240),""))</f>
        <v/>
      </c>
    </row>
    <row r="242">
      <c r="A242" t="n">
        <v>241</v>
      </c>
      <c r="B242">
        <f>Schedule!$A$37</f>
        <v/>
      </c>
      <c r="C242">
        <f>Schedule!$D$37</f>
        <v/>
      </c>
      <c r="D242">
        <f>Schedule!$F$37</f>
        <v/>
      </c>
      <c r="E242" t="n">
        <v>2</v>
      </c>
      <c r="F242">
        <f>Schedule!$I$1</f>
        <v/>
      </c>
      <c r="G242">
        <f>Schedule!$I$2</f>
        <v/>
      </c>
      <c r="H242">
        <f>Schedule!$I$37</f>
        <v/>
      </c>
      <c r="I242">
        <f>IF($N242=1,VALUE(LEFT($H242,2)),"")</f>
        <v/>
      </c>
      <c r="J242">
        <f>IF($N242=1,VALUE(MID($H242,9,2)),"")</f>
        <v/>
      </c>
      <c r="K242">
        <f>IF($N242=1,MOD($J242-$I242,24),0)</f>
        <v/>
      </c>
      <c r="L242">
        <f>IF($N242=1,$E242*24+$I242,"")</f>
        <v/>
      </c>
      <c r="M242">
        <f>IF($N242=1,$L242+$K242,"")</f>
        <v/>
      </c>
      <c r="N242">
        <f>IF(ISNUMBER(SEARCH(" - ",$H242&amp;"")),1,0)</f>
        <v/>
      </c>
      <c r="O242">
        <f>IF(UPPER($H242&amp;"")="LEAVE",1,0)</f>
        <v/>
      </c>
      <c r="P242">
        <f>IF($N242=1,$K242,0)</f>
        <v/>
      </c>
      <c r="Q242">
        <f>IF($N242=0,"",IFERROR($L242-LOOKUP(2,1/(($B$2:$B241=$B242)*($N$2:$N241=1)),$M$2:$M241),""))</f>
        <v/>
      </c>
    </row>
    <row r="243">
      <c r="A243" t="n">
        <v>242</v>
      </c>
      <c r="B243">
        <f>Schedule!$A$37</f>
        <v/>
      </c>
      <c r="C243">
        <f>Schedule!$D$37</f>
        <v/>
      </c>
      <c r="D243">
        <f>Schedule!$F$37</f>
        <v/>
      </c>
      <c r="E243" t="n">
        <v>3</v>
      </c>
      <c r="F243">
        <f>Schedule!$J$1</f>
        <v/>
      </c>
      <c r="G243">
        <f>Schedule!$J$2</f>
        <v/>
      </c>
      <c r="H243">
        <f>Schedule!$J$37</f>
        <v/>
      </c>
      <c r="I243">
        <f>IF($N243=1,VALUE(LEFT($H243,2)),"")</f>
        <v/>
      </c>
      <c r="J243">
        <f>IF($N243=1,VALUE(MID($H243,9,2)),"")</f>
        <v/>
      </c>
      <c r="K243">
        <f>IF($N243=1,MOD($J243-$I243,24),0)</f>
        <v/>
      </c>
      <c r="L243">
        <f>IF($N243=1,$E243*24+$I243,"")</f>
        <v/>
      </c>
      <c r="M243">
        <f>IF($N243=1,$L243+$K243,"")</f>
        <v/>
      </c>
      <c r="N243">
        <f>IF(ISNUMBER(SEARCH(" - ",$H243&amp;"")),1,0)</f>
        <v/>
      </c>
      <c r="O243">
        <f>IF(UPPER($H243&amp;"")="LEAVE",1,0)</f>
        <v/>
      </c>
      <c r="P243">
        <f>IF($N243=1,$K243,0)</f>
        <v/>
      </c>
      <c r="Q243">
        <f>IF($N243=0,"",IFERROR($L243-LOOKUP(2,1/(($B$2:$B242=$B243)*($N$2:$N242=1)),$M$2:$M242),""))</f>
        <v/>
      </c>
    </row>
    <row r="244">
      <c r="A244" t="n">
        <v>243</v>
      </c>
      <c r="B244">
        <f>Schedule!$A$37</f>
        <v/>
      </c>
      <c r="C244">
        <f>Schedule!$D$37</f>
        <v/>
      </c>
      <c r="D244">
        <f>Schedule!$F$37</f>
        <v/>
      </c>
      <c r="E244" t="n">
        <v>4</v>
      </c>
      <c r="F244">
        <f>Schedule!$K$1</f>
        <v/>
      </c>
      <c r="G244">
        <f>Schedule!$K$2</f>
        <v/>
      </c>
      <c r="H244">
        <f>Schedule!$K$37</f>
        <v/>
      </c>
      <c r="I244">
        <f>IF($N244=1,VALUE(LEFT($H244,2)),"")</f>
        <v/>
      </c>
      <c r="J244">
        <f>IF($N244=1,VALUE(MID($H244,9,2)),"")</f>
        <v/>
      </c>
      <c r="K244">
        <f>IF($N244=1,MOD($J244-$I244,24),0)</f>
        <v/>
      </c>
      <c r="L244">
        <f>IF($N244=1,$E244*24+$I244,"")</f>
        <v/>
      </c>
      <c r="M244">
        <f>IF($N244=1,$L244+$K244,"")</f>
        <v/>
      </c>
      <c r="N244">
        <f>IF(ISNUMBER(SEARCH(" - ",$H244&amp;"")),1,0)</f>
        <v/>
      </c>
      <c r="O244">
        <f>IF(UPPER($H244&amp;"")="LEAVE",1,0)</f>
        <v/>
      </c>
      <c r="P244">
        <f>IF($N244=1,$K244,0)</f>
        <v/>
      </c>
      <c r="Q244">
        <f>IF($N244=0,"",IFERROR($L244-LOOKUP(2,1/(($B$2:$B243=$B244)*($N$2:$N243=1)),$M$2:$M243),""))</f>
        <v/>
      </c>
    </row>
    <row r="245">
      <c r="A245" t="n">
        <v>244</v>
      </c>
      <c r="B245">
        <f>Schedule!$A$37</f>
        <v/>
      </c>
      <c r="C245">
        <f>Schedule!$D$37</f>
        <v/>
      </c>
      <c r="D245">
        <f>Schedule!$F$37</f>
        <v/>
      </c>
      <c r="E245" t="n">
        <v>5</v>
      </c>
      <c r="F245">
        <f>Schedule!$L$1</f>
        <v/>
      </c>
      <c r="G245">
        <f>Schedule!$L$2</f>
        <v/>
      </c>
      <c r="H245">
        <f>Schedule!$L$37</f>
        <v/>
      </c>
      <c r="I245">
        <f>IF($N245=1,VALUE(LEFT($H245,2)),"")</f>
        <v/>
      </c>
      <c r="J245">
        <f>IF($N245=1,VALUE(MID($H245,9,2)),"")</f>
        <v/>
      </c>
      <c r="K245">
        <f>IF($N245=1,MOD($J245-$I245,24),0)</f>
        <v/>
      </c>
      <c r="L245">
        <f>IF($N245=1,$E245*24+$I245,"")</f>
        <v/>
      </c>
      <c r="M245">
        <f>IF($N245=1,$L245+$K245,"")</f>
        <v/>
      </c>
      <c r="N245">
        <f>IF(ISNUMBER(SEARCH(" - ",$H245&amp;"")),1,0)</f>
        <v/>
      </c>
      <c r="O245">
        <f>IF(UPPER($H245&amp;"")="LEAVE",1,0)</f>
        <v/>
      </c>
      <c r="P245">
        <f>IF($N245=1,$K245,0)</f>
        <v/>
      </c>
      <c r="Q245">
        <f>IF($N245=0,"",IFERROR($L245-LOOKUP(2,1/(($B$2:$B244=$B245)*($N$2:$N244=1)),$M$2:$M244),""))</f>
        <v/>
      </c>
    </row>
    <row r="246">
      <c r="A246" t="n">
        <v>245</v>
      </c>
      <c r="B246">
        <f>Schedule!$A$37</f>
        <v/>
      </c>
      <c r="C246">
        <f>Schedule!$D$37</f>
        <v/>
      </c>
      <c r="D246">
        <f>Schedule!$F$37</f>
        <v/>
      </c>
      <c r="E246" t="n">
        <v>6</v>
      </c>
      <c r="F246">
        <f>Schedule!$M$1</f>
        <v/>
      </c>
      <c r="G246">
        <f>Schedule!$M$2</f>
        <v/>
      </c>
      <c r="H246">
        <f>Schedule!$M$37</f>
        <v/>
      </c>
      <c r="I246">
        <f>IF($N246=1,VALUE(LEFT($H246,2)),"")</f>
        <v/>
      </c>
      <c r="J246">
        <f>IF($N246=1,VALUE(MID($H246,9,2)),"")</f>
        <v/>
      </c>
      <c r="K246">
        <f>IF($N246=1,MOD($J246-$I246,24),0)</f>
        <v/>
      </c>
      <c r="L246">
        <f>IF($N246=1,$E246*24+$I246,"")</f>
        <v/>
      </c>
      <c r="M246">
        <f>IF($N246=1,$L246+$K246,"")</f>
        <v/>
      </c>
      <c r="N246">
        <f>IF(ISNUMBER(SEARCH(" - ",$H246&amp;"")),1,0)</f>
        <v/>
      </c>
      <c r="O246">
        <f>IF(UPPER($H246&amp;"")="LEAVE",1,0)</f>
        <v/>
      </c>
      <c r="P246">
        <f>IF($N246=1,$K246,0)</f>
        <v/>
      </c>
      <c r="Q246">
        <f>IF($N246=0,"",IFERROR($L246-LOOKUP(2,1/(($B$2:$B245=$B246)*($N$2:$N245=1)),$M$2:$M245),""))</f>
        <v/>
      </c>
    </row>
    <row r="247">
      <c r="A247" t="n">
        <v>246</v>
      </c>
      <c r="B247">
        <f>Schedule!$A$38</f>
        <v/>
      </c>
      <c r="C247">
        <f>Schedule!$D$38</f>
        <v/>
      </c>
      <c r="D247">
        <f>Schedule!$F$38</f>
        <v/>
      </c>
      <c r="E247" t="n">
        <v>0</v>
      </c>
      <c r="F247">
        <f>Schedule!$G$1</f>
        <v/>
      </c>
      <c r="G247">
        <f>Schedule!$G$2</f>
        <v/>
      </c>
      <c r="H247">
        <f>Schedule!$G$38</f>
        <v/>
      </c>
      <c r="I247">
        <f>IF($N247=1,VALUE(LEFT($H247,2)),"")</f>
        <v/>
      </c>
      <c r="J247">
        <f>IF($N247=1,VALUE(MID($H247,9,2)),"")</f>
        <v/>
      </c>
      <c r="K247">
        <f>IF($N247=1,MOD($J247-$I247,24),0)</f>
        <v/>
      </c>
      <c r="L247">
        <f>IF($N247=1,$E247*24+$I247,"")</f>
        <v/>
      </c>
      <c r="M247">
        <f>IF($N247=1,$L247+$K247,"")</f>
        <v/>
      </c>
      <c r="N247">
        <f>IF(ISNUMBER(SEARCH(" - ",$H247&amp;"")),1,0)</f>
        <v/>
      </c>
      <c r="O247">
        <f>IF(UPPER($H247&amp;"")="LEAVE",1,0)</f>
        <v/>
      </c>
      <c r="P247">
        <f>IF($N247=1,$K247,0)</f>
        <v/>
      </c>
      <c r="Q247">
        <f>IF($N247=0,"",IFERROR($L247-'Previous Engine'!$M$37,""))</f>
        <v/>
      </c>
    </row>
    <row r="248">
      <c r="A248" t="n">
        <v>247</v>
      </c>
      <c r="B248">
        <f>Schedule!$A$38</f>
        <v/>
      </c>
      <c r="C248">
        <f>Schedule!$D$38</f>
        <v/>
      </c>
      <c r="D248">
        <f>Schedule!$F$38</f>
        <v/>
      </c>
      <c r="E248" t="n">
        <v>1</v>
      </c>
      <c r="F248">
        <f>Schedule!$H$1</f>
        <v/>
      </c>
      <c r="G248">
        <f>Schedule!$H$2</f>
        <v/>
      </c>
      <c r="H248">
        <f>Schedule!$H$38</f>
        <v/>
      </c>
      <c r="I248">
        <f>IF($N248=1,VALUE(LEFT($H248,2)),"")</f>
        <v/>
      </c>
      <c r="J248">
        <f>IF($N248=1,VALUE(MID($H248,9,2)),"")</f>
        <v/>
      </c>
      <c r="K248">
        <f>IF($N248=1,MOD($J248-$I248,24),0)</f>
        <v/>
      </c>
      <c r="L248">
        <f>IF($N248=1,$E248*24+$I248,"")</f>
        <v/>
      </c>
      <c r="M248">
        <f>IF($N248=1,$L248+$K248,"")</f>
        <v/>
      </c>
      <c r="N248">
        <f>IF(ISNUMBER(SEARCH(" - ",$H248&amp;"")),1,0)</f>
        <v/>
      </c>
      <c r="O248">
        <f>IF(UPPER($H248&amp;"")="LEAVE",1,0)</f>
        <v/>
      </c>
      <c r="P248">
        <f>IF($N248=1,$K248,0)</f>
        <v/>
      </c>
      <c r="Q248">
        <f>IF($N248=0,"",IFERROR($L248-LOOKUP(2,1/(($B$2:$B247=$B248)*($N$2:$N247=1)),$M$2:$M247),""))</f>
        <v/>
      </c>
    </row>
    <row r="249">
      <c r="A249" t="n">
        <v>248</v>
      </c>
      <c r="B249">
        <f>Schedule!$A$38</f>
        <v/>
      </c>
      <c r="C249">
        <f>Schedule!$D$38</f>
        <v/>
      </c>
      <c r="D249">
        <f>Schedule!$F$38</f>
        <v/>
      </c>
      <c r="E249" t="n">
        <v>2</v>
      </c>
      <c r="F249">
        <f>Schedule!$I$1</f>
        <v/>
      </c>
      <c r="G249">
        <f>Schedule!$I$2</f>
        <v/>
      </c>
      <c r="H249">
        <f>Schedule!$I$38</f>
        <v/>
      </c>
      <c r="I249">
        <f>IF($N249=1,VALUE(LEFT($H249,2)),"")</f>
        <v/>
      </c>
      <c r="J249">
        <f>IF($N249=1,VALUE(MID($H249,9,2)),"")</f>
        <v/>
      </c>
      <c r="K249">
        <f>IF($N249=1,MOD($J249-$I249,24),0)</f>
        <v/>
      </c>
      <c r="L249">
        <f>IF($N249=1,$E249*24+$I249,"")</f>
        <v/>
      </c>
      <c r="M249">
        <f>IF($N249=1,$L249+$K249,"")</f>
        <v/>
      </c>
      <c r="N249">
        <f>IF(ISNUMBER(SEARCH(" - ",$H249&amp;"")),1,0)</f>
        <v/>
      </c>
      <c r="O249">
        <f>IF(UPPER($H249&amp;"")="LEAVE",1,0)</f>
        <v/>
      </c>
      <c r="P249">
        <f>IF($N249=1,$K249,0)</f>
        <v/>
      </c>
      <c r="Q249">
        <f>IF($N249=0,"",IFERROR($L249-LOOKUP(2,1/(($B$2:$B248=$B249)*($N$2:$N248=1)),$M$2:$M248),""))</f>
        <v/>
      </c>
    </row>
    <row r="250">
      <c r="A250" t="n">
        <v>249</v>
      </c>
      <c r="B250">
        <f>Schedule!$A$38</f>
        <v/>
      </c>
      <c r="C250">
        <f>Schedule!$D$38</f>
        <v/>
      </c>
      <c r="D250">
        <f>Schedule!$F$38</f>
        <v/>
      </c>
      <c r="E250" t="n">
        <v>3</v>
      </c>
      <c r="F250">
        <f>Schedule!$J$1</f>
        <v/>
      </c>
      <c r="G250">
        <f>Schedule!$J$2</f>
        <v/>
      </c>
      <c r="H250">
        <f>Schedule!$J$38</f>
        <v/>
      </c>
      <c r="I250">
        <f>IF($N250=1,VALUE(LEFT($H250,2)),"")</f>
        <v/>
      </c>
      <c r="J250">
        <f>IF($N250=1,VALUE(MID($H250,9,2)),"")</f>
        <v/>
      </c>
      <c r="K250">
        <f>IF($N250=1,MOD($J250-$I250,24),0)</f>
        <v/>
      </c>
      <c r="L250">
        <f>IF($N250=1,$E250*24+$I250,"")</f>
        <v/>
      </c>
      <c r="M250">
        <f>IF($N250=1,$L250+$K250,"")</f>
        <v/>
      </c>
      <c r="N250">
        <f>IF(ISNUMBER(SEARCH(" - ",$H250&amp;"")),1,0)</f>
        <v/>
      </c>
      <c r="O250">
        <f>IF(UPPER($H250&amp;"")="LEAVE",1,0)</f>
        <v/>
      </c>
      <c r="P250">
        <f>IF($N250=1,$K250,0)</f>
        <v/>
      </c>
      <c r="Q250">
        <f>IF($N250=0,"",IFERROR($L250-LOOKUP(2,1/(($B$2:$B249=$B250)*($N$2:$N249=1)),$M$2:$M249),""))</f>
        <v/>
      </c>
    </row>
    <row r="251">
      <c r="A251" t="n">
        <v>250</v>
      </c>
      <c r="B251">
        <f>Schedule!$A$38</f>
        <v/>
      </c>
      <c r="C251">
        <f>Schedule!$D$38</f>
        <v/>
      </c>
      <c r="D251">
        <f>Schedule!$F$38</f>
        <v/>
      </c>
      <c r="E251" t="n">
        <v>4</v>
      </c>
      <c r="F251">
        <f>Schedule!$K$1</f>
        <v/>
      </c>
      <c r="G251">
        <f>Schedule!$K$2</f>
        <v/>
      </c>
      <c r="H251">
        <f>Schedule!$K$38</f>
        <v/>
      </c>
      <c r="I251">
        <f>IF($N251=1,VALUE(LEFT($H251,2)),"")</f>
        <v/>
      </c>
      <c r="J251">
        <f>IF($N251=1,VALUE(MID($H251,9,2)),"")</f>
        <v/>
      </c>
      <c r="K251">
        <f>IF($N251=1,MOD($J251-$I251,24),0)</f>
        <v/>
      </c>
      <c r="L251">
        <f>IF($N251=1,$E251*24+$I251,"")</f>
        <v/>
      </c>
      <c r="M251">
        <f>IF($N251=1,$L251+$K251,"")</f>
        <v/>
      </c>
      <c r="N251">
        <f>IF(ISNUMBER(SEARCH(" - ",$H251&amp;"")),1,0)</f>
        <v/>
      </c>
      <c r="O251">
        <f>IF(UPPER($H251&amp;"")="LEAVE",1,0)</f>
        <v/>
      </c>
      <c r="P251">
        <f>IF($N251=1,$K251,0)</f>
        <v/>
      </c>
      <c r="Q251">
        <f>IF($N251=0,"",IFERROR($L251-LOOKUP(2,1/(($B$2:$B250=$B251)*($N$2:$N250=1)),$M$2:$M250),""))</f>
        <v/>
      </c>
    </row>
    <row r="252">
      <c r="A252" t="n">
        <v>251</v>
      </c>
      <c r="B252">
        <f>Schedule!$A$38</f>
        <v/>
      </c>
      <c r="C252">
        <f>Schedule!$D$38</f>
        <v/>
      </c>
      <c r="D252">
        <f>Schedule!$F$38</f>
        <v/>
      </c>
      <c r="E252" t="n">
        <v>5</v>
      </c>
      <c r="F252">
        <f>Schedule!$L$1</f>
        <v/>
      </c>
      <c r="G252">
        <f>Schedule!$L$2</f>
        <v/>
      </c>
      <c r="H252">
        <f>Schedule!$L$38</f>
        <v/>
      </c>
      <c r="I252">
        <f>IF($N252=1,VALUE(LEFT($H252,2)),"")</f>
        <v/>
      </c>
      <c r="J252">
        <f>IF($N252=1,VALUE(MID($H252,9,2)),"")</f>
        <v/>
      </c>
      <c r="K252">
        <f>IF($N252=1,MOD($J252-$I252,24),0)</f>
        <v/>
      </c>
      <c r="L252">
        <f>IF($N252=1,$E252*24+$I252,"")</f>
        <v/>
      </c>
      <c r="M252">
        <f>IF($N252=1,$L252+$K252,"")</f>
        <v/>
      </c>
      <c r="N252">
        <f>IF(ISNUMBER(SEARCH(" - ",$H252&amp;"")),1,0)</f>
        <v/>
      </c>
      <c r="O252">
        <f>IF(UPPER($H252&amp;"")="LEAVE",1,0)</f>
        <v/>
      </c>
      <c r="P252">
        <f>IF($N252=1,$K252,0)</f>
        <v/>
      </c>
      <c r="Q252">
        <f>IF($N252=0,"",IFERROR($L252-LOOKUP(2,1/(($B$2:$B251=$B252)*($N$2:$N251=1)),$M$2:$M251),""))</f>
        <v/>
      </c>
    </row>
    <row r="253">
      <c r="A253" t="n">
        <v>252</v>
      </c>
      <c r="B253">
        <f>Schedule!$A$38</f>
        <v/>
      </c>
      <c r="C253">
        <f>Schedule!$D$38</f>
        <v/>
      </c>
      <c r="D253">
        <f>Schedule!$F$38</f>
        <v/>
      </c>
      <c r="E253" t="n">
        <v>6</v>
      </c>
      <c r="F253">
        <f>Schedule!$M$1</f>
        <v/>
      </c>
      <c r="G253">
        <f>Schedule!$M$2</f>
        <v/>
      </c>
      <c r="H253">
        <f>Schedule!$M$38</f>
        <v/>
      </c>
      <c r="I253">
        <f>IF($N253=1,VALUE(LEFT($H253,2)),"")</f>
        <v/>
      </c>
      <c r="J253">
        <f>IF($N253=1,VALUE(MID($H253,9,2)),"")</f>
        <v/>
      </c>
      <c r="K253">
        <f>IF($N253=1,MOD($J253-$I253,24),0)</f>
        <v/>
      </c>
      <c r="L253">
        <f>IF($N253=1,$E253*24+$I253,"")</f>
        <v/>
      </c>
      <c r="M253">
        <f>IF($N253=1,$L253+$K253,"")</f>
        <v/>
      </c>
      <c r="N253">
        <f>IF(ISNUMBER(SEARCH(" - ",$H253&amp;"")),1,0)</f>
        <v/>
      </c>
      <c r="O253">
        <f>IF(UPPER($H253&amp;"")="LEAVE",1,0)</f>
        <v/>
      </c>
      <c r="P253">
        <f>IF($N253=1,$K253,0)</f>
        <v/>
      </c>
      <c r="Q253">
        <f>IF($N253=0,"",IFERROR($L253-LOOKUP(2,1/(($B$2:$B252=$B253)*($N$2:$N252=1)),$M$2:$M252),""))</f>
        <v/>
      </c>
    </row>
    <row r="254">
      <c r="A254" t="n">
        <v>253</v>
      </c>
      <c r="B254">
        <f>Schedule!$A$39</f>
        <v/>
      </c>
      <c r="C254">
        <f>Schedule!$D$39</f>
        <v/>
      </c>
      <c r="D254">
        <f>Schedule!$F$39</f>
        <v/>
      </c>
      <c r="E254" t="n">
        <v>0</v>
      </c>
      <c r="F254">
        <f>Schedule!$G$1</f>
        <v/>
      </c>
      <c r="G254">
        <f>Schedule!$G$2</f>
        <v/>
      </c>
      <c r="H254">
        <f>Schedule!$G$39</f>
        <v/>
      </c>
      <c r="I254">
        <f>IF($N254=1,VALUE(LEFT($H254,2)),"")</f>
        <v/>
      </c>
      <c r="J254">
        <f>IF($N254=1,VALUE(MID($H254,9,2)),"")</f>
        <v/>
      </c>
      <c r="K254">
        <f>IF($N254=1,MOD($J254-$I254,24),0)</f>
        <v/>
      </c>
      <c r="L254">
        <f>IF($N254=1,$E254*24+$I254,"")</f>
        <v/>
      </c>
      <c r="M254">
        <f>IF($N254=1,$L254+$K254,"")</f>
        <v/>
      </c>
      <c r="N254">
        <f>IF(ISNUMBER(SEARCH(" - ",$H254&amp;"")),1,0)</f>
        <v/>
      </c>
      <c r="O254">
        <f>IF(UPPER($H254&amp;"")="LEAVE",1,0)</f>
        <v/>
      </c>
      <c r="P254">
        <f>IF($N254=1,$K254,0)</f>
        <v/>
      </c>
      <c r="Q254">
        <f>IF($N254=0,"",IFERROR($L254-'Previous Engine'!$M$38,""))</f>
        <v/>
      </c>
    </row>
    <row r="255">
      <c r="A255" t="n">
        <v>254</v>
      </c>
      <c r="B255">
        <f>Schedule!$A$39</f>
        <v/>
      </c>
      <c r="C255">
        <f>Schedule!$D$39</f>
        <v/>
      </c>
      <c r="D255">
        <f>Schedule!$F$39</f>
        <v/>
      </c>
      <c r="E255" t="n">
        <v>1</v>
      </c>
      <c r="F255">
        <f>Schedule!$H$1</f>
        <v/>
      </c>
      <c r="G255">
        <f>Schedule!$H$2</f>
        <v/>
      </c>
      <c r="H255">
        <f>Schedule!$H$39</f>
        <v/>
      </c>
      <c r="I255">
        <f>IF($N255=1,VALUE(LEFT($H255,2)),"")</f>
        <v/>
      </c>
      <c r="J255">
        <f>IF($N255=1,VALUE(MID($H255,9,2)),"")</f>
        <v/>
      </c>
      <c r="K255">
        <f>IF($N255=1,MOD($J255-$I255,24),0)</f>
        <v/>
      </c>
      <c r="L255">
        <f>IF($N255=1,$E255*24+$I255,"")</f>
        <v/>
      </c>
      <c r="M255">
        <f>IF($N255=1,$L255+$K255,"")</f>
        <v/>
      </c>
      <c r="N255">
        <f>IF(ISNUMBER(SEARCH(" - ",$H255&amp;"")),1,0)</f>
        <v/>
      </c>
      <c r="O255">
        <f>IF(UPPER($H255&amp;"")="LEAVE",1,0)</f>
        <v/>
      </c>
      <c r="P255">
        <f>IF($N255=1,$K255,0)</f>
        <v/>
      </c>
      <c r="Q255">
        <f>IF($N255=0,"",IFERROR($L255-LOOKUP(2,1/(($B$2:$B254=$B255)*($N$2:$N254=1)),$M$2:$M254),""))</f>
        <v/>
      </c>
    </row>
    <row r="256">
      <c r="A256" t="n">
        <v>255</v>
      </c>
      <c r="B256">
        <f>Schedule!$A$39</f>
        <v/>
      </c>
      <c r="C256">
        <f>Schedule!$D$39</f>
        <v/>
      </c>
      <c r="D256">
        <f>Schedule!$F$39</f>
        <v/>
      </c>
      <c r="E256" t="n">
        <v>2</v>
      </c>
      <c r="F256">
        <f>Schedule!$I$1</f>
        <v/>
      </c>
      <c r="G256">
        <f>Schedule!$I$2</f>
        <v/>
      </c>
      <c r="H256">
        <f>Schedule!$I$39</f>
        <v/>
      </c>
      <c r="I256">
        <f>IF($N256=1,VALUE(LEFT($H256,2)),"")</f>
        <v/>
      </c>
      <c r="J256">
        <f>IF($N256=1,VALUE(MID($H256,9,2)),"")</f>
        <v/>
      </c>
      <c r="K256">
        <f>IF($N256=1,MOD($J256-$I256,24),0)</f>
        <v/>
      </c>
      <c r="L256">
        <f>IF($N256=1,$E256*24+$I256,"")</f>
        <v/>
      </c>
      <c r="M256">
        <f>IF($N256=1,$L256+$K256,"")</f>
        <v/>
      </c>
      <c r="N256">
        <f>IF(ISNUMBER(SEARCH(" - ",$H256&amp;"")),1,0)</f>
        <v/>
      </c>
      <c r="O256">
        <f>IF(UPPER($H256&amp;"")="LEAVE",1,0)</f>
        <v/>
      </c>
      <c r="P256">
        <f>IF($N256=1,$K256,0)</f>
        <v/>
      </c>
      <c r="Q256">
        <f>IF($N256=0,"",IFERROR($L256-LOOKUP(2,1/(($B$2:$B255=$B256)*($N$2:$N255=1)),$M$2:$M255),""))</f>
        <v/>
      </c>
    </row>
    <row r="257">
      <c r="A257" t="n">
        <v>256</v>
      </c>
      <c r="B257">
        <f>Schedule!$A$39</f>
        <v/>
      </c>
      <c r="C257">
        <f>Schedule!$D$39</f>
        <v/>
      </c>
      <c r="D257">
        <f>Schedule!$F$39</f>
        <v/>
      </c>
      <c r="E257" t="n">
        <v>3</v>
      </c>
      <c r="F257">
        <f>Schedule!$J$1</f>
        <v/>
      </c>
      <c r="G257">
        <f>Schedule!$J$2</f>
        <v/>
      </c>
      <c r="H257">
        <f>Schedule!$J$39</f>
        <v/>
      </c>
      <c r="I257">
        <f>IF($N257=1,VALUE(LEFT($H257,2)),"")</f>
        <v/>
      </c>
      <c r="J257">
        <f>IF($N257=1,VALUE(MID($H257,9,2)),"")</f>
        <v/>
      </c>
      <c r="K257">
        <f>IF($N257=1,MOD($J257-$I257,24),0)</f>
        <v/>
      </c>
      <c r="L257">
        <f>IF($N257=1,$E257*24+$I257,"")</f>
        <v/>
      </c>
      <c r="M257">
        <f>IF($N257=1,$L257+$K257,"")</f>
        <v/>
      </c>
      <c r="N257">
        <f>IF(ISNUMBER(SEARCH(" - ",$H257&amp;"")),1,0)</f>
        <v/>
      </c>
      <c r="O257">
        <f>IF(UPPER($H257&amp;"")="LEAVE",1,0)</f>
        <v/>
      </c>
      <c r="P257">
        <f>IF($N257=1,$K257,0)</f>
        <v/>
      </c>
      <c r="Q257">
        <f>IF($N257=0,"",IFERROR($L257-LOOKUP(2,1/(($B$2:$B256=$B257)*($N$2:$N256=1)),$M$2:$M256),""))</f>
        <v/>
      </c>
    </row>
    <row r="258">
      <c r="A258" t="n">
        <v>257</v>
      </c>
      <c r="B258">
        <f>Schedule!$A$39</f>
        <v/>
      </c>
      <c r="C258">
        <f>Schedule!$D$39</f>
        <v/>
      </c>
      <c r="D258">
        <f>Schedule!$F$39</f>
        <v/>
      </c>
      <c r="E258" t="n">
        <v>4</v>
      </c>
      <c r="F258">
        <f>Schedule!$K$1</f>
        <v/>
      </c>
      <c r="G258">
        <f>Schedule!$K$2</f>
        <v/>
      </c>
      <c r="H258">
        <f>Schedule!$K$39</f>
        <v/>
      </c>
      <c r="I258">
        <f>IF($N258=1,VALUE(LEFT($H258,2)),"")</f>
        <v/>
      </c>
      <c r="J258">
        <f>IF($N258=1,VALUE(MID($H258,9,2)),"")</f>
        <v/>
      </c>
      <c r="K258">
        <f>IF($N258=1,MOD($J258-$I258,24),0)</f>
        <v/>
      </c>
      <c r="L258">
        <f>IF($N258=1,$E258*24+$I258,"")</f>
        <v/>
      </c>
      <c r="M258">
        <f>IF($N258=1,$L258+$K258,"")</f>
        <v/>
      </c>
      <c r="N258">
        <f>IF(ISNUMBER(SEARCH(" - ",$H258&amp;"")),1,0)</f>
        <v/>
      </c>
      <c r="O258">
        <f>IF(UPPER($H258&amp;"")="LEAVE",1,0)</f>
        <v/>
      </c>
      <c r="P258">
        <f>IF($N258=1,$K258,0)</f>
        <v/>
      </c>
      <c r="Q258">
        <f>IF($N258=0,"",IFERROR($L258-LOOKUP(2,1/(($B$2:$B257=$B258)*($N$2:$N257=1)),$M$2:$M257),""))</f>
        <v/>
      </c>
    </row>
    <row r="259">
      <c r="A259" t="n">
        <v>258</v>
      </c>
      <c r="B259">
        <f>Schedule!$A$39</f>
        <v/>
      </c>
      <c r="C259">
        <f>Schedule!$D$39</f>
        <v/>
      </c>
      <c r="D259">
        <f>Schedule!$F$39</f>
        <v/>
      </c>
      <c r="E259" t="n">
        <v>5</v>
      </c>
      <c r="F259">
        <f>Schedule!$L$1</f>
        <v/>
      </c>
      <c r="G259">
        <f>Schedule!$L$2</f>
        <v/>
      </c>
      <c r="H259">
        <f>Schedule!$L$39</f>
        <v/>
      </c>
      <c r="I259">
        <f>IF($N259=1,VALUE(LEFT($H259,2)),"")</f>
        <v/>
      </c>
      <c r="J259">
        <f>IF($N259=1,VALUE(MID($H259,9,2)),"")</f>
        <v/>
      </c>
      <c r="K259">
        <f>IF($N259=1,MOD($J259-$I259,24),0)</f>
        <v/>
      </c>
      <c r="L259">
        <f>IF($N259=1,$E259*24+$I259,"")</f>
        <v/>
      </c>
      <c r="M259">
        <f>IF($N259=1,$L259+$K259,"")</f>
        <v/>
      </c>
      <c r="N259">
        <f>IF(ISNUMBER(SEARCH(" - ",$H259&amp;"")),1,0)</f>
        <v/>
      </c>
      <c r="O259">
        <f>IF(UPPER($H259&amp;"")="LEAVE",1,0)</f>
        <v/>
      </c>
      <c r="P259">
        <f>IF($N259=1,$K259,0)</f>
        <v/>
      </c>
      <c r="Q259">
        <f>IF($N259=0,"",IFERROR($L259-LOOKUP(2,1/(($B$2:$B258=$B259)*($N$2:$N258=1)),$M$2:$M258),""))</f>
        <v/>
      </c>
    </row>
    <row r="260">
      <c r="A260" t="n">
        <v>259</v>
      </c>
      <c r="B260">
        <f>Schedule!$A$39</f>
        <v/>
      </c>
      <c r="C260">
        <f>Schedule!$D$39</f>
        <v/>
      </c>
      <c r="D260">
        <f>Schedule!$F$39</f>
        <v/>
      </c>
      <c r="E260" t="n">
        <v>6</v>
      </c>
      <c r="F260">
        <f>Schedule!$M$1</f>
        <v/>
      </c>
      <c r="G260">
        <f>Schedule!$M$2</f>
        <v/>
      </c>
      <c r="H260">
        <f>Schedule!$M$39</f>
        <v/>
      </c>
      <c r="I260">
        <f>IF($N260=1,VALUE(LEFT($H260,2)),"")</f>
        <v/>
      </c>
      <c r="J260">
        <f>IF($N260=1,VALUE(MID($H260,9,2)),"")</f>
        <v/>
      </c>
      <c r="K260">
        <f>IF($N260=1,MOD($J260-$I260,24),0)</f>
        <v/>
      </c>
      <c r="L260">
        <f>IF($N260=1,$E260*24+$I260,"")</f>
        <v/>
      </c>
      <c r="M260">
        <f>IF($N260=1,$L260+$K260,"")</f>
        <v/>
      </c>
      <c r="N260">
        <f>IF(ISNUMBER(SEARCH(" - ",$H260&amp;"")),1,0)</f>
        <v/>
      </c>
      <c r="O260">
        <f>IF(UPPER($H260&amp;"")="LEAVE",1,0)</f>
        <v/>
      </c>
      <c r="P260">
        <f>IF($N260=1,$K260,0)</f>
        <v/>
      </c>
      <c r="Q260">
        <f>IF($N260=0,"",IFERROR($L260-LOOKUP(2,1/(($B$2:$B259=$B260)*($N$2:$N259=1)),$M$2:$M259),""))</f>
        <v/>
      </c>
    </row>
    <row r="261">
      <c r="A261" t="n">
        <v>260</v>
      </c>
      <c r="B261">
        <f>Schedule!$A$40</f>
        <v/>
      </c>
      <c r="C261">
        <f>Schedule!$D$40</f>
        <v/>
      </c>
      <c r="D261">
        <f>Schedule!$F$40</f>
        <v/>
      </c>
      <c r="E261" t="n">
        <v>0</v>
      </c>
      <c r="F261">
        <f>Schedule!$G$1</f>
        <v/>
      </c>
      <c r="G261">
        <f>Schedule!$G$2</f>
        <v/>
      </c>
      <c r="H261">
        <f>Schedule!$G$40</f>
        <v/>
      </c>
      <c r="I261">
        <f>IF($N261=1,VALUE(LEFT($H261,2)),"")</f>
        <v/>
      </c>
      <c r="J261">
        <f>IF($N261=1,VALUE(MID($H261,9,2)),"")</f>
        <v/>
      </c>
      <c r="K261">
        <f>IF($N261=1,MOD($J261-$I261,24),0)</f>
        <v/>
      </c>
      <c r="L261">
        <f>IF($N261=1,$E261*24+$I261,"")</f>
        <v/>
      </c>
      <c r="M261">
        <f>IF($N261=1,$L261+$K261,"")</f>
        <v/>
      </c>
      <c r="N261">
        <f>IF(ISNUMBER(SEARCH(" - ",$H261&amp;"")),1,0)</f>
        <v/>
      </c>
      <c r="O261">
        <f>IF(UPPER($H261&amp;"")="LEAVE",1,0)</f>
        <v/>
      </c>
      <c r="P261">
        <f>IF($N261=1,$K261,0)</f>
        <v/>
      </c>
      <c r="Q261">
        <f>IF($N261=0,"",IFERROR($L261-'Previous Engine'!$M$39,""))</f>
        <v/>
      </c>
    </row>
    <row r="262">
      <c r="A262" t="n">
        <v>261</v>
      </c>
      <c r="B262">
        <f>Schedule!$A$40</f>
        <v/>
      </c>
      <c r="C262">
        <f>Schedule!$D$40</f>
        <v/>
      </c>
      <c r="D262">
        <f>Schedule!$F$40</f>
        <v/>
      </c>
      <c r="E262" t="n">
        <v>1</v>
      </c>
      <c r="F262">
        <f>Schedule!$H$1</f>
        <v/>
      </c>
      <c r="G262">
        <f>Schedule!$H$2</f>
        <v/>
      </c>
      <c r="H262">
        <f>Schedule!$H$40</f>
        <v/>
      </c>
      <c r="I262">
        <f>IF($N262=1,VALUE(LEFT($H262,2)),"")</f>
        <v/>
      </c>
      <c r="J262">
        <f>IF($N262=1,VALUE(MID($H262,9,2)),"")</f>
        <v/>
      </c>
      <c r="K262">
        <f>IF($N262=1,MOD($J262-$I262,24),0)</f>
        <v/>
      </c>
      <c r="L262">
        <f>IF($N262=1,$E262*24+$I262,"")</f>
        <v/>
      </c>
      <c r="M262">
        <f>IF($N262=1,$L262+$K262,"")</f>
        <v/>
      </c>
      <c r="N262">
        <f>IF(ISNUMBER(SEARCH(" - ",$H262&amp;"")),1,0)</f>
        <v/>
      </c>
      <c r="O262">
        <f>IF(UPPER($H262&amp;"")="LEAVE",1,0)</f>
        <v/>
      </c>
      <c r="P262">
        <f>IF($N262=1,$K262,0)</f>
        <v/>
      </c>
      <c r="Q262">
        <f>IF($N262=0,"",IFERROR($L262-LOOKUP(2,1/(($B$2:$B261=$B262)*($N$2:$N261=1)),$M$2:$M261),""))</f>
        <v/>
      </c>
    </row>
    <row r="263">
      <c r="A263" t="n">
        <v>262</v>
      </c>
      <c r="B263">
        <f>Schedule!$A$40</f>
        <v/>
      </c>
      <c r="C263">
        <f>Schedule!$D$40</f>
        <v/>
      </c>
      <c r="D263">
        <f>Schedule!$F$40</f>
        <v/>
      </c>
      <c r="E263" t="n">
        <v>2</v>
      </c>
      <c r="F263">
        <f>Schedule!$I$1</f>
        <v/>
      </c>
      <c r="G263">
        <f>Schedule!$I$2</f>
        <v/>
      </c>
      <c r="H263">
        <f>Schedule!$I$40</f>
        <v/>
      </c>
      <c r="I263">
        <f>IF($N263=1,VALUE(LEFT($H263,2)),"")</f>
        <v/>
      </c>
      <c r="J263">
        <f>IF($N263=1,VALUE(MID($H263,9,2)),"")</f>
        <v/>
      </c>
      <c r="K263">
        <f>IF($N263=1,MOD($J263-$I263,24),0)</f>
        <v/>
      </c>
      <c r="L263">
        <f>IF($N263=1,$E263*24+$I263,"")</f>
        <v/>
      </c>
      <c r="M263">
        <f>IF($N263=1,$L263+$K263,"")</f>
        <v/>
      </c>
      <c r="N263">
        <f>IF(ISNUMBER(SEARCH(" - ",$H263&amp;"")),1,0)</f>
        <v/>
      </c>
      <c r="O263">
        <f>IF(UPPER($H263&amp;"")="LEAVE",1,0)</f>
        <v/>
      </c>
      <c r="P263">
        <f>IF($N263=1,$K263,0)</f>
        <v/>
      </c>
      <c r="Q263">
        <f>IF($N263=0,"",IFERROR($L263-LOOKUP(2,1/(($B$2:$B262=$B263)*($N$2:$N262=1)),$M$2:$M262),""))</f>
        <v/>
      </c>
    </row>
    <row r="264">
      <c r="A264" t="n">
        <v>263</v>
      </c>
      <c r="B264">
        <f>Schedule!$A$40</f>
        <v/>
      </c>
      <c r="C264">
        <f>Schedule!$D$40</f>
        <v/>
      </c>
      <c r="D264">
        <f>Schedule!$F$40</f>
        <v/>
      </c>
      <c r="E264" t="n">
        <v>3</v>
      </c>
      <c r="F264">
        <f>Schedule!$J$1</f>
        <v/>
      </c>
      <c r="G264">
        <f>Schedule!$J$2</f>
        <v/>
      </c>
      <c r="H264">
        <f>Schedule!$J$40</f>
        <v/>
      </c>
      <c r="I264">
        <f>IF($N264=1,VALUE(LEFT($H264,2)),"")</f>
        <v/>
      </c>
      <c r="J264">
        <f>IF($N264=1,VALUE(MID($H264,9,2)),"")</f>
        <v/>
      </c>
      <c r="K264">
        <f>IF($N264=1,MOD($J264-$I264,24),0)</f>
        <v/>
      </c>
      <c r="L264">
        <f>IF($N264=1,$E264*24+$I264,"")</f>
        <v/>
      </c>
      <c r="M264">
        <f>IF($N264=1,$L264+$K264,"")</f>
        <v/>
      </c>
      <c r="N264">
        <f>IF(ISNUMBER(SEARCH(" - ",$H264&amp;"")),1,0)</f>
        <v/>
      </c>
      <c r="O264">
        <f>IF(UPPER($H264&amp;"")="LEAVE",1,0)</f>
        <v/>
      </c>
      <c r="P264">
        <f>IF($N264=1,$K264,0)</f>
        <v/>
      </c>
      <c r="Q264">
        <f>IF($N264=0,"",IFERROR($L264-LOOKUP(2,1/(($B$2:$B263=$B264)*($N$2:$N263=1)),$M$2:$M263),""))</f>
        <v/>
      </c>
    </row>
    <row r="265">
      <c r="A265" t="n">
        <v>264</v>
      </c>
      <c r="B265">
        <f>Schedule!$A$40</f>
        <v/>
      </c>
      <c r="C265">
        <f>Schedule!$D$40</f>
        <v/>
      </c>
      <c r="D265">
        <f>Schedule!$F$40</f>
        <v/>
      </c>
      <c r="E265" t="n">
        <v>4</v>
      </c>
      <c r="F265">
        <f>Schedule!$K$1</f>
        <v/>
      </c>
      <c r="G265">
        <f>Schedule!$K$2</f>
        <v/>
      </c>
      <c r="H265">
        <f>Schedule!$K$40</f>
        <v/>
      </c>
      <c r="I265">
        <f>IF($N265=1,VALUE(LEFT($H265,2)),"")</f>
        <v/>
      </c>
      <c r="J265">
        <f>IF($N265=1,VALUE(MID($H265,9,2)),"")</f>
        <v/>
      </c>
      <c r="K265">
        <f>IF($N265=1,MOD($J265-$I265,24),0)</f>
        <v/>
      </c>
      <c r="L265">
        <f>IF($N265=1,$E265*24+$I265,"")</f>
        <v/>
      </c>
      <c r="M265">
        <f>IF($N265=1,$L265+$K265,"")</f>
        <v/>
      </c>
      <c r="N265">
        <f>IF(ISNUMBER(SEARCH(" - ",$H265&amp;"")),1,0)</f>
        <v/>
      </c>
      <c r="O265">
        <f>IF(UPPER($H265&amp;"")="LEAVE",1,0)</f>
        <v/>
      </c>
      <c r="P265">
        <f>IF($N265=1,$K265,0)</f>
        <v/>
      </c>
      <c r="Q265">
        <f>IF($N265=0,"",IFERROR($L265-LOOKUP(2,1/(($B$2:$B264=$B265)*($N$2:$N264=1)),$M$2:$M264),""))</f>
        <v/>
      </c>
    </row>
    <row r="266">
      <c r="A266" t="n">
        <v>265</v>
      </c>
      <c r="B266">
        <f>Schedule!$A$40</f>
        <v/>
      </c>
      <c r="C266">
        <f>Schedule!$D$40</f>
        <v/>
      </c>
      <c r="D266">
        <f>Schedule!$F$40</f>
        <v/>
      </c>
      <c r="E266" t="n">
        <v>5</v>
      </c>
      <c r="F266">
        <f>Schedule!$L$1</f>
        <v/>
      </c>
      <c r="G266">
        <f>Schedule!$L$2</f>
        <v/>
      </c>
      <c r="H266">
        <f>Schedule!$L$40</f>
        <v/>
      </c>
      <c r="I266">
        <f>IF($N266=1,VALUE(LEFT($H266,2)),"")</f>
        <v/>
      </c>
      <c r="J266">
        <f>IF($N266=1,VALUE(MID($H266,9,2)),"")</f>
        <v/>
      </c>
      <c r="K266">
        <f>IF($N266=1,MOD($J266-$I266,24),0)</f>
        <v/>
      </c>
      <c r="L266">
        <f>IF($N266=1,$E266*24+$I266,"")</f>
        <v/>
      </c>
      <c r="M266">
        <f>IF($N266=1,$L266+$K266,"")</f>
        <v/>
      </c>
      <c r="N266">
        <f>IF(ISNUMBER(SEARCH(" - ",$H266&amp;"")),1,0)</f>
        <v/>
      </c>
      <c r="O266">
        <f>IF(UPPER($H266&amp;"")="LEAVE",1,0)</f>
        <v/>
      </c>
      <c r="P266">
        <f>IF($N266=1,$K266,0)</f>
        <v/>
      </c>
      <c r="Q266">
        <f>IF($N266=0,"",IFERROR($L266-LOOKUP(2,1/(($B$2:$B265=$B266)*($N$2:$N265=1)),$M$2:$M265),""))</f>
        <v/>
      </c>
    </row>
    <row r="267">
      <c r="A267" t="n">
        <v>266</v>
      </c>
      <c r="B267">
        <f>Schedule!$A$40</f>
        <v/>
      </c>
      <c r="C267">
        <f>Schedule!$D$40</f>
        <v/>
      </c>
      <c r="D267">
        <f>Schedule!$F$40</f>
        <v/>
      </c>
      <c r="E267" t="n">
        <v>6</v>
      </c>
      <c r="F267">
        <f>Schedule!$M$1</f>
        <v/>
      </c>
      <c r="G267">
        <f>Schedule!$M$2</f>
        <v/>
      </c>
      <c r="H267">
        <f>Schedule!$M$40</f>
        <v/>
      </c>
      <c r="I267">
        <f>IF($N267=1,VALUE(LEFT($H267,2)),"")</f>
        <v/>
      </c>
      <c r="J267">
        <f>IF($N267=1,VALUE(MID($H267,9,2)),"")</f>
        <v/>
      </c>
      <c r="K267">
        <f>IF($N267=1,MOD($J267-$I267,24),0)</f>
        <v/>
      </c>
      <c r="L267">
        <f>IF($N267=1,$E267*24+$I267,"")</f>
        <v/>
      </c>
      <c r="M267">
        <f>IF($N267=1,$L267+$K267,"")</f>
        <v/>
      </c>
      <c r="N267">
        <f>IF(ISNUMBER(SEARCH(" - ",$H267&amp;"")),1,0)</f>
        <v/>
      </c>
      <c r="O267">
        <f>IF(UPPER($H267&amp;"")="LEAVE",1,0)</f>
        <v/>
      </c>
      <c r="P267">
        <f>IF($N267=1,$K267,0)</f>
        <v/>
      </c>
      <c r="Q267">
        <f>IF($N267=0,"",IFERROR($L267-LOOKUP(2,1/(($B$2:$B266=$B267)*($N$2:$N266=1)),$M$2:$M266),""))</f>
        <v/>
      </c>
    </row>
    <row r="268">
      <c r="A268" t="n">
        <v>267</v>
      </c>
      <c r="B268">
        <f>Schedule!$A$41</f>
        <v/>
      </c>
      <c r="C268">
        <f>Schedule!$D$41</f>
        <v/>
      </c>
      <c r="D268">
        <f>Schedule!$F$41</f>
        <v/>
      </c>
      <c r="E268" t="n">
        <v>0</v>
      </c>
      <c r="F268">
        <f>Schedule!$G$1</f>
        <v/>
      </c>
      <c r="G268">
        <f>Schedule!$G$2</f>
        <v/>
      </c>
      <c r="H268">
        <f>Schedule!$G$41</f>
        <v/>
      </c>
      <c r="I268">
        <f>IF($N268=1,VALUE(LEFT($H268,2)),"")</f>
        <v/>
      </c>
      <c r="J268">
        <f>IF($N268=1,VALUE(MID($H268,9,2)),"")</f>
        <v/>
      </c>
      <c r="K268">
        <f>IF($N268=1,MOD($J268-$I268,24),0)</f>
        <v/>
      </c>
      <c r="L268">
        <f>IF($N268=1,$E268*24+$I268,"")</f>
        <v/>
      </c>
      <c r="M268">
        <f>IF($N268=1,$L268+$K268,"")</f>
        <v/>
      </c>
      <c r="N268">
        <f>IF(ISNUMBER(SEARCH(" - ",$H268&amp;"")),1,0)</f>
        <v/>
      </c>
      <c r="O268">
        <f>IF(UPPER($H268&amp;"")="LEAVE",1,0)</f>
        <v/>
      </c>
      <c r="P268">
        <f>IF($N268=1,$K268,0)</f>
        <v/>
      </c>
      <c r="Q268">
        <f>IF($N268=0,"",IFERROR($L268-'Previous Engine'!$M$40,""))</f>
        <v/>
      </c>
    </row>
    <row r="269">
      <c r="A269" t="n">
        <v>268</v>
      </c>
      <c r="B269">
        <f>Schedule!$A$41</f>
        <v/>
      </c>
      <c r="C269">
        <f>Schedule!$D$41</f>
        <v/>
      </c>
      <c r="D269">
        <f>Schedule!$F$41</f>
        <v/>
      </c>
      <c r="E269" t="n">
        <v>1</v>
      </c>
      <c r="F269">
        <f>Schedule!$H$1</f>
        <v/>
      </c>
      <c r="G269">
        <f>Schedule!$H$2</f>
        <v/>
      </c>
      <c r="H269">
        <f>Schedule!$H$41</f>
        <v/>
      </c>
      <c r="I269">
        <f>IF($N269=1,VALUE(LEFT($H269,2)),"")</f>
        <v/>
      </c>
      <c r="J269">
        <f>IF($N269=1,VALUE(MID($H269,9,2)),"")</f>
        <v/>
      </c>
      <c r="K269">
        <f>IF($N269=1,MOD($J269-$I269,24),0)</f>
        <v/>
      </c>
      <c r="L269">
        <f>IF($N269=1,$E269*24+$I269,"")</f>
        <v/>
      </c>
      <c r="M269">
        <f>IF($N269=1,$L269+$K269,"")</f>
        <v/>
      </c>
      <c r="N269">
        <f>IF(ISNUMBER(SEARCH(" - ",$H269&amp;"")),1,0)</f>
        <v/>
      </c>
      <c r="O269">
        <f>IF(UPPER($H269&amp;"")="LEAVE",1,0)</f>
        <v/>
      </c>
      <c r="P269">
        <f>IF($N269=1,$K269,0)</f>
        <v/>
      </c>
      <c r="Q269">
        <f>IF($N269=0,"",IFERROR($L269-LOOKUP(2,1/(($B$2:$B268=$B269)*($N$2:$N268=1)),$M$2:$M268),""))</f>
        <v/>
      </c>
    </row>
    <row r="270">
      <c r="A270" t="n">
        <v>269</v>
      </c>
      <c r="B270">
        <f>Schedule!$A$41</f>
        <v/>
      </c>
      <c r="C270">
        <f>Schedule!$D$41</f>
        <v/>
      </c>
      <c r="D270">
        <f>Schedule!$F$41</f>
        <v/>
      </c>
      <c r="E270" t="n">
        <v>2</v>
      </c>
      <c r="F270">
        <f>Schedule!$I$1</f>
        <v/>
      </c>
      <c r="G270">
        <f>Schedule!$I$2</f>
        <v/>
      </c>
      <c r="H270">
        <f>Schedule!$I$41</f>
        <v/>
      </c>
      <c r="I270">
        <f>IF($N270=1,VALUE(LEFT($H270,2)),"")</f>
        <v/>
      </c>
      <c r="J270">
        <f>IF($N270=1,VALUE(MID($H270,9,2)),"")</f>
        <v/>
      </c>
      <c r="K270">
        <f>IF($N270=1,MOD($J270-$I270,24),0)</f>
        <v/>
      </c>
      <c r="L270">
        <f>IF($N270=1,$E270*24+$I270,"")</f>
        <v/>
      </c>
      <c r="M270">
        <f>IF($N270=1,$L270+$K270,"")</f>
        <v/>
      </c>
      <c r="N270">
        <f>IF(ISNUMBER(SEARCH(" - ",$H270&amp;"")),1,0)</f>
        <v/>
      </c>
      <c r="O270">
        <f>IF(UPPER($H270&amp;"")="LEAVE",1,0)</f>
        <v/>
      </c>
      <c r="P270">
        <f>IF($N270=1,$K270,0)</f>
        <v/>
      </c>
      <c r="Q270">
        <f>IF($N270=0,"",IFERROR($L270-LOOKUP(2,1/(($B$2:$B269=$B270)*($N$2:$N269=1)),$M$2:$M269),""))</f>
        <v/>
      </c>
    </row>
    <row r="271">
      <c r="A271" t="n">
        <v>270</v>
      </c>
      <c r="B271">
        <f>Schedule!$A$41</f>
        <v/>
      </c>
      <c r="C271">
        <f>Schedule!$D$41</f>
        <v/>
      </c>
      <c r="D271">
        <f>Schedule!$F$41</f>
        <v/>
      </c>
      <c r="E271" t="n">
        <v>3</v>
      </c>
      <c r="F271">
        <f>Schedule!$J$1</f>
        <v/>
      </c>
      <c r="G271">
        <f>Schedule!$J$2</f>
        <v/>
      </c>
      <c r="H271">
        <f>Schedule!$J$41</f>
        <v/>
      </c>
      <c r="I271">
        <f>IF($N271=1,VALUE(LEFT($H271,2)),"")</f>
        <v/>
      </c>
      <c r="J271">
        <f>IF($N271=1,VALUE(MID($H271,9,2)),"")</f>
        <v/>
      </c>
      <c r="K271">
        <f>IF($N271=1,MOD($J271-$I271,24),0)</f>
        <v/>
      </c>
      <c r="L271">
        <f>IF($N271=1,$E271*24+$I271,"")</f>
        <v/>
      </c>
      <c r="M271">
        <f>IF($N271=1,$L271+$K271,"")</f>
        <v/>
      </c>
      <c r="N271">
        <f>IF(ISNUMBER(SEARCH(" - ",$H271&amp;"")),1,0)</f>
        <v/>
      </c>
      <c r="O271">
        <f>IF(UPPER($H271&amp;"")="LEAVE",1,0)</f>
        <v/>
      </c>
      <c r="P271">
        <f>IF($N271=1,$K271,0)</f>
        <v/>
      </c>
      <c r="Q271">
        <f>IF($N271=0,"",IFERROR($L271-LOOKUP(2,1/(($B$2:$B270=$B271)*($N$2:$N270=1)),$M$2:$M270),""))</f>
        <v/>
      </c>
    </row>
    <row r="272">
      <c r="A272" t="n">
        <v>271</v>
      </c>
      <c r="B272">
        <f>Schedule!$A$41</f>
        <v/>
      </c>
      <c r="C272">
        <f>Schedule!$D$41</f>
        <v/>
      </c>
      <c r="D272">
        <f>Schedule!$F$41</f>
        <v/>
      </c>
      <c r="E272" t="n">
        <v>4</v>
      </c>
      <c r="F272">
        <f>Schedule!$K$1</f>
        <v/>
      </c>
      <c r="G272">
        <f>Schedule!$K$2</f>
        <v/>
      </c>
      <c r="H272">
        <f>Schedule!$K$41</f>
        <v/>
      </c>
      <c r="I272">
        <f>IF($N272=1,VALUE(LEFT($H272,2)),"")</f>
        <v/>
      </c>
      <c r="J272">
        <f>IF($N272=1,VALUE(MID($H272,9,2)),"")</f>
        <v/>
      </c>
      <c r="K272">
        <f>IF($N272=1,MOD($J272-$I272,24),0)</f>
        <v/>
      </c>
      <c r="L272">
        <f>IF($N272=1,$E272*24+$I272,"")</f>
        <v/>
      </c>
      <c r="M272">
        <f>IF($N272=1,$L272+$K272,"")</f>
        <v/>
      </c>
      <c r="N272">
        <f>IF(ISNUMBER(SEARCH(" - ",$H272&amp;"")),1,0)</f>
        <v/>
      </c>
      <c r="O272">
        <f>IF(UPPER($H272&amp;"")="LEAVE",1,0)</f>
        <v/>
      </c>
      <c r="P272">
        <f>IF($N272=1,$K272,0)</f>
        <v/>
      </c>
      <c r="Q272">
        <f>IF($N272=0,"",IFERROR($L272-LOOKUP(2,1/(($B$2:$B271=$B272)*($N$2:$N271=1)),$M$2:$M271),""))</f>
        <v/>
      </c>
    </row>
    <row r="273">
      <c r="A273" t="n">
        <v>272</v>
      </c>
      <c r="B273">
        <f>Schedule!$A$41</f>
        <v/>
      </c>
      <c r="C273">
        <f>Schedule!$D$41</f>
        <v/>
      </c>
      <c r="D273">
        <f>Schedule!$F$41</f>
        <v/>
      </c>
      <c r="E273" t="n">
        <v>5</v>
      </c>
      <c r="F273">
        <f>Schedule!$L$1</f>
        <v/>
      </c>
      <c r="G273">
        <f>Schedule!$L$2</f>
        <v/>
      </c>
      <c r="H273">
        <f>Schedule!$L$41</f>
        <v/>
      </c>
      <c r="I273">
        <f>IF($N273=1,VALUE(LEFT($H273,2)),"")</f>
        <v/>
      </c>
      <c r="J273">
        <f>IF($N273=1,VALUE(MID($H273,9,2)),"")</f>
        <v/>
      </c>
      <c r="K273">
        <f>IF($N273=1,MOD($J273-$I273,24),0)</f>
        <v/>
      </c>
      <c r="L273">
        <f>IF($N273=1,$E273*24+$I273,"")</f>
        <v/>
      </c>
      <c r="M273">
        <f>IF($N273=1,$L273+$K273,"")</f>
        <v/>
      </c>
      <c r="N273">
        <f>IF(ISNUMBER(SEARCH(" - ",$H273&amp;"")),1,0)</f>
        <v/>
      </c>
      <c r="O273">
        <f>IF(UPPER($H273&amp;"")="LEAVE",1,0)</f>
        <v/>
      </c>
      <c r="P273">
        <f>IF($N273=1,$K273,0)</f>
        <v/>
      </c>
      <c r="Q273">
        <f>IF($N273=0,"",IFERROR($L273-LOOKUP(2,1/(($B$2:$B272=$B273)*($N$2:$N272=1)),$M$2:$M272),""))</f>
        <v/>
      </c>
    </row>
    <row r="274">
      <c r="A274" t="n">
        <v>273</v>
      </c>
      <c r="B274">
        <f>Schedule!$A$41</f>
        <v/>
      </c>
      <c r="C274">
        <f>Schedule!$D$41</f>
        <v/>
      </c>
      <c r="D274">
        <f>Schedule!$F$41</f>
        <v/>
      </c>
      <c r="E274" t="n">
        <v>6</v>
      </c>
      <c r="F274">
        <f>Schedule!$M$1</f>
        <v/>
      </c>
      <c r="G274">
        <f>Schedule!$M$2</f>
        <v/>
      </c>
      <c r="H274">
        <f>Schedule!$M$41</f>
        <v/>
      </c>
      <c r="I274">
        <f>IF($N274=1,VALUE(LEFT($H274,2)),"")</f>
        <v/>
      </c>
      <c r="J274">
        <f>IF($N274=1,VALUE(MID($H274,9,2)),"")</f>
        <v/>
      </c>
      <c r="K274">
        <f>IF($N274=1,MOD($J274-$I274,24),0)</f>
        <v/>
      </c>
      <c r="L274">
        <f>IF($N274=1,$E274*24+$I274,"")</f>
        <v/>
      </c>
      <c r="M274">
        <f>IF($N274=1,$L274+$K274,"")</f>
        <v/>
      </c>
      <c r="N274">
        <f>IF(ISNUMBER(SEARCH(" - ",$H274&amp;"")),1,0)</f>
        <v/>
      </c>
      <c r="O274">
        <f>IF(UPPER($H274&amp;"")="LEAVE",1,0)</f>
        <v/>
      </c>
      <c r="P274">
        <f>IF($N274=1,$K274,0)</f>
        <v/>
      </c>
      <c r="Q274">
        <f>IF($N274=0,"",IFERROR($L274-LOOKUP(2,1/(($B$2:$B273=$B274)*($N$2:$N273=1)),$M$2:$M273),""))</f>
        <v/>
      </c>
    </row>
    <row r="275">
      <c r="A275" t="n">
        <v>274</v>
      </c>
      <c r="B275">
        <f>Schedule!$A$42</f>
        <v/>
      </c>
      <c r="C275">
        <f>Schedule!$D$42</f>
        <v/>
      </c>
      <c r="D275">
        <f>Schedule!$F$42</f>
        <v/>
      </c>
      <c r="E275" t="n">
        <v>0</v>
      </c>
      <c r="F275">
        <f>Schedule!$G$1</f>
        <v/>
      </c>
      <c r="G275">
        <f>Schedule!$G$2</f>
        <v/>
      </c>
      <c r="H275">
        <f>Schedule!$G$42</f>
        <v/>
      </c>
      <c r="I275">
        <f>IF($N275=1,VALUE(LEFT($H275,2)),"")</f>
        <v/>
      </c>
      <c r="J275">
        <f>IF($N275=1,VALUE(MID($H275,9,2)),"")</f>
        <v/>
      </c>
      <c r="K275">
        <f>IF($N275=1,MOD($J275-$I275,24),0)</f>
        <v/>
      </c>
      <c r="L275">
        <f>IF($N275=1,$E275*24+$I275,"")</f>
        <v/>
      </c>
      <c r="M275">
        <f>IF($N275=1,$L275+$K275,"")</f>
        <v/>
      </c>
      <c r="N275">
        <f>IF(ISNUMBER(SEARCH(" - ",$H275&amp;"")),1,0)</f>
        <v/>
      </c>
      <c r="O275">
        <f>IF(UPPER($H275&amp;"")="LEAVE",1,0)</f>
        <v/>
      </c>
      <c r="P275">
        <f>IF($N275=1,$K275,0)</f>
        <v/>
      </c>
      <c r="Q275">
        <f>IF($N275=0,"",IFERROR($L275-'Previous Engine'!$M$41,""))</f>
        <v/>
      </c>
    </row>
    <row r="276">
      <c r="A276" t="n">
        <v>275</v>
      </c>
      <c r="B276">
        <f>Schedule!$A$42</f>
        <v/>
      </c>
      <c r="C276">
        <f>Schedule!$D$42</f>
        <v/>
      </c>
      <c r="D276">
        <f>Schedule!$F$42</f>
        <v/>
      </c>
      <c r="E276" t="n">
        <v>1</v>
      </c>
      <c r="F276">
        <f>Schedule!$H$1</f>
        <v/>
      </c>
      <c r="G276">
        <f>Schedule!$H$2</f>
        <v/>
      </c>
      <c r="H276">
        <f>Schedule!$H$42</f>
        <v/>
      </c>
      <c r="I276">
        <f>IF($N276=1,VALUE(LEFT($H276,2)),"")</f>
        <v/>
      </c>
      <c r="J276">
        <f>IF($N276=1,VALUE(MID($H276,9,2)),"")</f>
        <v/>
      </c>
      <c r="K276">
        <f>IF($N276=1,MOD($J276-$I276,24),0)</f>
        <v/>
      </c>
      <c r="L276">
        <f>IF($N276=1,$E276*24+$I276,"")</f>
        <v/>
      </c>
      <c r="M276">
        <f>IF($N276=1,$L276+$K276,"")</f>
        <v/>
      </c>
      <c r="N276">
        <f>IF(ISNUMBER(SEARCH(" - ",$H276&amp;"")),1,0)</f>
        <v/>
      </c>
      <c r="O276">
        <f>IF(UPPER($H276&amp;"")="LEAVE",1,0)</f>
        <v/>
      </c>
      <c r="P276">
        <f>IF($N276=1,$K276,0)</f>
        <v/>
      </c>
      <c r="Q276">
        <f>IF($N276=0,"",IFERROR($L276-LOOKUP(2,1/(($B$2:$B275=$B276)*($N$2:$N275=1)),$M$2:$M275),""))</f>
        <v/>
      </c>
    </row>
    <row r="277">
      <c r="A277" t="n">
        <v>276</v>
      </c>
      <c r="B277">
        <f>Schedule!$A$42</f>
        <v/>
      </c>
      <c r="C277">
        <f>Schedule!$D$42</f>
        <v/>
      </c>
      <c r="D277">
        <f>Schedule!$F$42</f>
        <v/>
      </c>
      <c r="E277" t="n">
        <v>2</v>
      </c>
      <c r="F277">
        <f>Schedule!$I$1</f>
        <v/>
      </c>
      <c r="G277">
        <f>Schedule!$I$2</f>
        <v/>
      </c>
      <c r="H277">
        <f>Schedule!$I$42</f>
        <v/>
      </c>
      <c r="I277">
        <f>IF($N277=1,VALUE(LEFT($H277,2)),"")</f>
        <v/>
      </c>
      <c r="J277">
        <f>IF($N277=1,VALUE(MID($H277,9,2)),"")</f>
        <v/>
      </c>
      <c r="K277">
        <f>IF($N277=1,MOD($J277-$I277,24),0)</f>
        <v/>
      </c>
      <c r="L277">
        <f>IF($N277=1,$E277*24+$I277,"")</f>
        <v/>
      </c>
      <c r="M277">
        <f>IF($N277=1,$L277+$K277,"")</f>
        <v/>
      </c>
      <c r="N277">
        <f>IF(ISNUMBER(SEARCH(" - ",$H277&amp;"")),1,0)</f>
        <v/>
      </c>
      <c r="O277">
        <f>IF(UPPER($H277&amp;"")="LEAVE",1,0)</f>
        <v/>
      </c>
      <c r="P277">
        <f>IF($N277=1,$K277,0)</f>
        <v/>
      </c>
      <c r="Q277">
        <f>IF($N277=0,"",IFERROR($L277-LOOKUP(2,1/(($B$2:$B276=$B277)*($N$2:$N276=1)),$M$2:$M276),""))</f>
        <v/>
      </c>
    </row>
    <row r="278">
      <c r="A278" t="n">
        <v>277</v>
      </c>
      <c r="B278">
        <f>Schedule!$A$42</f>
        <v/>
      </c>
      <c r="C278">
        <f>Schedule!$D$42</f>
        <v/>
      </c>
      <c r="D278">
        <f>Schedule!$F$42</f>
        <v/>
      </c>
      <c r="E278" t="n">
        <v>3</v>
      </c>
      <c r="F278">
        <f>Schedule!$J$1</f>
        <v/>
      </c>
      <c r="G278">
        <f>Schedule!$J$2</f>
        <v/>
      </c>
      <c r="H278">
        <f>Schedule!$J$42</f>
        <v/>
      </c>
      <c r="I278">
        <f>IF($N278=1,VALUE(LEFT($H278,2)),"")</f>
        <v/>
      </c>
      <c r="J278">
        <f>IF($N278=1,VALUE(MID($H278,9,2)),"")</f>
        <v/>
      </c>
      <c r="K278">
        <f>IF($N278=1,MOD($J278-$I278,24),0)</f>
        <v/>
      </c>
      <c r="L278">
        <f>IF($N278=1,$E278*24+$I278,"")</f>
        <v/>
      </c>
      <c r="M278">
        <f>IF($N278=1,$L278+$K278,"")</f>
        <v/>
      </c>
      <c r="N278">
        <f>IF(ISNUMBER(SEARCH(" - ",$H278&amp;"")),1,0)</f>
        <v/>
      </c>
      <c r="O278">
        <f>IF(UPPER($H278&amp;"")="LEAVE",1,0)</f>
        <v/>
      </c>
      <c r="P278">
        <f>IF($N278=1,$K278,0)</f>
        <v/>
      </c>
      <c r="Q278">
        <f>IF($N278=0,"",IFERROR($L278-LOOKUP(2,1/(($B$2:$B277=$B278)*($N$2:$N277=1)),$M$2:$M277),""))</f>
        <v/>
      </c>
    </row>
    <row r="279">
      <c r="A279" t="n">
        <v>278</v>
      </c>
      <c r="B279">
        <f>Schedule!$A$42</f>
        <v/>
      </c>
      <c r="C279">
        <f>Schedule!$D$42</f>
        <v/>
      </c>
      <c r="D279">
        <f>Schedule!$F$42</f>
        <v/>
      </c>
      <c r="E279" t="n">
        <v>4</v>
      </c>
      <c r="F279">
        <f>Schedule!$K$1</f>
        <v/>
      </c>
      <c r="G279">
        <f>Schedule!$K$2</f>
        <v/>
      </c>
      <c r="H279">
        <f>Schedule!$K$42</f>
        <v/>
      </c>
      <c r="I279">
        <f>IF($N279=1,VALUE(LEFT($H279,2)),"")</f>
        <v/>
      </c>
      <c r="J279">
        <f>IF($N279=1,VALUE(MID($H279,9,2)),"")</f>
        <v/>
      </c>
      <c r="K279">
        <f>IF($N279=1,MOD($J279-$I279,24),0)</f>
        <v/>
      </c>
      <c r="L279">
        <f>IF($N279=1,$E279*24+$I279,"")</f>
        <v/>
      </c>
      <c r="M279">
        <f>IF($N279=1,$L279+$K279,"")</f>
        <v/>
      </c>
      <c r="N279">
        <f>IF(ISNUMBER(SEARCH(" - ",$H279&amp;"")),1,0)</f>
        <v/>
      </c>
      <c r="O279">
        <f>IF(UPPER($H279&amp;"")="LEAVE",1,0)</f>
        <v/>
      </c>
      <c r="P279">
        <f>IF($N279=1,$K279,0)</f>
        <v/>
      </c>
      <c r="Q279">
        <f>IF($N279=0,"",IFERROR($L279-LOOKUP(2,1/(($B$2:$B278=$B279)*($N$2:$N278=1)),$M$2:$M278),""))</f>
        <v/>
      </c>
    </row>
    <row r="280">
      <c r="A280" t="n">
        <v>279</v>
      </c>
      <c r="B280">
        <f>Schedule!$A$42</f>
        <v/>
      </c>
      <c r="C280">
        <f>Schedule!$D$42</f>
        <v/>
      </c>
      <c r="D280">
        <f>Schedule!$F$42</f>
        <v/>
      </c>
      <c r="E280" t="n">
        <v>5</v>
      </c>
      <c r="F280">
        <f>Schedule!$L$1</f>
        <v/>
      </c>
      <c r="G280">
        <f>Schedule!$L$2</f>
        <v/>
      </c>
      <c r="H280">
        <f>Schedule!$L$42</f>
        <v/>
      </c>
      <c r="I280">
        <f>IF($N280=1,VALUE(LEFT($H280,2)),"")</f>
        <v/>
      </c>
      <c r="J280">
        <f>IF($N280=1,VALUE(MID($H280,9,2)),"")</f>
        <v/>
      </c>
      <c r="K280">
        <f>IF($N280=1,MOD($J280-$I280,24),0)</f>
        <v/>
      </c>
      <c r="L280">
        <f>IF($N280=1,$E280*24+$I280,"")</f>
        <v/>
      </c>
      <c r="M280">
        <f>IF($N280=1,$L280+$K280,"")</f>
        <v/>
      </c>
      <c r="N280">
        <f>IF(ISNUMBER(SEARCH(" - ",$H280&amp;"")),1,0)</f>
        <v/>
      </c>
      <c r="O280">
        <f>IF(UPPER($H280&amp;"")="LEAVE",1,0)</f>
        <v/>
      </c>
      <c r="P280">
        <f>IF($N280=1,$K280,0)</f>
        <v/>
      </c>
      <c r="Q280">
        <f>IF($N280=0,"",IFERROR($L280-LOOKUP(2,1/(($B$2:$B279=$B280)*($N$2:$N279=1)),$M$2:$M279),""))</f>
        <v/>
      </c>
    </row>
    <row r="281">
      <c r="A281" t="n">
        <v>280</v>
      </c>
      <c r="B281">
        <f>Schedule!$A$42</f>
        <v/>
      </c>
      <c r="C281">
        <f>Schedule!$D$42</f>
        <v/>
      </c>
      <c r="D281">
        <f>Schedule!$F$42</f>
        <v/>
      </c>
      <c r="E281" t="n">
        <v>6</v>
      </c>
      <c r="F281">
        <f>Schedule!$M$1</f>
        <v/>
      </c>
      <c r="G281">
        <f>Schedule!$M$2</f>
        <v/>
      </c>
      <c r="H281">
        <f>Schedule!$M$42</f>
        <v/>
      </c>
      <c r="I281">
        <f>IF($N281=1,VALUE(LEFT($H281,2)),"")</f>
        <v/>
      </c>
      <c r="J281">
        <f>IF($N281=1,VALUE(MID($H281,9,2)),"")</f>
        <v/>
      </c>
      <c r="K281">
        <f>IF($N281=1,MOD($J281-$I281,24),0)</f>
        <v/>
      </c>
      <c r="L281">
        <f>IF($N281=1,$E281*24+$I281,"")</f>
        <v/>
      </c>
      <c r="M281">
        <f>IF($N281=1,$L281+$K281,"")</f>
        <v/>
      </c>
      <c r="N281">
        <f>IF(ISNUMBER(SEARCH(" - ",$H281&amp;"")),1,0)</f>
        <v/>
      </c>
      <c r="O281">
        <f>IF(UPPER($H281&amp;"")="LEAVE",1,0)</f>
        <v/>
      </c>
      <c r="P281">
        <f>IF($N281=1,$K281,0)</f>
        <v/>
      </c>
      <c r="Q281">
        <f>IF($N281=0,"",IFERROR($L281-LOOKUP(2,1/(($B$2:$B280=$B281)*($N$2:$N280=1)),$M$2:$M280),""))</f>
        <v/>
      </c>
    </row>
    <row r="282">
      <c r="A282" t="n">
        <v>281</v>
      </c>
      <c r="B282">
        <f>Schedule!$A$43</f>
        <v/>
      </c>
      <c r="C282">
        <f>Schedule!$D$43</f>
        <v/>
      </c>
      <c r="D282">
        <f>Schedule!$F$43</f>
        <v/>
      </c>
      <c r="E282" t="n">
        <v>0</v>
      </c>
      <c r="F282">
        <f>Schedule!$G$1</f>
        <v/>
      </c>
      <c r="G282">
        <f>Schedule!$G$2</f>
        <v/>
      </c>
      <c r="H282">
        <f>Schedule!$G$43</f>
        <v/>
      </c>
      <c r="I282">
        <f>IF($N282=1,VALUE(LEFT($H282,2)),"")</f>
        <v/>
      </c>
      <c r="J282">
        <f>IF($N282=1,VALUE(MID($H282,9,2)),"")</f>
        <v/>
      </c>
      <c r="K282">
        <f>IF($N282=1,MOD($J282-$I282,24),0)</f>
        <v/>
      </c>
      <c r="L282">
        <f>IF($N282=1,$E282*24+$I282,"")</f>
        <v/>
      </c>
      <c r="M282">
        <f>IF($N282=1,$L282+$K282,"")</f>
        <v/>
      </c>
      <c r="N282">
        <f>IF(ISNUMBER(SEARCH(" - ",$H282&amp;"")),1,0)</f>
        <v/>
      </c>
      <c r="O282">
        <f>IF(UPPER($H282&amp;"")="LEAVE",1,0)</f>
        <v/>
      </c>
      <c r="P282">
        <f>IF($N282=1,$K282,0)</f>
        <v/>
      </c>
      <c r="Q282">
        <f>IF($N282=0,"",IFERROR($L282-'Previous Engine'!$M$42,""))</f>
        <v/>
      </c>
    </row>
    <row r="283">
      <c r="A283" t="n">
        <v>282</v>
      </c>
      <c r="B283">
        <f>Schedule!$A$43</f>
        <v/>
      </c>
      <c r="C283">
        <f>Schedule!$D$43</f>
        <v/>
      </c>
      <c r="D283">
        <f>Schedule!$F$43</f>
        <v/>
      </c>
      <c r="E283" t="n">
        <v>1</v>
      </c>
      <c r="F283">
        <f>Schedule!$H$1</f>
        <v/>
      </c>
      <c r="G283">
        <f>Schedule!$H$2</f>
        <v/>
      </c>
      <c r="H283">
        <f>Schedule!$H$43</f>
        <v/>
      </c>
      <c r="I283">
        <f>IF($N283=1,VALUE(LEFT($H283,2)),"")</f>
        <v/>
      </c>
      <c r="J283">
        <f>IF($N283=1,VALUE(MID($H283,9,2)),"")</f>
        <v/>
      </c>
      <c r="K283">
        <f>IF($N283=1,MOD($J283-$I283,24),0)</f>
        <v/>
      </c>
      <c r="L283">
        <f>IF($N283=1,$E283*24+$I283,"")</f>
        <v/>
      </c>
      <c r="M283">
        <f>IF($N283=1,$L283+$K283,"")</f>
        <v/>
      </c>
      <c r="N283">
        <f>IF(ISNUMBER(SEARCH(" - ",$H283&amp;"")),1,0)</f>
        <v/>
      </c>
      <c r="O283">
        <f>IF(UPPER($H283&amp;"")="LEAVE",1,0)</f>
        <v/>
      </c>
      <c r="P283">
        <f>IF($N283=1,$K283,0)</f>
        <v/>
      </c>
      <c r="Q283">
        <f>IF($N283=0,"",IFERROR($L283-LOOKUP(2,1/(($B$2:$B282=$B283)*($N$2:$N282=1)),$M$2:$M282),""))</f>
        <v/>
      </c>
    </row>
    <row r="284">
      <c r="A284" t="n">
        <v>283</v>
      </c>
      <c r="B284">
        <f>Schedule!$A$43</f>
        <v/>
      </c>
      <c r="C284">
        <f>Schedule!$D$43</f>
        <v/>
      </c>
      <c r="D284">
        <f>Schedule!$F$43</f>
        <v/>
      </c>
      <c r="E284" t="n">
        <v>2</v>
      </c>
      <c r="F284">
        <f>Schedule!$I$1</f>
        <v/>
      </c>
      <c r="G284">
        <f>Schedule!$I$2</f>
        <v/>
      </c>
      <c r="H284">
        <f>Schedule!$I$43</f>
        <v/>
      </c>
      <c r="I284">
        <f>IF($N284=1,VALUE(LEFT($H284,2)),"")</f>
        <v/>
      </c>
      <c r="J284">
        <f>IF($N284=1,VALUE(MID($H284,9,2)),"")</f>
        <v/>
      </c>
      <c r="K284">
        <f>IF($N284=1,MOD($J284-$I284,24),0)</f>
        <v/>
      </c>
      <c r="L284">
        <f>IF($N284=1,$E284*24+$I284,"")</f>
        <v/>
      </c>
      <c r="M284">
        <f>IF($N284=1,$L284+$K284,"")</f>
        <v/>
      </c>
      <c r="N284">
        <f>IF(ISNUMBER(SEARCH(" - ",$H284&amp;"")),1,0)</f>
        <v/>
      </c>
      <c r="O284">
        <f>IF(UPPER($H284&amp;"")="LEAVE",1,0)</f>
        <v/>
      </c>
      <c r="P284">
        <f>IF($N284=1,$K284,0)</f>
        <v/>
      </c>
      <c r="Q284">
        <f>IF($N284=0,"",IFERROR($L284-LOOKUP(2,1/(($B$2:$B283=$B284)*($N$2:$N283=1)),$M$2:$M283),""))</f>
        <v/>
      </c>
    </row>
    <row r="285">
      <c r="A285" t="n">
        <v>284</v>
      </c>
      <c r="B285">
        <f>Schedule!$A$43</f>
        <v/>
      </c>
      <c r="C285">
        <f>Schedule!$D$43</f>
        <v/>
      </c>
      <c r="D285">
        <f>Schedule!$F$43</f>
        <v/>
      </c>
      <c r="E285" t="n">
        <v>3</v>
      </c>
      <c r="F285">
        <f>Schedule!$J$1</f>
        <v/>
      </c>
      <c r="G285">
        <f>Schedule!$J$2</f>
        <v/>
      </c>
      <c r="H285">
        <f>Schedule!$J$43</f>
        <v/>
      </c>
      <c r="I285">
        <f>IF($N285=1,VALUE(LEFT($H285,2)),"")</f>
        <v/>
      </c>
      <c r="J285">
        <f>IF($N285=1,VALUE(MID($H285,9,2)),"")</f>
        <v/>
      </c>
      <c r="K285">
        <f>IF($N285=1,MOD($J285-$I285,24),0)</f>
        <v/>
      </c>
      <c r="L285">
        <f>IF($N285=1,$E285*24+$I285,"")</f>
        <v/>
      </c>
      <c r="M285">
        <f>IF($N285=1,$L285+$K285,"")</f>
        <v/>
      </c>
      <c r="N285">
        <f>IF(ISNUMBER(SEARCH(" - ",$H285&amp;"")),1,0)</f>
        <v/>
      </c>
      <c r="O285">
        <f>IF(UPPER($H285&amp;"")="LEAVE",1,0)</f>
        <v/>
      </c>
      <c r="P285">
        <f>IF($N285=1,$K285,0)</f>
        <v/>
      </c>
      <c r="Q285">
        <f>IF($N285=0,"",IFERROR($L285-LOOKUP(2,1/(($B$2:$B284=$B285)*($N$2:$N284=1)),$M$2:$M284),""))</f>
        <v/>
      </c>
    </row>
    <row r="286">
      <c r="A286" t="n">
        <v>285</v>
      </c>
      <c r="B286">
        <f>Schedule!$A$43</f>
        <v/>
      </c>
      <c r="C286">
        <f>Schedule!$D$43</f>
        <v/>
      </c>
      <c r="D286">
        <f>Schedule!$F$43</f>
        <v/>
      </c>
      <c r="E286" t="n">
        <v>4</v>
      </c>
      <c r="F286">
        <f>Schedule!$K$1</f>
        <v/>
      </c>
      <c r="G286">
        <f>Schedule!$K$2</f>
        <v/>
      </c>
      <c r="H286">
        <f>Schedule!$K$43</f>
        <v/>
      </c>
      <c r="I286">
        <f>IF($N286=1,VALUE(LEFT($H286,2)),"")</f>
        <v/>
      </c>
      <c r="J286">
        <f>IF($N286=1,VALUE(MID($H286,9,2)),"")</f>
        <v/>
      </c>
      <c r="K286">
        <f>IF($N286=1,MOD($J286-$I286,24),0)</f>
        <v/>
      </c>
      <c r="L286">
        <f>IF($N286=1,$E286*24+$I286,"")</f>
        <v/>
      </c>
      <c r="M286">
        <f>IF($N286=1,$L286+$K286,"")</f>
        <v/>
      </c>
      <c r="N286">
        <f>IF(ISNUMBER(SEARCH(" - ",$H286&amp;"")),1,0)</f>
        <v/>
      </c>
      <c r="O286">
        <f>IF(UPPER($H286&amp;"")="LEAVE",1,0)</f>
        <v/>
      </c>
      <c r="P286">
        <f>IF($N286=1,$K286,0)</f>
        <v/>
      </c>
      <c r="Q286">
        <f>IF($N286=0,"",IFERROR($L286-LOOKUP(2,1/(($B$2:$B285=$B286)*($N$2:$N285=1)),$M$2:$M285),""))</f>
        <v/>
      </c>
    </row>
    <row r="287">
      <c r="A287" t="n">
        <v>286</v>
      </c>
      <c r="B287">
        <f>Schedule!$A$43</f>
        <v/>
      </c>
      <c r="C287">
        <f>Schedule!$D$43</f>
        <v/>
      </c>
      <c r="D287">
        <f>Schedule!$F$43</f>
        <v/>
      </c>
      <c r="E287" t="n">
        <v>5</v>
      </c>
      <c r="F287">
        <f>Schedule!$L$1</f>
        <v/>
      </c>
      <c r="G287">
        <f>Schedule!$L$2</f>
        <v/>
      </c>
      <c r="H287">
        <f>Schedule!$L$43</f>
        <v/>
      </c>
      <c r="I287">
        <f>IF($N287=1,VALUE(LEFT($H287,2)),"")</f>
        <v/>
      </c>
      <c r="J287">
        <f>IF($N287=1,VALUE(MID($H287,9,2)),"")</f>
        <v/>
      </c>
      <c r="K287">
        <f>IF($N287=1,MOD($J287-$I287,24),0)</f>
        <v/>
      </c>
      <c r="L287">
        <f>IF($N287=1,$E287*24+$I287,"")</f>
        <v/>
      </c>
      <c r="M287">
        <f>IF($N287=1,$L287+$K287,"")</f>
        <v/>
      </c>
      <c r="N287">
        <f>IF(ISNUMBER(SEARCH(" - ",$H287&amp;"")),1,0)</f>
        <v/>
      </c>
      <c r="O287">
        <f>IF(UPPER($H287&amp;"")="LEAVE",1,0)</f>
        <v/>
      </c>
      <c r="P287">
        <f>IF($N287=1,$K287,0)</f>
        <v/>
      </c>
      <c r="Q287">
        <f>IF($N287=0,"",IFERROR($L287-LOOKUP(2,1/(($B$2:$B286=$B287)*($N$2:$N286=1)),$M$2:$M286),""))</f>
        <v/>
      </c>
    </row>
    <row r="288">
      <c r="A288" t="n">
        <v>287</v>
      </c>
      <c r="B288">
        <f>Schedule!$A$43</f>
        <v/>
      </c>
      <c r="C288">
        <f>Schedule!$D$43</f>
        <v/>
      </c>
      <c r="D288">
        <f>Schedule!$F$43</f>
        <v/>
      </c>
      <c r="E288" t="n">
        <v>6</v>
      </c>
      <c r="F288">
        <f>Schedule!$M$1</f>
        <v/>
      </c>
      <c r="G288">
        <f>Schedule!$M$2</f>
        <v/>
      </c>
      <c r="H288">
        <f>Schedule!$M$43</f>
        <v/>
      </c>
      <c r="I288">
        <f>IF($N288=1,VALUE(LEFT($H288,2)),"")</f>
        <v/>
      </c>
      <c r="J288">
        <f>IF($N288=1,VALUE(MID($H288,9,2)),"")</f>
        <v/>
      </c>
      <c r="K288">
        <f>IF($N288=1,MOD($J288-$I288,24),0)</f>
        <v/>
      </c>
      <c r="L288">
        <f>IF($N288=1,$E288*24+$I288,"")</f>
        <v/>
      </c>
      <c r="M288">
        <f>IF($N288=1,$L288+$K288,"")</f>
        <v/>
      </c>
      <c r="N288">
        <f>IF(ISNUMBER(SEARCH(" - ",$H288&amp;"")),1,0)</f>
        <v/>
      </c>
      <c r="O288">
        <f>IF(UPPER($H288&amp;"")="LEAVE",1,0)</f>
        <v/>
      </c>
      <c r="P288">
        <f>IF($N288=1,$K288,0)</f>
        <v/>
      </c>
      <c r="Q288">
        <f>IF($N288=0,"",IFERROR($L288-LOOKUP(2,1/(($B$2:$B287=$B288)*($N$2:$N287=1)),$M$2:$M287),""))</f>
        <v/>
      </c>
    </row>
    <row r="289">
      <c r="A289" t="n">
        <v>288</v>
      </c>
      <c r="B289">
        <f>Schedule!$A$44</f>
        <v/>
      </c>
      <c r="C289">
        <f>Schedule!$D$44</f>
        <v/>
      </c>
      <c r="D289">
        <f>Schedule!$F$44</f>
        <v/>
      </c>
      <c r="E289" t="n">
        <v>0</v>
      </c>
      <c r="F289">
        <f>Schedule!$G$1</f>
        <v/>
      </c>
      <c r="G289">
        <f>Schedule!$G$2</f>
        <v/>
      </c>
      <c r="H289">
        <f>Schedule!$G$44</f>
        <v/>
      </c>
      <c r="I289">
        <f>IF($N289=1,VALUE(LEFT($H289,2)),"")</f>
        <v/>
      </c>
      <c r="J289">
        <f>IF($N289=1,VALUE(MID($H289,9,2)),"")</f>
        <v/>
      </c>
      <c r="K289">
        <f>IF($N289=1,MOD($J289-$I289,24),0)</f>
        <v/>
      </c>
      <c r="L289">
        <f>IF($N289=1,$E289*24+$I289,"")</f>
        <v/>
      </c>
      <c r="M289">
        <f>IF($N289=1,$L289+$K289,"")</f>
        <v/>
      </c>
      <c r="N289">
        <f>IF(ISNUMBER(SEARCH(" - ",$H289&amp;"")),1,0)</f>
        <v/>
      </c>
      <c r="O289">
        <f>IF(UPPER($H289&amp;"")="LEAVE",1,0)</f>
        <v/>
      </c>
      <c r="P289">
        <f>IF($N289=1,$K289,0)</f>
        <v/>
      </c>
      <c r="Q289">
        <f>IF($N289=0,"",IFERROR($L289-'Previous Engine'!$M$43,""))</f>
        <v/>
      </c>
    </row>
    <row r="290">
      <c r="A290" t="n">
        <v>289</v>
      </c>
      <c r="B290">
        <f>Schedule!$A$44</f>
        <v/>
      </c>
      <c r="C290">
        <f>Schedule!$D$44</f>
        <v/>
      </c>
      <c r="D290">
        <f>Schedule!$F$44</f>
        <v/>
      </c>
      <c r="E290" t="n">
        <v>1</v>
      </c>
      <c r="F290">
        <f>Schedule!$H$1</f>
        <v/>
      </c>
      <c r="G290">
        <f>Schedule!$H$2</f>
        <v/>
      </c>
      <c r="H290">
        <f>Schedule!$H$44</f>
        <v/>
      </c>
      <c r="I290">
        <f>IF($N290=1,VALUE(LEFT($H290,2)),"")</f>
        <v/>
      </c>
      <c r="J290">
        <f>IF($N290=1,VALUE(MID($H290,9,2)),"")</f>
        <v/>
      </c>
      <c r="K290">
        <f>IF($N290=1,MOD($J290-$I290,24),0)</f>
        <v/>
      </c>
      <c r="L290">
        <f>IF($N290=1,$E290*24+$I290,"")</f>
        <v/>
      </c>
      <c r="M290">
        <f>IF($N290=1,$L290+$K290,"")</f>
        <v/>
      </c>
      <c r="N290">
        <f>IF(ISNUMBER(SEARCH(" - ",$H290&amp;"")),1,0)</f>
        <v/>
      </c>
      <c r="O290">
        <f>IF(UPPER($H290&amp;"")="LEAVE",1,0)</f>
        <v/>
      </c>
      <c r="P290">
        <f>IF($N290=1,$K290,0)</f>
        <v/>
      </c>
      <c r="Q290">
        <f>IF($N290=0,"",IFERROR($L290-LOOKUP(2,1/(($B$2:$B289=$B290)*($N$2:$N289=1)),$M$2:$M289),""))</f>
        <v/>
      </c>
    </row>
    <row r="291">
      <c r="A291" t="n">
        <v>290</v>
      </c>
      <c r="B291">
        <f>Schedule!$A$44</f>
        <v/>
      </c>
      <c r="C291">
        <f>Schedule!$D$44</f>
        <v/>
      </c>
      <c r="D291">
        <f>Schedule!$F$44</f>
        <v/>
      </c>
      <c r="E291" t="n">
        <v>2</v>
      </c>
      <c r="F291">
        <f>Schedule!$I$1</f>
        <v/>
      </c>
      <c r="G291">
        <f>Schedule!$I$2</f>
        <v/>
      </c>
      <c r="H291">
        <f>Schedule!$I$44</f>
        <v/>
      </c>
      <c r="I291">
        <f>IF($N291=1,VALUE(LEFT($H291,2)),"")</f>
        <v/>
      </c>
      <c r="J291">
        <f>IF($N291=1,VALUE(MID($H291,9,2)),"")</f>
        <v/>
      </c>
      <c r="K291">
        <f>IF($N291=1,MOD($J291-$I291,24),0)</f>
        <v/>
      </c>
      <c r="L291">
        <f>IF($N291=1,$E291*24+$I291,"")</f>
        <v/>
      </c>
      <c r="M291">
        <f>IF($N291=1,$L291+$K291,"")</f>
        <v/>
      </c>
      <c r="N291">
        <f>IF(ISNUMBER(SEARCH(" - ",$H291&amp;"")),1,0)</f>
        <v/>
      </c>
      <c r="O291">
        <f>IF(UPPER($H291&amp;"")="LEAVE",1,0)</f>
        <v/>
      </c>
      <c r="P291">
        <f>IF($N291=1,$K291,0)</f>
        <v/>
      </c>
      <c r="Q291">
        <f>IF($N291=0,"",IFERROR($L291-LOOKUP(2,1/(($B$2:$B290=$B291)*($N$2:$N290=1)),$M$2:$M290),""))</f>
        <v/>
      </c>
    </row>
    <row r="292">
      <c r="A292" t="n">
        <v>291</v>
      </c>
      <c r="B292">
        <f>Schedule!$A$44</f>
        <v/>
      </c>
      <c r="C292">
        <f>Schedule!$D$44</f>
        <v/>
      </c>
      <c r="D292">
        <f>Schedule!$F$44</f>
        <v/>
      </c>
      <c r="E292" t="n">
        <v>3</v>
      </c>
      <c r="F292">
        <f>Schedule!$J$1</f>
        <v/>
      </c>
      <c r="G292">
        <f>Schedule!$J$2</f>
        <v/>
      </c>
      <c r="H292">
        <f>Schedule!$J$44</f>
        <v/>
      </c>
      <c r="I292">
        <f>IF($N292=1,VALUE(LEFT($H292,2)),"")</f>
        <v/>
      </c>
      <c r="J292">
        <f>IF($N292=1,VALUE(MID($H292,9,2)),"")</f>
        <v/>
      </c>
      <c r="K292">
        <f>IF($N292=1,MOD($J292-$I292,24),0)</f>
        <v/>
      </c>
      <c r="L292">
        <f>IF($N292=1,$E292*24+$I292,"")</f>
        <v/>
      </c>
      <c r="M292">
        <f>IF($N292=1,$L292+$K292,"")</f>
        <v/>
      </c>
      <c r="N292">
        <f>IF(ISNUMBER(SEARCH(" - ",$H292&amp;"")),1,0)</f>
        <v/>
      </c>
      <c r="O292">
        <f>IF(UPPER($H292&amp;"")="LEAVE",1,0)</f>
        <v/>
      </c>
      <c r="P292">
        <f>IF($N292=1,$K292,0)</f>
        <v/>
      </c>
      <c r="Q292">
        <f>IF($N292=0,"",IFERROR($L292-LOOKUP(2,1/(($B$2:$B291=$B292)*($N$2:$N291=1)),$M$2:$M291),""))</f>
        <v/>
      </c>
    </row>
    <row r="293">
      <c r="A293" t="n">
        <v>292</v>
      </c>
      <c r="B293">
        <f>Schedule!$A$44</f>
        <v/>
      </c>
      <c r="C293">
        <f>Schedule!$D$44</f>
        <v/>
      </c>
      <c r="D293">
        <f>Schedule!$F$44</f>
        <v/>
      </c>
      <c r="E293" t="n">
        <v>4</v>
      </c>
      <c r="F293">
        <f>Schedule!$K$1</f>
        <v/>
      </c>
      <c r="G293">
        <f>Schedule!$K$2</f>
        <v/>
      </c>
      <c r="H293">
        <f>Schedule!$K$44</f>
        <v/>
      </c>
      <c r="I293">
        <f>IF($N293=1,VALUE(LEFT($H293,2)),"")</f>
        <v/>
      </c>
      <c r="J293">
        <f>IF($N293=1,VALUE(MID($H293,9,2)),"")</f>
        <v/>
      </c>
      <c r="K293">
        <f>IF($N293=1,MOD($J293-$I293,24),0)</f>
        <v/>
      </c>
      <c r="L293">
        <f>IF($N293=1,$E293*24+$I293,"")</f>
        <v/>
      </c>
      <c r="M293">
        <f>IF($N293=1,$L293+$K293,"")</f>
        <v/>
      </c>
      <c r="N293">
        <f>IF(ISNUMBER(SEARCH(" - ",$H293&amp;"")),1,0)</f>
        <v/>
      </c>
      <c r="O293">
        <f>IF(UPPER($H293&amp;"")="LEAVE",1,0)</f>
        <v/>
      </c>
      <c r="P293">
        <f>IF($N293=1,$K293,0)</f>
        <v/>
      </c>
      <c r="Q293">
        <f>IF($N293=0,"",IFERROR($L293-LOOKUP(2,1/(($B$2:$B292=$B293)*($N$2:$N292=1)),$M$2:$M292),""))</f>
        <v/>
      </c>
    </row>
    <row r="294">
      <c r="A294" t="n">
        <v>293</v>
      </c>
      <c r="B294">
        <f>Schedule!$A$44</f>
        <v/>
      </c>
      <c r="C294">
        <f>Schedule!$D$44</f>
        <v/>
      </c>
      <c r="D294">
        <f>Schedule!$F$44</f>
        <v/>
      </c>
      <c r="E294" t="n">
        <v>5</v>
      </c>
      <c r="F294">
        <f>Schedule!$L$1</f>
        <v/>
      </c>
      <c r="G294">
        <f>Schedule!$L$2</f>
        <v/>
      </c>
      <c r="H294">
        <f>Schedule!$L$44</f>
        <v/>
      </c>
      <c r="I294">
        <f>IF($N294=1,VALUE(LEFT($H294,2)),"")</f>
        <v/>
      </c>
      <c r="J294">
        <f>IF($N294=1,VALUE(MID($H294,9,2)),"")</f>
        <v/>
      </c>
      <c r="K294">
        <f>IF($N294=1,MOD($J294-$I294,24),0)</f>
        <v/>
      </c>
      <c r="L294">
        <f>IF($N294=1,$E294*24+$I294,"")</f>
        <v/>
      </c>
      <c r="M294">
        <f>IF($N294=1,$L294+$K294,"")</f>
        <v/>
      </c>
      <c r="N294">
        <f>IF(ISNUMBER(SEARCH(" - ",$H294&amp;"")),1,0)</f>
        <v/>
      </c>
      <c r="O294">
        <f>IF(UPPER($H294&amp;"")="LEAVE",1,0)</f>
        <v/>
      </c>
      <c r="P294">
        <f>IF($N294=1,$K294,0)</f>
        <v/>
      </c>
      <c r="Q294">
        <f>IF($N294=0,"",IFERROR($L294-LOOKUP(2,1/(($B$2:$B293=$B294)*($N$2:$N293=1)),$M$2:$M293),""))</f>
        <v/>
      </c>
    </row>
    <row r="295">
      <c r="A295" t="n">
        <v>294</v>
      </c>
      <c r="B295">
        <f>Schedule!$A$44</f>
        <v/>
      </c>
      <c r="C295">
        <f>Schedule!$D$44</f>
        <v/>
      </c>
      <c r="D295">
        <f>Schedule!$F$44</f>
        <v/>
      </c>
      <c r="E295" t="n">
        <v>6</v>
      </c>
      <c r="F295">
        <f>Schedule!$M$1</f>
        <v/>
      </c>
      <c r="G295">
        <f>Schedule!$M$2</f>
        <v/>
      </c>
      <c r="H295">
        <f>Schedule!$M$44</f>
        <v/>
      </c>
      <c r="I295">
        <f>IF($N295=1,VALUE(LEFT($H295,2)),"")</f>
        <v/>
      </c>
      <c r="J295">
        <f>IF($N295=1,VALUE(MID($H295,9,2)),"")</f>
        <v/>
      </c>
      <c r="K295">
        <f>IF($N295=1,MOD($J295-$I295,24),0)</f>
        <v/>
      </c>
      <c r="L295">
        <f>IF($N295=1,$E295*24+$I295,"")</f>
        <v/>
      </c>
      <c r="M295">
        <f>IF($N295=1,$L295+$K295,"")</f>
        <v/>
      </c>
      <c r="N295">
        <f>IF(ISNUMBER(SEARCH(" - ",$H295&amp;"")),1,0)</f>
        <v/>
      </c>
      <c r="O295">
        <f>IF(UPPER($H295&amp;"")="LEAVE",1,0)</f>
        <v/>
      </c>
      <c r="P295">
        <f>IF($N295=1,$K295,0)</f>
        <v/>
      </c>
      <c r="Q295">
        <f>IF($N295=0,"",IFERROR($L295-LOOKUP(2,1/(($B$2:$B294=$B295)*($N$2:$N294=1)),$M$2:$M294),""))</f>
        <v/>
      </c>
    </row>
    <row r="296">
      <c r="A296" t="n">
        <v>295</v>
      </c>
      <c r="B296">
        <f>Schedule!$A$45</f>
        <v/>
      </c>
      <c r="C296">
        <f>Schedule!$D$45</f>
        <v/>
      </c>
      <c r="D296">
        <f>Schedule!$F$45</f>
        <v/>
      </c>
      <c r="E296" t="n">
        <v>0</v>
      </c>
      <c r="F296">
        <f>Schedule!$G$1</f>
        <v/>
      </c>
      <c r="G296">
        <f>Schedule!$G$2</f>
        <v/>
      </c>
      <c r="H296">
        <f>Schedule!$G$45</f>
        <v/>
      </c>
      <c r="I296">
        <f>IF($N296=1,VALUE(LEFT($H296,2)),"")</f>
        <v/>
      </c>
      <c r="J296">
        <f>IF($N296=1,VALUE(MID($H296,9,2)),"")</f>
        <v/>
      </c>
      <c r="K296">
        <f>IF($N296=1,MOD($J296-$I296,24),0)</f>
        <v/>
      </c>
      <c r="L296">
        <f>IF($N296=1,$E296*24+$I296,"")</f>
        <v/>
      </c>
      <c r="M296">
        <f>IF($N296=1,$L296+$K296,"")</f>
        <v/>
      </c>
      <c r="N296">
        <f>IF(ISNUMBER(SEARCH(" - ",$H296&amp;"")),1,0)</f>
        <v/>
      </c>
      <c r="O296">
        <f>IF(UPPER($H296&amp;"")="LEAVE",1,0)</f>
        <v/>
      </c>
      <c r="P296">
        <f>IF($N296=1,$K296,0)</f>
        <v/>
      </c>
      <c r="Q296">
        <f>IF($N296=0,"",IFERROR($L296-'Previous Engine'!$M$44,""))</f>
        <v/>
      </c>
    </row>
    <row r="297">
      <c r="A297" t="n">
        <v>296</v>
      </c>
      <c r="B297">
        <f>Schedule!$A$45</f>
        <v/>
      </c>
      <c r="C297">
        <f>Schedule!$D$45</f>
        <v/>
      </c>
      <c r="D297">
        <f>Schedule!$F$45</f>
        <v/>
      </c>
      <c r="E297" t="n">
        <v>1</v>
      </c>
      <c r="F297">
        <f>Schedule!$H$1</f>
        <v/>
      </c>
      <c r="G297">
        <f>Schedule!$H$2</f>
        <v/>
      </c>
      <c r="H297">
        <f>Schedule!$H$45</f>
        <v/>
      </c>
      <c r="I297">
        <f>IF($N297=1,VALUE(LEFT($H297,2)),"")</f>
        <v/>
      </c>
      <c r="J297">
        <f>IF($N297=1,VALUE(MID($H297,9,2)),"")</f>
        <v/>
      </c>
      <c r="K297">
        <f>IF($N297=1,MOD($J297-$I297,24),0)</f>
        <v/>
      </c>
      <c r="L297">
        <f>IF($N297=1,$E297*24+$I297,"")</f>
        <v/>
      </c>
      <c r="M297">
        <f>IF($N297=1,$L297+$K297,"")</f>
        <v/>
      </c>
      <c r="N297">
        <f>IF(ISNUMBER(SEARCH(" - ",$H297&amp;"")),1,0)</f>
        <v/>
      </c>
      <c r="O297">
        <f>IF(UPPER($H297&amp;"")="LEAVE",1,0)</f>
        <v/>
      </c>
      <c r="P297">
        <f>IF($N297=1,$K297,0)</f>
        <v/>
      </c>
      <c r="Q297">
        <f>IF($N297=0,"",IFERROR($L297-LOOKUP(2,1/(($B$2:$B296=$B297)*($N$2:$N296=1)),$M$2:$M296),""))</f>
        <v/>
      </c>
    </row>
    <row r="298">
      <c r="A298" t="n">
        <v>297</v>
      </c>
      <c r="B298">
        <f>Schedule!$A$45</f>
        <v/>
      </c>
      <c r="C298">
        <f>Schedule!$D$45</f>
        <v/>
      </c>
      <c r="D298">
        <f>Schedule!$F$45</f>
        <v/>
      </c>
      <c r="E298" t="n">
        <v>2</v>
      </c>
      <c r="F298">
        <f>Schedule!$I$1</f>
        <v/>
      </c>
      <c r="G298">
        <f>Schedule!$I$2</f>
        <v/>
      </c>
      <c r="H298">
        <f>Schedule!$I$45</f>
        <v/>
      </c>
      <c r="I298">
        <f>IF($N298=1,VALUE(LEFT($H298,2)),"")</f>
        <v/>
      </c>
      <c r="J298">
        <f>IF($N298=1,VALUE(MID($H298,9,2)),"")</f>
        <v/>
      </c>
      <c r="K298">
        <f>IF($N298=1,MOD($J298-$I298,24),0)</f>
        <v/>
      </c>
      <c r="L298">
        <f>IF($N298=1,$E298*24+$I298,"")</f>
        <v/>
      </c>
      <c r="M298">
        <f>IF($N298=1,$L298+$K298,"")</f>
        <v/>
      </c>
      <c r="N298">
        <f>IF(ISNUMBER(SEARCH(" - ",$H298&amp;"")),1,0)</f>
        <v/>
      </c>
      <c r="O298">
        <f>IF(UPPER($H298&amp;"")="LEAVE",1,0)</f>
        <v/>
      </c>
      <c r="P298">
        <f>IF($N298=1,$K298,0)</f>
        <v/>
      </c>
      <c r="Q298">
        <f>IF($N298=0,"",IFERROR($L298-LOOKUP(2,1/(($B$2:$B297=$B298)*($N$2:$N297=1)),$M$2:$M297),""))</f>
        <v/>
      </c>
    </row>
    <row r="299">
      <c r="A299" t="n">
        <v>298</v>
      </c>
      <c r="B299">
        <f>Schedule!$A$45</f>
        <v/>
      </c>
      <c r="C299">
        <f>Schedule!$D$45</f>
        <v/>
      </c>
      <c r="D299">
        <f>Schedule!$F$45</f>
        <v/>
      </c>
      <c r="E299" t="n">
        <v>3</v>
      </c>
      <c r="F299">
        <f>Schedule!$J$1</f>
        <v/>
      </c>
      <c r="G299">
        <f>Schedule!$J$2</f>
        <v/>
      </c>
      <c r="H299">
        <f>Schedule!$J$45</f>
        <v/>
      </c>
      <c r="I299">
        <f>IF($N299=1,VALUE(LEFT($H299,2)),"")</f>
        <v/>
      </c>
      <c r="J299">
        <f>IF($N299=1,VALUE(MID($H299,9,2)),"")</f>
        <v/>
      </c>
      <c r="K299">
        <f>IF($N299=1,MOD($J299-$I299,24),0)</f>
        <v/>
      </c>
      <c r="L299">
        <f>IF($N299=1,$E299*24+$I299,"")</f>
        <v/>
      </c>
      <c r="M299">
        <f>IF($N299=1,$L299+$K299,"")</f>
        <v/>
      </c>
      <c r="N299">
        <f>IF(ISNUMBER(SEARCH(" - ",$H299&amp;"")),1,0)</f>
        <v/>
      </c>
      <c r="O299">
        <f>IF(UPPER($H299&amp;"")="LEAVE",1,0)</f>
        <v/>
      </c>
      <c r="P299">
        <f>IF($N299=1,$K299,0)</f>
        <v/>
      </c>
      <c r="Q299">
        <f>IF($N299=0,"",IFERROR($L299-LOOKUP(2,1/(($B$2:$B298=$B299)*($N$2:$N298=1)),$M$2:$M298),""))</f>
        <v/>
      </c>
    </row>
    <row r="300">
      <c r="A300" t="n">
        <v>299</v>
      </c>
      <c r="B300">
        <f>Schedule!$A$45</f>
        <v/>
      </c>
      <c r="C300">
        <f>Schedule!$D$45</f>
        <v/>
      </c>
      <c r="D300">
        <f>Schedule!$F$45</f>
        <v/>
      </c>
      <c r="E300" t="n">
        <v>4</v>
      </c>
      <c r="F300">
        <f>Schedule!$K$1</f>
        <v/>
      </c>
      <c r="G300">
        <f>Schedule!$K$2</f>
        <v/>
      </c>
      <c r="H300">
        <f>Schedule!$K$45</f>
        <v/>
      </c>
      <c r="I300">
        <f>IF($N300=1,VALUE(LEFT($H300,2)),"")</f>
        <v/>
      </c>
      <c r="J300">
        <f>IF($N300=1,VALUE(MID($H300,9,2)),"")</f>
        <v/>
      </c>
      <c r="K300">
        <f>IF($N300=1,MOD($J300-$I300,24),0)</f>
        <v/>
      </c>
      <c r="L300">
        <f>IF($N300=1,$E300*24+$I300,"")</f>
        <v/>
      </c>
      <c r="M300">
        <f>IF($N300=1,$L300+$K300,"")</f>
        <v/>
      </c>
      <c r="N300">
        <f>IF(ISNUMBER(SEARCH(" - ",$H300&amp;"")),1,0)</f>
        <v/>
      </c>
      <c r="O300">
        <f>IF(UPPER($H300&amp;"")="LEAVE",1,0)</f>
        <v/>
      </c>
      <c r="P300">
        <f>IF($N300=1,$K300,0)</f>
        <v/>
      </c>
      <c r="Q300">
        <f>IF($N300=0,"",IFERROR($L300-LOOKUP(2,1/(($B$2:$B299=$B300)*($N$2:$N299=1)),$M$2:$M299),""))</f>
        <v/>
      </c>
    </row>
    <row r="301">
      <c r="A301" t="n">
        <v>300</v>
      </c>
      <c r="B301">
        <f>Schedule!$A$45</f>
        <v/>
      </c>
      <c r="C301">
        <f>Schedule!$D$45</f>
        <v/>
      </c>
      <c r="D301">
        <f>Schedule!$F$45</f>
        <v/>
      </c>
      <c r="E301" t="n">
        <v>5</v>
      </c>
      <c r="F301">
        <f>Schedule!$L$1</f>
        <v/>
      </c>
      <c r="G301">
        <f>Schedule!$L$2</f>
        <v/>
      </c>
      <c r="H301">
        <f>Schedule!$L$45</f>
        <v/>
      </c>
      <c r="I301">
        <f>IF($N301=1,VALUE(LEFT($H301,2)),"")</f>
        <v/>
      </c>
      <c r="J301">
        <f>IF($N301=1,VALUE(MID($H301,9,2)),"")</f>
        <v/>
      </c>
      <c r="K301">
        <f>IF($N301=1,MOD($J301-$I301,24),0)</f>
        <v/>
      </c>
      <c r="L301">
        <f>IF($N301=1,$E301*24+$I301,"")</f>
        <v/>
      </c>
      <c r="M301">
        <f>IF($N301=1,$L301+$K301,"")</f>
        <v/>
      </c>
      <c r="N301">
        <f>IF(ISNUMBER(SEARCH(" - ",$H301&amp;"")),1,0)</f>
        <v/>
      </c>
      <c r="O301">
        <f>IF(UPPER($H301&amp;"")="LEAVE",1,0)</f>
        <v/>
      </c>
      <c r="P301">
        <f>IF($N301=1,$K301,0)</f>
        <v/>
      </c>
      <c r="Q301">
        <f>IF($N301=0,"",IFERROR($L301-LOOKUP(2,1/(($B$2:$B300=$B301)*($N$2:$N300=1)),$M$2:$M300),""))</f>
        <v/>
      </c>
    </row>
    <row r="302">
      <c r="A302" t="n">
        <v>301</v>
      </c>
      <c r="B302">
        <f>Schedule!$A$45</f>
        <v/>
      </c>
      <c r="C302">
        <f>Schedule!$D$45</f>
        <v/>
      </c>
      <c r="D302">
        <f>Schedule!$F$45</f>
        <v/>
      </c>
      <c r="E302" t="n">
        <v>6</v>
      </c>
      <c r="F302">
        <f>Schedule!$M$1</f>
        <v/>
      </c>
      <c r="G302">
        <f>Schedule!$M$2</f>
        <v/>
      </c>
      <c r="H302">
        <f>Schedule!$M$45</f>
        <v/>
      </c>
      <c r="I302">
        <f>IF($N302=1,VALUE(LEFT($H302,2)),"")</f>
        <v/>
      </c>
      <c r="J302">
        <f>IF($N302=1,VALUE(MID($H302,9,2)),"")</f>
        <v/>
      </c>
      <c r="K302">
        <f>IF($N302=1,MOD($J302-$I302,24),0)</f>
        <v/>
      </c>
      <c r="L302">
        <f>IF($N302=1,$E302*24+$I302,"")</f>
        <v/>
      </c>
      <c r="M302">
        <f>IF($N302=1,$L302+$K302,"")</f>
        <v/>
      </c>
      <c r="N302">
        <f>IF(ISNUMBER(SEARCH(" - ",$H302&amp;"")),1,0)</f>
        <v/>
      </c>
      <c r="O302">
        <f>IF(UPPER($H302&amp;"")="LEAVE",1,0)</f>
        <v/>
      </c>
      <c r="P302">
        <f>IF($N302=1,$K302,0)</f>
        <v/>
      </c>
      <c r="Q302">
        <f>IF($N302=0,"",IFERROR($L302-LOOKUP(2,1/(($B$2:$B301=$B302)*($N$2:$N301=1)),$M$2:$M301),""))</f>
        <v/>
      </c>
    </row>
    <row r="303">
      <c r="A303" t="n">
        <v>302</v>
      </c>
      <c r="B303">
        <f>Schedule!$A$46</f>
        <v/>
      </c>
      <c r="C303">
        <f>Schedule!$D$46</f>
        <v/>
      </c>
      <c r="D303">
        <f>Schedule!$F$46</f>
        <v/>
      </c>
      <c r="E303" t="n">
        <v>0</v>
      </c>
      <c r="F303">
        <f>Schedule!$G$1</f>
        <v/>
      </c>
      <c r="G303">
        <f>Schedule!$G$2</f>
        <v/>
      </c>
      <c r="H303">
        <f>Schedule!$G$46</f>
        <v/>
      </c>
      <c r="I303">
        <f>IF($N303=1,VALUE(LEFT($H303,2)),"")</f>
        <v/>
      </c>
      <c r="J303">
        <f>IF($N303=1,VALUE(MID($H303,9,2)),"")</f>
        <v/>
      </c>
      <c r="K303">
        <f>IF($N303=1,MOD($J303-$I303,24),0)</f>
        <v/>
      </c>
      <c r="L303">
        <f>IF($N303=1,$E303*24+$I303,"")</f>
        <v/>
      </c>
      <c r="M303">
        <f>IF($N303=1,$L303+$K303,"")</f>
        <v/>
      </c>
      <c r="N303">
        <f>IF(ISNUMBER(SEARCH(" - ",$H303&amp;"")),1,0)</f>
        <v/>
      </c>
      <c r="O303">
        <f>IF(UPPER($H303&amp;"")="LEAVE",1,0)</f>
        <v/>
      </c>
      <c r="P303">
        <f>IF($N303=1,$K303,0)</f>
        <v/>
      </c>
      <c r="Q303">
        <f>IF($N303=0,"",IFERROR($L303-'Previous Engine'!$M$45,""))</f>
        <v/>
      </c>
    </row>
    <row r="304">
      <c r="A304" t="n">
        <v>303</v>
      </c>
      <c r="B304">
        <f>Schedule!$A$46</f>
        <v/>
      </c>
      <c r="C304">
        <f>Schedule!$D$46</f>
        <v/>
      </c>
      <c r="D304">
        <f>Schedule!$F$46</f>
        <v/>
      </c>
      <c r="E304" t="n">
        <v>1</v>
      </c>
      <c r="F304">
        <f>Schedule!$H$1</f>
        <v/>
      </c>
      <c r="G304">
        <f>Schedule!$H$2</f>
        <v/>
      </c>
      <c r="H304">
        <f>Schedule!$H$46</f>
        <v/>
      </c>
      <c r="I304">
        <f>IF($N304=1,VALUE(LEFT($H304,2)),"")</f>
        <v/>
      </c>
      <c r="J304">
        <f>IF($N304=1,VALUE(MID($H304,9,2)),"")</f>
        <v/>
      </c>
      <c r="K304">
        <f>IF($N304=1,MOD($J304-$I304,24),0)</f>
        <v/>
      </c>
      <c r="L304">
        <f>IF($N304=1,$E304*24+$I304,"")</f>
        <v/>
      </c>
      <c r="M304">
        <f>IF($N304=1,$L304+$K304,"")</f>
        <v/>
      </c>
      <c r="N304">
        <f>IF(ISNUMBER(SEARCH(" - ",$H304&amp;"")),1,0)</f>
        <v/>
      </c>
      <c r="O304">
        <f>IF(UPPER($H304&amp;"")="LEAVE",1,0)</f>
        <v/>
      </c>
      <c r="P304">
        <f>IF($N304=1,$K304,0)</f>
        <v/>
      </c>
      <c r="Q304">
        <f>IF($N304=0,"",IFERROR($L304-LOOKUP(2,1/(($B$2:$B303=$B304)*($N$2:$N303=1)),$M$2:$M303),""))</f>
        <v/>
      </c>
    </row>
    <row r="305">
      <c r="A305" t="n">
        <v>304</v>
      </c>
      <c r="B305">
        <f>Schedule!$A$46</f>
        <v/>
      </c>
      <c r="C305">
        <f>Schedule!$D$46</f>
        <v/>
      </c>
      <c r="D305">
        <f>Schedule!$F$46</f>
        <v/>
      </c>
      <c r="E305" t="n">
        <v>2</v>
      </c>
      <c r="F305">
        <f>Schedule!$I$1</f>
        <v/>
      </c>
      <c r="G305">
        <f>Schedule!$I$2</f>
        <v/>
      </c>
      <c r="H305">
        <f>Schedule!$I$46</f>
        <v/>
      </c>
      <c r="I305">
        <f>IF($N305=1,VALUE(LEFT($H305,2)),"")</f>
        <v/>
      </c>
      <c r="J305">
        <f>IF($N305=1,VALUE(MID($H305,9,2)),"")</f>
        <v/>
      </c>
      <c r="K305">
        <f>IF($N305=1,MOD($J305-$I305,24),0)</f>
        <v/>
      </c>
      <c r="L305">
        <f>IF($N305=1,$E305*24+$I305,"")</f>
        <v/>
      </c>
      <c r="M305">
        <f>IF($N305=1,$L305+$K305,"")</f>
        <v/>
      </c>
      <c r="N305">
        <f>IF(ISNUMBER(SEARCH(" - ",$H305&amp;"")),1,0)</f>
        <v/>
      </c>
      <c r="O305">
        <f>IF(UPPER($H305&amp;"")="LEAVE",1,0)</f>
        <v/>
      </c>
      <c r="P305">
        <f>IF($N305=1,$K305,0)</f>
        <v/>
      </c>
      <c r="Q305">
        <f>IF($N305=0,"",IFERROR($L305-LOOKUP(2,1/(($B$2:$B304=$B305)*($N$2:$N304=1)),$M$2:$M304),""))</f>
        <v/>
      </c>
    </row>
    <row r="306">
      <c r="A306" t="n">
        <v>305</v>
      </c>
      <c r="B306">
        <f>Schedule!$A$46</f>
        <v/>
      </c>
      <c r="C306">
        <f>Schedule!$D$46</f>
        <v/>
      </c>
      <c r="D306">
        <f>Schedule!$F$46</f>
        <v/>
      </c>
      <c r="E306" t="n">
        <v>3</v>
      </c>
      <c r="F306">
        <f>Schedule!$J$1</f>
        <v/>
      </c>
      <c r="G306">
        <f>Schedule!$J$2</f>
        <v/>
      </c>
      <c r="H306">
        <f>Schedule!$J$46</f>
        <v/>
      </c>
      <c r="I306">
        <f>IF($N306=1,VALUE(LEFT($H306,2)),"")</f>
        <v/>
      </c>
      <c r="J306">
        <f>IF($N306=1,VALUE(MID($H306,9,2)),"")</f>
        <v/>
      </c>
      <c r="K306">
        <f>IF($N306=1,MOD($J306-$I306,24),0)</f>
        <v/>
      </c>
      <c r="L306">
        <f>IF($N306=1,$E306*24+$I306,"")</f>
        <v/>
      </c>
      <c r="M306">
        <f>IF($N306=1,$L306+$K306,"")</f>
        <v/>
      </c>
      <c r="N306">
        <f>IF(ISNUMBER(SEARCH(" - ",$H306&amp;"")),1,0)</f>
        <v/>
      </c>
      <c r="O306">
        <f>IF(UPPER($H306&amp;"")="LEAVE",1,0)</f>
        <v/>
      </c>
      <c r="P306">
        <f>IF($N306=1,$K306,0)</f>
        <v/>
      </c>
      <c r="Q306">
        <f>IF($N306=0,"",IFERROR($L306-LOOKUP(2,1/(($B$2:$B305=$B306)*($N$2:$N305=1)),$M$2:$M305),""))</f>
        <v/>
      </c>
    </row>
    <row r="307">
      <c r="A307" t="n">
        <v>306</v>
      </c>
      <c r="B307">
        <f>Schedule!$A$46</f>
        <v/>
      </c>
      <c r="C307">
        <f>Schedule!$D$46</f>
        <v/>
      </c>
      <c r="D307">
        <f>Schedule!$F$46</f>
        <v/>
      </c>
      <c r="E307" t="n">
        <v>4</v>
      </c>
      <c r="F307">
        <f>Schedule!$K$1</f>
        <v/>
      </c>
      <c r="G307">
        <f>Schedule!$K$2</f>
        <v/>
      </c>
      <c r="H307">
        <f>Schedule!$K$46</f>
        <v/>
      </c>
      <c r="I307">
        <f>IF($N307=1,VALUE(LEFT($H307,2)),"")</f>
        <v/>
      </c>
      <c r="J307">
        <f>IF($N307=1,VALUE(MID($H307,9,2)),"")</f>
        <v/>
      </c>
      <c r="K307">
        <f>IF($N307=1,MOD($J307-$I307,24),0)</f>
        <v/>
      </c>
      <c r="L307">
        <f>IF($N307=1,$E307*24+$I307,"")</f>
        <v/>
      </c>
      <c r="M307">
        <f>IF($N307=1,$L307+$K307,"")</f>
        <v/>
      </c>
      <c r="N307">
        <f>IF(ISNUMBER(SEARCH(" - ",$H307&amp;"")),1,0)</f>
        <v/>
      </c>
      <c r="O307">
        <f>IF(UPPER($H307&amp;"")="LEAVE",1,0)</f>
        <v/>
      </c>
      <c r="P307">
        <f>IF($N307=1,$K307,0)</f>
        <v/>
      </c>
      <c r="Q307">
        <f>IF($N307=0,"",IFERROR($L307-LOOKUP(2,1/(($B$2:$B306=$B307)*($N$2:$N306=1)),$M$2:$M306),""))</f>
        <v/>
      </c>
    </row>
    <row r="308">
      <c r="A308" t="n">
        <v>307</v>
      </c>
      <c r="B308">
        <f>Schedule!$A$46</f>
        <v/>
      </c>
      <c r="C308">
        <f>Schedule!$D$46</f>
        <v/>
      </c>
      <c r="D308">
        <f>Schedule!$F$46</f>
        <v/>
      </c>
      <c r="E308" t="n">
        <v>5</v>
      </c>
      <c r="F308">
        <f>Schedule!$L$1</f>
        <v/>
      </c>
      <c r="G308">
        <f>Schedule!$L$2</f>
        <v/>
      </c>
      <c r="H308">
        <f>Schedule!$L$46</f>
        <v/>
      </c>
      <c r="I308">
        <f>IF($N308=1,VALUE(LEFT($H308,2)),"")</f>
        <v/>
      </c>
      <c r="J308">
        <f>IF($N308=1,VALUE(MID($H308,9,2)),"")</f>
        <v/>
      </c>
      <c r="K308">
        <f>IF($N308=1,MOD($J308-$I308,24),0)</f>
        <v/>
      </c>
      <c r="L308">
        <f>IF($N308=1,$E308*24+$I308,"")</f>
        <v/>
      </c>
      <c r="M308">
        <f>IF($N308=1,$L308+$K308,"")</f>
        <v/>
      </c>
      <c r="N308">
        <f>IF(ISNUMBER(SEARCH(" - ",$H308&amp;"")),1,0)</f>
        <v/>
      </c>
      <c r="O308">
        <f>IF(UPPER($H308&amp;"")="LEAVE",1,0)</f>
        <v/>
      </c>
      <c r="P308">
        <f>IF($N308=1,$K308,0)</f>
        <v/>
      </c>
      <c r="Q308">
        <f>IF($N308=0,"",IFERROR($L308-LOOKUP(2,1/(($B$2:$B307=$B308)*($N$2:$N307=1)),$M$2:$M307),""))</f>
        <v/>
      </c>
    </row>
    <row r="309">
      <c r="A309" t="n">
        <v>308</v>
      </c>
      <c r="B309">
        <f>Schedule!$A$46</f>
        <v/>
      </c>
      <c r="C309">
        <f>Schedule!$D$46</f>
        <v/>
      </c>
      <c r="D309">
        <f>Schedule!$F$46</f>
        <v/>
      </c>
      <c r="E309" t="n">
        <v>6</v>
      </c>
      <c r="F309">
        <f>Schedule!$M$1</f>
        <v/>
      </c>
      <c r="G309">
        <f>Schedule!$M$2</f>
        <v/>
      </c>
      <c r="H309">
        <f>Schedule!$M$46</f>
        <v/>
      </c>
      <c r="I309">
        <f>IF($N309=1,VALUE(LEFT($H309,2)),"")</f>
        <v/>
      </c>
      <c r="J309">
        <f>IF($N309=1,VALUE(MID($H309,9,2)),"")</f>
        <v/>
      </c>
      <c r="K309">
        <f>IF($N309=1,MOD($J309-$I309,24),0)</f>
        <v/>
      </c>
      <c r="L309">
        <f>IF($N309=1,$E309*24+$I309,"")</f>
        <v/>
      </c>
      <c r="M309">
        <f>IF($N309=1,$L309+$K309,"")</f>
        <v/>
      </c>
      <c r="N309">
        <f>IF(ISNUMBER(SEARCH(" - ",$H309&amp;"")),1,0)</f>
        <v/>
      </c>
      <c r="O309">
        <f>IF(UPPER($H309&amp;"")="LEAVE",1,0)</f>
        <v/>
      </c>
      <c r="P309">
        <f>IF($N309=1,$K309,0)</f>
        <v/>
      </c>
      <c r="Q309">
        <f>IF($N309=0,"",IFERROR($L309-LOOKUP(2,1/(($B$2:$B308=$B309)*($N$2:$N308=1)),$M$2:$M308),""))</f>
        <v/>
      </c>
    </row>
    <row r="310">
      <c r="A310" t="n">
        <v>309</v>
      </c>
      <c r="B310">
        <f>Schedule!$A$47</f>
        <v/>
      </c>
      <c r="C310">
        <f>Schedule!$D$47</f>
        <v/>
      </c>
      <c r="D310">
        <f>Schedule!$F$47</f>
        <v/>
      </c>
      <c r="E310" t="n">
        <v>0</v>
      </c>
      <c r="F310">
        <f>Schedule!$G$1</f>
        <v/>
      </c>
      <c r="G310">
        <f>Schedule!$G$2</f>
        <v/>
      </c>
      <c r="H310">
        <f>Schedule!$G$47</f>
        <v/>
      </c>
      <c r="I310">
        <f>IF($N310=1,VALUE(LEFT($H310,2)),"")</f>
        <v/>
      </c>
      <c r="J310">
        <f>IF($N310=1,VALUE(MID($H310,9,2)),"")</f>
        <v/>
      </c>
      <c r="K310">
        <f>IF($N310=1,MOD($J310-$I310,24),0)</f>
        <v/>
      </c>
      <c r="L310">
        <f>IF($N310=1,$E310*24+$I310,"")</f>
        <v/>
      </c>
      <c r="M310">
        <f>IF($N310=1,$L310+$K310,"")</f>
        <v/>
      </c>
      <c r="N310">
        <f>IF(ISNUMBER(SEARCH(" - ",$H310&amp;"")),1,0)</f>
        <v/>
      </c>
      <c r="O310">
        <f>IF(UPPER($H310&amp;"")="LEAVE",1,0)</f>
        <v/>
      </c>
      <c r="P310">
        <f>IF($N310=1,$K310,0)</f>
        <v/>
      </c>
      <c r="Q310">
        <f>IF($N310=0,"",IFERROR($L310-'Previous Engine'!$M$46,""))</f>
        <v/>
      </c>
    </row>
    <row r="311">
      <c r="A311" t="n">
        <v>310</v>
      </c>
      <c r="B311">
        <f>Schedule!$A$47</f>
        <v/>
      </c>
      <c r="C311">
        <f>Schedule!$D$47</f>
        <v/>
      </c>
      <c r="D311">
        <f>Schedule!$F$47</f>
        <v/>
      </c>
      <c r="E311" t="n">
        <v>1</v>
      </c>
      <c r="F311">
        <f>Schedule!$H$1</f>
        <v/>
      </c>
      <c r="G311">
        <f>Schedule!$H$2</f>
        <v/>
      </c>
      <c r="H311">
        <f>Schedule!$H$47</f>
        <v/>
      </c>
      <c r="I311">
        <f>IF($N311=1,VALUE(LEFT($H311,2)),"")</f>
        <v/>
      </c>
      <c r="J311">
        <f>IF($N311=1,VALUE(MID($H311,9,2)),"")</f>
        <v/>
      </c>
      <c r="K311">
        <f>IF($N311=1,MOD($J311-$I311,24),0)</f>
        <v/>
      </c>
      <c r="L311">
        <f>IF($N311=1,$E311*24+$I311,"")</f>
        <v/>
      </c>
      <c r="M311">
        <f>IF($N311=1,$L311+$K311,"")</f>
        <v/>
      </c>
      <c r="N311">
        <f>IF(ISNUMBER(SEARCH(" - ",$H311&amp;"")),1,0)</f>
        <v/>
      </c>
      <c r="O311">
        <f>IF(UPPER($H311&amp;"")="LEAVE",1,0)</f>
        <v/>
      </c>
      <c r="P311">
        <f>IF($N311=1,$K311,0)</f>
        <v/>
      </c>
      <c r="Q311">
        <f>IF($N311=0,"",IFERROR($L311-LOOKUP(2,1/(($B$2:$B310=$B311)*($N$2:$N310=1)),$M$2:$M310),""))</f>
        <v/>
      </c>
    </row>
    <row r="312">
      <c r="A312" t="n">
        <v>311</v>
      </c>
      <c r="B312">
        <f>Schedule!$A$47</f>
        <v/>
      </c>
      <c r="C312">
        <f>Schedule!$D$47</f>
        <v/>
      </c>
      <c r="D312">
        <f>Schedule!$F$47</f>
        <v/>
      </c>
      <c r="E312" t="n">
        <v>2</v>
      </c>
      <c r="F312">
        <f>Schedule!$I$1</f>
        <v/>
      </c>
      <c r="G312">
        <f>Schedule!$I$2</f>
        <v/>
      </c>
      <c r="H312">
        <f>Schedule!$I$47</f>
        <v/>
      </c>
      <c r="I312">
        <f>IF($N312=1,VALUE(LEFT($H312,2)),"")</f>
        <v/>
      </c>
      <c r="J312">
        <f>IF($N312=1,VALUE(MID($H312,9,2)),"")</f>
        <v/>
      </c>
      <c r="K312">
        <f>IF($N312=1,MOD($J312-$I312,24),0)</f>
        <v/>
      </c>
      <c r="L312">
        <f>IF($N312=1,$E312*24+$I312,"")</f>
        <v/>
      </c>
      <c r="M312">
        <f>IF($N312=1,$L312+$K312,"")</f>
        <v/>
      </c>
      <c r="N312">
        <f>IF(ISNUMBER(SEARCH(" - ",$H312&amp;"")),1,0)</f>
        <v/>
      </c>
      <c r="O312">
        <f>IF(UPPER($H312&amp;"")="LEAVE",1,0)</f>
        <v/>
      </c>
      <c r="P312">
        <f>IF($N312=1,$K312,0)</f>
        <v/>
      </c>
      <c r="Q312">
        <f>IF($N312=0,"",IFERROR($L312-LOOKUP(2,1/(($B$2:$B311=$B312)*($N$2:$N311=1)),$M$2:$M311),""))</f>
        <v/>
      </c>
    </row>
    <row r="313">
      <c r="A313" t="n">
        <v>312</v>
      </c>
      <c r="B313">
        <f>Schedule!$A$47</f>
        <v/>
      </c>
      <c r="C313">
        <f>Schedule!$D$47</f>
        <v/>
      </c>
      <c r="D313">
        <f>Schedule!$F$47</f>
        <v/>
      </c>
      <c r="E313" t="n">
        <v>3</v>
      </c>
      <c r="F313">
        <f>Schedule!$J$1</f>
        <v/>
      </c>
      <c r="G313">
        <f>Schedule!$J$2</f>
        <v/>
      </c>
      <c r="H313">
        <f>Schedule!$J$47</f>
        <v/>
      </c>
      <c r="I313">
        <f>IF($N313=1,VALUE(LEFT($H313,2)),"")</f>
        <v/>
      </c>
      <c r="J313">
        <f>IF($N313=1,VALUE(MID($H313,9,2)),"")</f>
        <v/>
      </c>
      <c r="K313">
        <f>IF($N313=1,MOD($J313-$I313,24),0)</f>
        <v/>
      </c>
      <c r="L313">
        <f>IF($N313=1,$E313*24+$I313,"")</f>
        <v/>
      </c>
      <c r="M313">
        <f>IF($N313=1,$L313+$K313,"")</f>
        <v/>
      </c>
      <c r="N313">
        <f>IF(ISNUMBER(SEARCH(" - ",$H313&amp;"")),1,0)</f>
        <v/>
      </c>
      <c r="O313">
        <f>IF(UPPER($H313&amp;"")="LEAVE",1,0)</f>
        <v/>
      </c>
      <c r="P313">
        <f>IF($N313=1,$K313,0)</f>
        <v/>
      </c>
      <c r="Q313">
        <f>IF($N313=0,"",IFERROR($L313-LOOKUP(2,1/(($B$2:$B312=$B313)*($N$2:$N312=1)),$M$2:$M312),""))</f>
        <v/>
      </c>
    </row>
    <row r="314">
      <c r="A314" t="n">
        <v>313</v>
      </c>
      <c r="B314">
        <f>Schedule!$A$47</f>
        <v/>
      </c>
      <c r="C314">
        <f>Schedule!$D$47</f>
        <v/>
      </c>
      <c r="D314">
        <f>Schedule!$F$47</f>
        <v/>
      </c>
      <c r="E314" t="n">
        <v>4</v>
      </c>
      <c r="F314">
        <f>Schedule!$K$1</f>
        <v/>
      </c>
      <c r="G314">
        <f>Schedule!$K$2</f>
        <v/>
      </c>
      <c r="H314">
        <f>Schedule!$K$47</f>
        <v/>
      </c>
      <c r="I314">
        <f>IF($N314=1,VALUE(LEFT($H314,2)),"")</f>
        <v/>
      </c>
      <c r="J314">
        <f>IF($N314=1,VALUE(MID($H314,9,2)),"")</f>
        <v/>
      </c>
      <c r="K314">
        <f>IF($N314=1,MOD($J314-$I314,24),0)</f>
        <v/>
      </c>
      <c r="L314">
        <f>IF($N314=1,$E314*24+$I314,"")</f>
        <v/>
      </c>
      <c r="M314">
        <f>IF($N314=1,$L314+$K314,"")</f>
        <v/>
      </c>
      <c r="N314">
        <f>IF(ISNUMBER(SEARCH(" - ",$H314&amp;"")),1,0)</f>
        <v/>
      </c>
      <c r="O314">
        <f>IF(UPPER($H314&amp;"")="LEAVE",1,0)</f>
        <v/>
      </c>
      <c r="P314">
        <f>IF($N314=1,$K314,0)</f>
        <v/>
      </c>
      <c r="Q314">
        <f>IF($N314=0,"",IFERROR($L314-LOOKUP(2,1/(($B$2:$B313=$B314)*($N$2:$N313=1)),$M$2:$M313),""))</f>
        <v/>
      </c>
    </row>
    <row r="315">
      <c r="A315" t="n">
        <v>314</v>
      </c>
      <c r="B315">
        <f>Schedule!$A$47</f>
        <v/>
      </c>
      <c r="C315">
        <f>Schedule!$D$47</f>
        <v/>
      </c>
      <c r="D315">
        <f>Schedule!$F$47</f>
        <v/>
      </c>
      <c r="E315" t="n">
        <v>5</v>
      </c>
      <c r="F315">
        <f>Schedule!$L$1</f>
        <v/>
      </c>
      <c r="G315">
        <f>Schedule!$L$2</f>
        <v/>
      </c>
      <c r="H315">
        <f>Schedule!$L$47</f>
        <v/>
      </c>
      <c r="I315">
        <f>IF($N315=1,VALUE(LEFT($H315,2)),"")</f>
        <v/>
      </c>
      <c r="J315">
        <f>IF($N315=1,VALUE(MID($H315,9,2)),"")</f>
        <v/>
      </c>
      <c r="K315">
        <f>IF($N315=1,MOD($J315-$I315,24),0)</f>
        <v/>
      </c>
      <c r="L315">
        <f>IF($N315=1,$E315*24+$I315,"")</f>
        <v/>
      </c>
      <c r="M315">
        <f>IF($N315=1,$L315+$K315,"")</f>
        <v/>
      </c>
      <c r="N315">
        <f>IF(ISNUMBER(SEARCH(" - ",$H315&amp;"")),1,0)</f>
        <v/>
      </c>
      <c r="O315">
        <f>IF(UPPER($H315&amp;"")="LEAVE",1,0)</f>
        <v/>
      </c>
      <c r="P315">
        <f>IF($N315=1,$K315,0)</f>
        <v/>
      </c>
      <c r="Q315">
        <f>IF($N315=0,"",IFERROR($L315-LOOKUP(2,1/(($B$2:$B314=$B315)*($N$2:$N314=1)),$M$2:$M314),""))</f>
        <v/>
      </c>
    </row>
    <row r="316">
      <c r="A316" t="n">
        <v>315</v>
      </c>
      <c r="B316">
        <f>Schedule!$A$47</f>
        <v/>
      </c>
      <c r="C316">
        <f>Schedule!$D$47</f>
        <v/>
      </c>
      <c r="D316">
        <f>Schedule!$F$47</f>
        <v/>
      </c>
      <c r="E316" t="n">
        <v>6</v>
      </c>
      <c r="F316">
        <f>Schedule!$M$1</f>
        <v/>
      </c>
      <c r="G316">
        <f>Schedule!$M$2</f>
        <v/>
      </c>
      <c r="H316">
        <f>Schedule!$M$47</f>
        <v/>
      </c>
      <c r="I316">
        <f>IF($N316=1,VALUE(LEFT($H316,2)),"")</f>
        <v/>
      </c>
      <c r="J316">
        <f>IF($N316=1,VALUE(MID($H316,9,2)),"")</f>
        <v/>
      </c>
      <c r="K316">
        <f>IF($N316=1,MOD($J316-$I316,24),0)</f>
        <v/>
      </c>
      <c r="L316">
        <f>IF($N316=1,$E316*24+$I316,"")</f>
        <v/>
      </c>
      <c r="M316">
        <f>IF($N316=1,$L316+$K316,"")</f>
        <v/>
      </c>
      <c r="N316">
        <f>IF(ISNUMBER(SEARCH(" - ",$H316&amp;"")),1,0)</f>
        <v/>
      </c>
      <c r="O316">
        <f>IF(UPPER($H316&amp;"")="LEAVE",1,0)</f>
        <v/>
      </c>
      <c r="P316">
        <f>IF($N316=1,$K316,0)</f>
        <v/>
      </c>
      <c r="Q316">
        <f>IF($N316=0,"",IFERROR($L316-LOOKUP(2,1/(($B$2:$B315=$B316)*($N$2:$N315=1)),$M$2:$M315),""))</f>
        <v/>
      </c>
    </row>
    <row r="317">
      <c r="A317" t="n">
        <v>316</v>
      </c>
      <c r="B317">
        <f>Schedule!$A$48</f>
        <v/>
      </c>
      <c r="C317">
        <f>Schedule!$D$48</f>
        <v/>
      </c>
      <c r="D317">
        <f>Schedule!$F$48</f>
        <v/>
      </c>
      <c r="E317" t="n">
        <v>0</v>
      </c>
      <c r="F317">
        <f>Schedule!$G$1</f>
        <v/>
      </c>
      <c r="G317">
        <f>Schedule!$G$2</f>
        <v/>
      </c>
      <c r="H317">
        <f>Schedule!$G$48</f>
        <v/>
      </c>
      <c r="I317">
        <f>IF($N317=1,VALUE(LEFT($H317,2)),"")</f>
        <v/>
      </c>
      <c r="J317">
        <f>IF($N317=1,VALUE(MID($H317,9,2)),"")</f>
        <v/>
      </c>
      <c r="K317">
        <f>IF($N317=1,MOD($J317-$I317,24),0)</f>
        <v/>
      </c>
      <c r="L317">
        <f>IF($N317=1,$E317*24+$I317,"")</f>
        <v/>
      </c>
      <c r="M317">
        <f>IF($N317=1,$L317+$K317,"")</f>
        <v/>
      </c>
      <c r="N317">
        <f>IF(ISNUMBER(SEARCH(" - ",$H317&amp;"")),1,0)</f>
        <v/>
      </c>
      <c r="O317">
        <f>IF(UPPER($H317&amp;"")="LEAVE",1,0)</f>
        <v/>
      </c>
      <c r="P317">
        <f>IF($N317=1,$K317,0)</f>
        <v/>
      </c>
      <c r="Q317">
        <f>IF($N317=0,"",IFERROR($L317-'Previous Engine'!$M$47,""))</f>
        <v/>
      </c>
    </row>
    <row r="318">
      <c r="A318" t="n">
        <v>317</v>
      </c>
      <c r="B318">
        <f>Schedule!$A$48</f>
        <v/>
      </c>
      <c r="C318">
        <f>Schedule!$D$48</f>
        <v/>
      </c>
      <c r="D318">
        <f>Schedule!$F$48</f>
        <v/>
      </c>
      <c r="E318" t="n">
        <v>1</v>
      </c>
      <c r="F318">
        <f>Schedule!$H$1</f>
        <v/>
      </c>
      <c r="G318">
        <f>Schedule!$H$2</f>
        <v/>
      </c>
      <c r="H318">
        <f>Schedule!$H$48</f>
        <v/>
      </c>
      <c r="I318">
        <f>IF($N318=1,VALUE(LEFT($H318,2)),"")</f>
        <v/>
      </c>
      <c r="J318">
        <f>IF($N318=1,VALUE(MID($H318,9,2)),"")</f>
        <v/>
      </c>
      <c r="K318">
        <f>IF($N318=1,MOD($J318-$I318,24),0)</f>
        <v/>
      </c>
      <c r="L318">
        <f>IF($N318=1,$E318*24+$I318,"")</f>
        <v/>
      </c>
      <c r="M318">
        <f>IF($N318=1,$L318+$K318,"")</f>
        <v/>
      </c>
      <c r="N318">
        <f>IF(ISNUMBER(SEARCH(" - ",$H318&amp;"")),1,0)</f>
        <v/>
      </c>
      <c r="O318">
        <f>IF(UPPER($H318&amp;"")="LEAVE",1,0)</f>
        <v/>
      </c>
      <c r="P318">
        <f>IF($N318=1,$K318,0)</f>
        <v/>
      </c>
      <c r="Q318">
        <f>IF($N318=0,"",IFERROR($L318-LOOKUP(2,1/(($B$2:$B317=$B318)*($N$2:$N317=1)),$M$2:$M317),""))</f>
        <v/>
      </c>
    </row>
    <row r="319">
      <c r="A319" t="n">
        <v>318</v>
      </c>
      <c r="B319">
        <f>Schedule!$A$48</f>
        <v/>
      </c>
      <c r="C319">
        <f>Schedule!$D$48</f>
        <v/>
      </c>
      <c r="D319">
        <f>Schedule!$F$48</f>
        <v/>
      </c>
      <c r="E319" t="n">
        <v>2</v>
      </c>
      <c r="F319">
        <f>Schedule!$I$1</f>
        <v/>
      </c>
      <c r="G319">
        <f>Schedule!$I$2</f>
        <v/>
      </c>
      <c r="H319">
        <f>Schedule!$I$48</f>
        <v/>
      </c>
      <c r="I319">
        <f>IF($N319=1,VALUE(LEFT($H319,2)),"")</f>
        <v/>
      </c>
      <c r="J319">
        <f>IF($N319=1,VALUE(MID($H319,9,2)),"")</f>
        <v/>
      </c>
      <c r="K319">
        <f>IF($N319=1,MOD($J319-$I319,24),0)</f>
        <v/>
      </c>
      <c r="L319">
        <f>IF($N319=1,$E319*24+$I319,"")</f>
        <v/>
      </c>
      <c r="M319">
        <f>IF($N319=1,$L319+$K319,"")</f>
        <v/>
      </c>
      <c r="N319">
        <f>IF(ISNUMBER(SEARCH(" - ",$H319&amp;"")),1,0)</f>
        <v/>
      </c>
      <c r="O319">
        <f>IF(UPPER($H319&amp;"")="LEAVE",1,0)</f>
        <v/>
      </c>
      <c r="P319">
        <f>IF($N319=1,$K319,0)</f>
        <v/>
      </c>
      <c r="Q319">
        <f>IF($N319=0,"",IFERROR($L319-LOOKUP(2,1/(($B$2:$B318=$B319)*($N$2:$N318=1)),$M$2:$M318),""))</f>
        <v/>
      </c>
    </row>
    <row r="320">
      <c r="A320" t="n">
        <v>319</v>
      </c>
      <c r="B320">
        <f>Schedule!$A$48</f>
        <v/>
      </c>
      <c r="C320">
        <f>Schedule!$D$48</f>
        <v/>
      </c>
      <c r="D320">
        <f>Schedule!$F$48</f>
        <v/>
      </c>
      <c r="E320" t="n">
        <v>3</v>
      </c>
      <c r="F320">
        <f>Schedule!$J$1</f>
        <v/>
      </c>
      <c r="G320">
        <f>Schedule!$J$2</f>
        <v/>
      </c>
      <c r="H320">
        <f>Schedule!$J$48</f>
        <v/>
      </c>
      <c r="I320">
        <f>IF($N320=1,VALUE(LEFT($H320,2)),"")</f>
        <v/>
      </c>
      <c r="J320">
        <f>IF($N320=1,VALUE(MID($H320,9,2)),"")</f>
        <v/>
      </c>
      <c r="K320">
        <f>IF($N320=1,MOD($J320-$I320,24),0)</f>
        <v/>
      </c>
      <c r="L320">
        <f>IF($N320=1,$E320*24+$I320,"")</f>
        <v/>
      </c>
      <c r="M320">
        <f>IF($N320=1,$L320+$K320,"")</f>
        <v/>
      </c>
      <c r="N320">
        <f>IF(ISNUMBER(SEARCH(" - ",$H320&amp;"")),1,0)</f>
        <v/>
      </c>
      <c r="O320">
        <f>IF(UPPER($H320&amp;"")="LEAVE",1,0)</f>
        <v/>
      </c>
      <c r="P320">
        <f>IF($N320=1,$K320,0)</f>
        <v/>
      </c>
      <c r="Q320">
        <f>IF($N320=0,"",IFERROR($L320-LOOKUP(2,1/(($B$2:$B319=$B320)*($N$2:$N319=1)),$M$2:$M319),""))</f>
        <v/>
      </c>
    </row>
    <row r="321">
      <c r="A321" t="n">
        <v>320</v>
      </c>
      <c r="B321">
        <f>Schedule!$A$48</f>
        <v/>
      </c>
      <c r="C321">
        <f>Schedule!$D$48</f>
        <v/>
      </c>
      <c r="D321">
        <f>Schedule!$F$48</f>
        <v/>
      </c>
      <c r="E321" t="n">
        <v>4</v>
      </c>
      <c r="F321">
        <f>Schedule!$K$1</f>
        <v/>
      </c>
      <c r="G321">
        <f>Schedule!$K$2</f>
        <v/>
      </c>
      <c r="H321">
        <f>Schedule!$K$48</f>
        <v/>
      </c>
      <c r="I321">
        <f>IF($N321=1,VALUE(LEFT($H321,2)),"")</f>
        <v/>
      </c>
      <c r="J321">
        <f>IF($N321=1,VALUE(MID($H321,9,2)),"")</f>
        <v/>
      </c>
      <c r="K321">
        <f>IF($N321=1,MOD($J321-$I321,24),0)</f>
        <v/>
      </c>
      <c r="L321">
        <f>IF($N321=1,$E321*24+$I321,"")</f>
        <v/>
      </c>
      <c r="M321">
        <f>IF($N321=1,$L321+$K321,"")</f>
        <v/>
      </c>
      <c r="N321">
        <f>IF(ISNUMBER(SEARCH(" - ",$H321&amp;"")),1,0)</f>
        <v/>
      </c>
      <c r="O321">
        <f>IF(UPPER($H321&amp;"")="LEAVE",1,0)</f>
        <v/>
      </c>
      <c r="P321">
        <f>IF($N321=1,$K321,0)</f>
        <v/>
      </c>
      <c r="Q321">
        <f>IF($N321=0,"",IFERROR($L321-LOOKUP(2,1/(($B$2:$B320=$B321)*($N$2:$N320=1)),$M$2:$M320),""))</f>
        <v/>
      </c>
    </row>
    <row r="322">
      <c r="A322" t="n">
        <v>321</v>
      </c>
      <c r="B322">
        <f>Schedule!$A$48</f>
        <v/>
      </c>
      <c r="C322">
        <f>Schedule!$D$48</f>
        <v/>
      </c>
      <c r="D322">
        <f>Schedule!$F$48</f>
        <v/>
      </c>
      <c r="E322" t="n">
        <v>5</v>
      </c>
      <c r="F322">
        <f>Schedule!$L$1</f>
        <v/>
      </c>
      <c r="G322">
        <f>Schedule!$L$2</f>
        <v/>
      </c>
      <c r="H322">
        <f>Schedule!$L$48</f>
        <v/>
      </c>
      <c r="I322">
        <f>IF($N322=1,VALUE(LEFT($H322,2)),"")</f>
        <v/>
      </c>
      <c r="J322">
        <f>IF($N322=1,VALUE(MID($H322,9,2)),"")</f>
        <v/>
      </c>
      <c r="K322">
        <f>IF($N322=1,MOD($J322-$I322,24),0)</f>
        <v/>
      </c>
      <c r="L322">
        <f>IF($N322=1,$E322*24+$I322,"")</f>
        <v/>
      </c>
      <c r="M322">
        <f>IF($N322=1,$L322+$K322,"")</f>
        <v/>
      </c>
      <c r="N322">
        <f>IF(ISNUMBER(SEARCH(" - ",$H322&amp;"")),1,0)</f>
        <v/>
      </c>
      <c r="O322">
        <f>IF(UPPER($H322&amp;"")="LEAVE",1,0)</f>
        <v/>
      </c>
      <c r="P322">
        <f>IF($N322=1,$K322,0)</f>
        <v/>
      </c>
      <c r="Q322">
        <f>IF($N322=0,"",IFERROR($L322-LOOKUP(2,1/(($B$2:$B321=$B322)*($N$2:$N321=1)),$M$2:$M321),""))</f>
        <v/>
      </c>
    </row>
    <row r="323">
      <c r="A323" t="n">
        <v>322</v>
      </c>
      <c r="B323">
        <f>Schedule!$A$48</f>
        <v/>
      </c>
      <c r="C323">
        <f>Schedule!$D$48</f>
        <v/>
      </c>
      <c r="D323">
        <f>Schedule!$F$48</f>
        <v/>
      </c>
      <c r="E323" t="n">
        <v>6</v>
      </c>
      <c r="F323">
        <f>Schedule!$M$1</f>
        <v/>
      </c>
      <c r="G323">
        <f>Schedule!$M$2</f>
        <v/>
      </c>
      <c r="H323">
        <f>Schedule!$M$48</f>
        <v/>
      </c>
      <c r="I323">
        <f>IF($N323=1,VALUE(LEFT($H323,2)),"")</f>
        <v/>
      </c>
      <c r="J323">
        <f>IF($N323=1,VALUE(MID($H323,9,2)),"")</f>
        <v/>
      </c>
      <c r="K323">
        <f>IF($N323=1,MOD($J323-$I323,24),0)</f>
        <v/>
      </c>
      <c r="L323">
        <f>IF($N323=1,$E323*24+$I323,"")</f>
        <v/>
      </c>
      <c r="M323">
        <f>IF($N323=1,$L323+$K323,"")</f>
        <v/>
      </c>
      <c r="N323">
        <f>IF(ISNUMBER(SEARCH(" - ",$H323&amp;"")),1,0)</f>
        <v/>
      </c>
      <c r="O323">
        <f>IF(UPPER($H323&amp;"")="LEAVE",1,0)</f>
        <v/>
      </c>
      <c r="P323">
        <f>IF($N323=1,$K323,0)</f>
        <v/>
      </c>
      <c r="Q323">
        <f>IF($N323=0,"",IFERROR($L323-LOOKUP(2,1/(($B$2:$B322=$B323)*($N$2:$N322=1)),$M$2:$M322),""))</f>
        <v/>
      </c>
    </row>
    <row r="324">
      <c r="A324" t="n">
        <v>323</v>
      </c>
      <c r="B324">
        <f>Schedule!$A$49</f>
        <v/>
      </c>
      <c r="C324">
        <f>Schedule!$D$49</f>
        <v/>
      </c>
      <c r="D324">
        <f>Schedule!$F$49</f>
        <v/>
      </c>
      <c r="E324" t="n">
        <v>0</v>
      </c>
      <c r="F324">
        <f>Schedule!$G$1</f>
        <v/>
      </c>
      <c r="G324">
        <f>Schedule!$G$2</f>
        <v/>
      </c>
      <c r="H324">
        <f>Schedule!$G$49</f>
        <v/>
      </c>
      <c r="I324">
        <f>IF($N324=1,VALUE(LEFT($H324,2)),"")</f>
        <v/>
      </c>
      <c r="J324">
        <f>IF($N324=1,VALUE(MID($H324,9,2)),"")</f>
        <v/>
      </c>
      <c r="K324">
        <f>IF($N324=1,MOD($J324-$I324,24),0)</f>
        <v/>
      </c>
      <c r="L324">
        <f>IF($N324=1,$E324*24+$I324,"")</f>
        <v/>
      </c>
      <c r="M324">
        <f>IF($N324=1,$L324+$K324,"")</f>
        <v/>
      </c>
      <c r="N324">
        <f>IF(ISNUMBER(SEARCH(" - ",$H324&amp;"")),1,0)</f>
        <v/>
      </c>
      <c r="O324">
        <f>IF(UPPER($H324&amp;"")="LEAVE",1,0)</f>
        <v/>
      </c>
      <c r="P324">
        <f>IF($N324=1,$K324,0)</f>
        <v/>
      </c>
      <c r="Q324">
        <f>IF($N324=0,"",IFERROR($L324-'Previous Engine'!$M$48,""))</f>
        <v/>
      </c>
    </row>
    <row r="325">
      <c r="A325" t="n">
        <v>324</v>
      </c>
      <c r="B325">
        <f>Schedule!$A$49</f>
        <v/>
      </c>
      <c r="C325">
        <f>Schedule!$D$49</f>
        <v/>
      </c>
      <c r="D325">
        <f>Schedule!$F$49</f>
        <v/>
      </c>
      <c r="E325" t="n">
        <v>1</v>
      </c>
      <c r="F325">
        <f>Schedule!$H$1</f>
        <v/>
      </c>
      <c r="G325">
        <f>Schedule!$H$2</f>
        <v/>
      </c>
      <c r="H325">
        <f>Schedule!$H$49</f>
        <v/>
      </c>
      <c r="I325">
        <f>IF($N325=1,VALUE(LEFT($H325,2)),"")</f>
        <v/>
      </c>
      <c r="J325">
        <f>IF($N325=1,VALUE(MID($H325,9,2)),"")</f>
        <v/>
      </c>
      <c r="K325">
        <f>IF($N325=1,MOD($J325-$I325,24),0)</f>
        <v/>
      </c>
      <c r="L325">
        <f>IF($N325=1,$E325*24+$I325,"")</f>
        <v/>
      </c>
      <c r="M325">
        <f>IF($N325=1,$L325+$K325,"")</f>
        <v/>
      </c>
      <c r="N325">
        <f>IF(ISNUMBER(SEARCH(" - ",$H325&amp;"")),1,0)</f>
        <v/>
      </c>
      <c r="O325">
        <f>IF(UPPER($H325&amp;"")="LEAVE",1,0)</f>
        <v/>
      </c>
      <c r="P325">
        <f>IF($N325=1,$K325,0)</f>
        <v/>
      </c>
      <c r="Q325">
        <f>IF($N325=0,"",IFERROR($L325-LOOKUP(2,1/(($B$2:$B324=$B325)*($N$2:$N324=1)),$M$2:$M324),""))</f>
        <v/>
      </c>
    </row>
    <row r="326">
      <c r="A326" t="n">
        <v>325</v>
      </c>
      <c r="B326">
        <f>Schedule!$A$49</f>
        <v/>
      </c>
      <c r="C326">
        <f>Schedule!$D$49</f>
        <v/>
      </c>
      <c r="D326">
        <f>Schedule!$F$49</f>
        <v/>
      </c>
      <c r="E326" t="n">
        <v>2</v>
      </c>
      <c r="F326">
        <f>Schedule!$I$1</f>
        <v/>
      </c>
      <c r="G326">
        <f>Schedule!$I$2</f>
        <v/>
      </c>
      <c r="H326">
        <f>Schedule!$I$49</f>
        <v/>
      </c>
      <c r="I326">
        <f>IF($N326=1,VALUE(LEFT($H326,2)),"")</f>
        <v/>
      </c>
      <c r="J326">
        <f>IF($N326=1,VALUE(MID($H326,9,2)),"")</f>
        <v/>
      </c>
      <c r="K326">
        <f>IF($N326=1,MOD($J326-$I326,24),0)</f>
        <v/>
      </c>
      <c r="L326">
        <f>IF($N326=1,$E326*24+$I326,"")</f>
        <v/>
      </c>
      <c r="M326">
        <f>IF($N326=1,$L326+$K326,"")</f>
        <v/>
      </c>
      <c r="N326">
        <f>IF(ISNUMBER(SEARCH(" - ",$H326&amp;"")),1,0)</f>
        <v/>
      </c>
      <c r="O326">
        <f>IF(UPPER($H326&amp;"")="LEAVE",1,0)</f>
        <v/>
      </c>
      <c r="P326">
        <f>IF($N326=1,$K326,0)</f>
        <v/>
      </c>
      <c r="Q326">
        <f>IF($N326=0,"",IFERROR($L326-LOOKUP(2,1/(($B$2:$B325=$B326)*($N$2:$N325=1)),$M$2:$M325),""))</f>
        <v/>
      </c>
    </row>
    <row r="327">
      <c r="A327" t="n">
        <v>326</v>
      </c>
      <c r="B327">
        <f>Schedule!$A$49</f>
        <v/>
      </c>
      <c r="C327">
        <f>Schedule!$D$49</f>
        <v/>
      </c>
      <c r="D327">
        <f>Schedule!$F$49</f>
        <v/>
      </c>
      <c r="E327" t="n">
        <v>3</v>
      </c>
      <c r="F327">
        <f>Schedule!$J$1</f>
        <v/>
      </c>
      <c r="G327">
        <f>Schedule!$J$2</f>
        <v/>
      </c>
      <c r="H327">
        <f>Schedule!$J$49</f>
        <v/>
      </c>
      <c r="I327">
        <f>IF($N327=1,VALUE(LEFT($H327,2)),"")</f>
        <v/>
      </c>
      <c r="J327">
        <f>IF($N327=1,VALUE(MID($H327,9,2)),"")</f>
        <v/>
      </c>
      <c r="K327">
        <f>IF($N327=1,MOD($J327-$I327,24),0)</f>
        <v/>
      </c>
      <c r="L327">
        <f>IF($N327=1,$E327*24+$I327,"")</f>
        <v/>
      </c>
      <c r="M327">
        <f>IF($N327=1,$L327+$K327,"")</f>
        <v/>
      </c>
      <c r="N327">
        <f>IF(ISNUMBER(SEARCH(" - ",$H327&amp;"")),1,0)</f>
        <v/>
      </c>
      <c r="O327">
        <f>IF(UPPER($H327&amp;"")="LEAVE",1,0)</f>
        <v/>
      </c>
      <c r="P327">
        <f>IF($N327=1,$K327,0)</f>
        <v/>
      </c>
      <c r="Q327">
        <f>IF($N327=0,"",IFERROR($L327-LOOKUP(2,1/(($B$2:$B326=$B327)*($N$2:$N326=1)),$M$2:$M326),""))</f>
        <v/>
      </c>
    </row>
    <row r="328">
      <c r="A328" t="n">
        <v>327</v>
      </c>
      <c r="B328">
        <f>Schedule!$A$49</f>
        <v/>
      </c>
      <c r="C328">
        <f>Schedule!$D$49</f>
        <v/>
      </c>
      <c r="D328">
        <f>Schedule!$F$49</f>
        <v/>
      </c>
      <c r="E328" t="n">
        <v>4</v>
      </c>
      <c r="F328">
        <f>Schedule!$K$1</f>
        <v/>
      </c>
      <c r="G328">
        <f>Schedule!$K$2</f>
        <v/>
      </c>
      <c r="H328">
        <f>Schedule!$K$49</f>
        <v/>
      </c>
      <c r="I328">
        <f>IF($N328=1,VALUE(LEFT($H328,2)),"")</f>
        <v/>
      </c>
      <c r="J328">
        <f>IF($N328=1,VALUE(MID($H328,9,2)),"")</f>
        <v/>
      </c>
      <c r="K328">
        <f>IF($N328=1,MOD($J328-$I328,24),0)</f>
        <v/>
      </c>
      <c r="L328">
        <f>IF($N328=1,$E328*24+$I328,"")</f>
        <v/>
      </c>
      <c r="M328">
        <f>IF($N328=1,$L328+$K328,"")</f>
        <v/>
      </c>
      <c r="N328">
        <f>IF(ISNUMBER(SEARCH(" - ",$H328&amp;"")),1,0)</f>
        <v/>
      </c>
      <c r="O328">
        <f>IF(UPPER($H328&amp;"")="LEAVE",1,0)</f>
        <v/>
      </c>
      <c r="P328">
        <f>IF($N328=1,$K328,0)</f>
        <v/>
      </c>
      <c r="Q328">
        <f>IF($N328=0,"",IFERROR($L328-LOOKUP(2,1/(($B$2:$B327=$B328)*($N$2:$N327=1)),$M$2:$M327),""))</f>
        <v/>
      </c>
    </row>
    <row r="329">
      <c r="A329" t="n">
        <v>328</v>
      </c>
      <c r="B329">
        <f>Schedule!$A$49</f>
        <v/>
      </c>
      <c r="C329">
        <f>Schedule!$D$49</f>
        <v/>
      </c>
      <c r="D329">
        <f>Schedule!$F$49</f>
        <v/>
      </c>
      <c r="E329" t="n">
        <v>5</v>
      </c>
      <c r="F329">
        <f>Schedule!$L$1</f>
        <v/>
      </c>
      <c r="G329">
        <f>Schedule!$L$2</f>
        <v/>
      </c>
      <c r="H329">
        <f>Schedule!$L$49</f>
        <v/>
      </c>
      <c r="I329">
        <f>IF($N329=1,VALUE(LEFT($H329,2)),"")</f>
        <v/>
      </c>
      <c r="J329">
        <f>IF($N329=1,VALUE(MID($H329,9,2)),"")</f>
        <v/>
      </c>
      <c r="K329">
        <f>IF($N329=1,MOD($J329-$I329,24),0)</f>
        <v/>
      </c>
      <c r="L329">
        <f>IF($N329=1,$E329*24+$I329,"")</f>
        <v/>
      </c>
      <c r="M329">
        <f>IF($N329=1,$L329+$K329,"")</f>
        <v/>
      </c>
      <c r="N329">
        <f>IF(ISNUMBER(SEARCH(" - ",$H329&amp;"")),1,0)</f>
        <v/>
      </c>
      <c r="O329">
        <f>IF(UPPER($H329&amp;"")="LEAVE",1,0)</f>
        <v/>
      </c>
      <c r="P329">
        <f>IF($N329=1,$K329,0)</f>
        <v/>
      </c>
      <c r="Q329">
        <f>IF($N329=0,"",IFERROR($L329-LOOKUP(2,1/(($B$2:$B328=$B329)*($N$2:$N328=1)),$M$2:$M328),""))</f>
        <v/>
      </c>
    </row>
    <row r="330">
      <c r="A330" t="n">
        <v>329</v>
      </c>
      <c r="B330">
        <f>Schedule!$A$49</f>
        <v/>
      </c>
      <c r="C330">
        <f>Schedule!$D$49</f>
        <v/>
      </c>
      <c r="D330">
        <f>Schedule!$F$49</f>
        <v/>
      </c>
      <c r="E330" t="n">
        <v>6</v>
      </c>
      <c r="F330">
        <f>Schedule!$M$1</f>
        <v/>
      </c>
      <c r="G330">
        <f>Schedule!$M$2</f>
        <v/>
      </c>
      <c r="H330">
        <f>Schedule!$M$49</f>
        <v/>
      </c>
      <c r="I330">
        <f>IF($N330=1,VALUE(LEFT($H330,2)),"")</f>
        <v/>
      </c>
      <c r="J330">
        <f>IF($N330=1,VALUE(MID($H330,9,2)),"")</f>
        <v/>
      </c>
      <c r="K330">
        <f>IF($N330=1,MOD($J330-$I330,24),0)</f>
        <v/>
      </c>
      <c r="L330">
        <f>IF($N330=1,$E330*24+$I330,"")</f>
        <v/>
      </c>
      <c r="M330">
        <f>IF($N330=1,$L330+$K330,"")</f>
        <v/>
      </c>
      <c r="N330">
        <f>IF(ISNUMBER(SEARCH(" - ",$H330&amp;"")),1,0)</f>
        <v/>
      </c>
      <c r="O330">
        <f>IF(UPPER($H330&amp;"")="LEAVE",1,0)</f>
        <v/>
      </c>
      <c r="P330">
        <f>IF($N330=1,$K330,0)</f>
        <v/>
      </c>
      <c r="Q330">
        <f>IF($N330=0,"",IFERROR($L330-LOOKUP(2,1/(($B$2:$B329=$B330)*($N$2:$N329=1)),$M$2:$M329),""))</f>
        <v/>
      </c>
    </row>
    <row r="331">
      <c r="A331" t="n">
        <v>330</v>
      </c>
      <c r="B331">
        <f>Schedule!$A$50</f>
        <v/>
      </c>
      <c r="C331">
        <f>Schedule!$D$50</f>
        <v/>
      </c>
      <c r="D331">
        <f>Schedule!$F$50</f>
        <v/>
      </c>
      <c r="E331" t="n">
        <v>0</v>
      </c>
      <c r="F331">
        <f>Schedule!$G$1</f>
        <v/>
      </c>
      <c r="G331">
        <f>Schedule!$G$2</f>
        <v/>
      </c>
      <c r="H331">
        <f>Schedule!$G$50</f>
        <v/>
      </c>
      <c r="I331">
        <f>IF($N331=1,VALUE(LEFT($H331,2)),"")</f>
        <v/>
      </c>
      <c r="J331">
        <f>IF($N331=1,VALUE(MID($H331,9,2)),"")</f>
        <v/>
      </c>
      <c r="K331">
        <f>IF($N331=1,MOD($J331-$I331,24),0)</f>
        <v/>
      </c>
      <c r="L331">
        <f>IF($N331=1,$E331*24+$I331,"")</f>
        <v/>
      </c>
      <c r="M331">
        <f>IF($N331=1,$L331+$K331,"")</f>
        <v/>
      </c>
      <c r="N331">
        <f>IF(ISNUMBER(SEARCH(" - ",$H331&amp;"")),1,0)</f>
        <v/>
      </c>
      <c r="O331">
        <f>IF(UPPER($H331&amp;"")="LEAVE",1,0)</f>
        <v/>
      </c>
      <c r="P331">
        <f>IF($N331=1,$K331,0)</f>
        <v/>
      </c>
      <c r="Q331">
        <f>IF($N331=0,"",IFERROR($L331-'Previous Engine'!$M$49,""))</f>
        <v/>
      </c>
    </row>
    <row r="332">
      <c r="A332" t="n">
        <v>331</v>
      </c>
      <c r="B332">
        <f>Schedule!$A$50</f>
        <v/>
      </c>
      <c r="C332">
        <f>Schedule!$D$50</f>
        <v/>
      </c>
      <c r="D332">
        <f>Schedule!$F$50</f>
        <v/>
      </c>
      <c r="E332" t="n">
        <v>1</v>
      </c>
      <c r="F332">
        <f>Schedule!$H$1</f>
        <v/>
      </c>
      <c r="G332">
        <f>Schedule!$H$2</f>
        <v/>
      </c>
      <c r="H332">
        <f>Schedule!$H$50</f>
        <v/>
      </c>
      <c r="I332">
        <f>IF($N332=1,VALUE(LEFT($H332,2)),"")</f>
        <v/>
      </c>
      <c r="J332">
        <f>IF($N332=1,VALUE(MID($H332,9,2)),"")</f>
        <v/>
      </c>
      <c r="K332">
        <f>IF($N332=1,MOD($J332-$I332,24),0)</f>
        <v/>
      </c>
      <c r="L332">
        <f>IF($N332=1,$E332*24+$I332,"")</f>
        <v/>
      </c>
      <c r="M332">
        <f>IF($N332=1,$L332+$K332,"")</f>
        <v/>
      </c>
      <c r="N332">
        <f>IF(ISNUMBER(SEARCH(" - ",$H332&amp;"")),1,0)</f>
        <v/>
      </c>
      <c r="O332">
        <f>IF(UPPER($H332&amp;"")="LEAVE",1,0)</f>
        <v/>
      </c>
      <c r="P332">
        <f>IF($N332=1,$K332,0)</f>
        <v/>
      </c>
      <c r="Q332">
        <f>IF($N332=0,"",IFERROR($L332-LOOKUP(2,1/(($B$2:$B331=$B332)*($N$2:$N331=1)),$M$2:$M331),""))</f>
        <v/>
      </c>
    </row>
    <row r="333">
      <c r="A333" t="n">
        <v>332</v>
      </c>
      <c r="B333">
        <f>Schedule!$A$50</f>
        <v/>
      </c>
      <c r="C333">
        <f>Schedule!$D$50</f>
        <v/>
      </c>
      <c r="D333">
        <f>Schedule!$F$50</f>
        <v/>
      </c>
      <c r="E333" t="n">
        <v>2</v>
      </c>
      <c r="F333">
        <f>Schedule!$I$1</f>
        <v/>
      </c>
      <c r="G333">
        <f>Schedule!$I$2</f>
        <v/>
      </c>
      <c r="H333">
        <f>Schedule!$I$50</f>
        <v/>
      </c>
      <c r="I333">
        <f>IF($N333=1,VALUE(LEFT($H333,2)),"")</f>
        <v/>
      </c>
      <c r="J333">
        <f>IF($N333=1,VALUE(MID($H333,9,2)),"")</f>
        <v/>
      </c>
      <c r="K333">
        <f>IF($N333=1,MOD($J333-$I333,24),0)</f>
        <v/>
      </c>
      <c r="L333">
        <f>IF($N333=1,$E333*24+$I333,"")</f>
        <v/>
      </c>
      <c r="M333">
        <f>IF($N333=1,$L333+$K333,"")</f>
        <v/>
      </c>
      <c r="N333">
        <f>IF(ISNUMBER(SEARCH(" - ",$H333&amp;"")),1,0)</f>
        <v/>
      </c>
      <c r="O333">
        <f>IF(UPPER($H333&amp;"")="LEAVE",1,0)</f>
        <v/>
      </c>
      <c r="P333">
        <f>IF($N333=1,$K333,0)</f>
        <v/>
      </c>
      <c r="Q333">
        <f>IF($N333=0,"",IFERROR($L333-LOOKUP(2,1/(($B$2:$B332=$B333)*($N$2:$N332=1)),$M$2:$M332),""))</f>
        <v/>
      </c>
    </row>
    <row r="334">
      <c r="A334" t="n">
        <v>333</v>
      </c>
      <c r="B334">
        <f>Schedule!$A$50</f>
        <v/>
      </c>
      <c r="C334">
        <f>Schedule!$D$50</f>
        <v/>
      </c>
      <c r="D334">
        <f>Schedule!$F$50</f>
        <v/>
      </c>
      <c r="E334" t="n">
        <v>3</v>
      </c>
      <c r="F334">
        <f>Schedule!$J$1</f>
        <v/>
      </c>
      <c r="G334">
        <f>Schedule!$J$2</f>
        <v/>
      </c>
      <c r="H334">
        <f>Schedule!$J$50</f>
        <v/>
      </c>
      <c r="I334">
        <f>IF($N334=1,VALUE(LEFT($H334,2)),"")</f>
        <v/>
      </c>
      <c r="J334">
        <f>IF($N334=1,VALUE(MID($H334,9,2)),"")</f>
        <v/>
      </c>
      <c r="K334">
        <f>IF($N334=1,MOD($J334-$I334,24),0)</f>
        <v/>
      </c>
      <c r="L334">
        <f>IF($N334=1,$E334*24+$I334,"")</f>
        <v/>
      </c>
      <c r="M334">
        <f>IF($N334=1,$L334+$K334,"")</f>
        <v/>
      </c>
      <c r="N334">
        <f>IF(ISNUMBER(SEARCH(" - ",$H334&amp;"")),1,0)</f>
        <v/>
      </c>
      <c r="O334">
        <f>IF(UPPER($H334&amp;"")="LEAVE",1,0)</f>
        <v/>
      </c>
      <c r="P334">
        <f>IF($N334=1,$K334,0)</f>
        <v/>
      </c>
      <c r="Q334">
        <f>IF($N334=0,"",IFERROR($L334-LOOKUP(2,1/(($B$2:$B333=$B334)*($N$2:$N333=1)),$M$2:$M333),""))</f>
        <v/>
      </c>
    </row>
    <row r="335">
      <c r="A335" t="n">
        <v>334</v>
      </c>
      <c r="B335">
        <f>Schedule!$A$50</f>
        <v/>
      </c>
      <c r="C335">
        <f>Schedule!$D$50</f>
        <v/>
      </c>
      <c r="D335">
        <f>Schedule!$F$50</f>
        <v/>
      </c>
      <c r="E335" t="n">
        <v>4</v>
      </c>
      <c r="F335">
        <f>Schedule!$K$1</f>
        <v/>
      </c>
      <c r="G335">
        <f>Schedule!$K$2</f>
        <v/>
      </c>
      <c r="H335">
        <f>Schedule!$K$50</f>
        <v/>
      </c>
      <c r="I335">
        <f>IF($N335=1,VALUE(LEFT($H335,2)),"")</f>
        <v/>
      </c>
      <c r="J335">
        <f>IF($N335=1,VALUE(MID($H335,9,2)),"")</f>
        <v/>
      </c>
      <c r="K335">
        <f>IF($N335=1,MOD($J335-$I335,24),0)</f>
        <v/>
      </c>
      <c r="L335">
        <f>IF($N335=1,$E335*24+$I335,"")</f>
        <v/>
      </c>
      <c r="M335">
        <f>IF($N335=1,$L335+$K335,"")</f>
        <v/>
      </c>
      <c r="N335">
        <f>IF(ISNUMBER(SEARCH(" - ",$H335&amp;"")),1,0)</f>
        <v/>
      </c>
      <c r="O335">
        <f>IF(UPPER($H335&amp;"")="LEAVE",1,0)</f>
        <v/>
      </c>
      <c r="P335">
        <f>IF($N335=1,$K335,0)</f>
        <v/>
      </c>
      <c r="Q335">
        <f>IF($N335=0,"",IFERROR($L335-LOOKUP(2,1/(($B$2:$B334=$B335)*($N$2:$N334=1)),$M$2:$M334),""))</f>
        <v/>
      </c>
    </row>
    <row r="336">
      <c r="A336" t="n">
        <v>335</v>
      </c>
      <c r="B336">
        <f>Schedule!$A$50</f>
        <v/>
      </c>
      <c r="C336">
        <f>Schedule!$D$50</f>
        <v/>
      </c>
      <c r="D336">
        <f>Schedule!$F$50</f>
        <v/>
      </c>
      <c r="E336" t="n">
        <v>5</v>
      </c>
      <c r="F336">
        <f>Schedule!$L$1</f>
        <v/>
      </c>
      <c r="G336">
        <f>Schedule!$L$2</f>
        <v/>
      </c>
      <c r="H336">
        <f>Schedule!$L$50</f>
        <v/>
      </c>
      <c r="I336">
        <f>IF($N336=1,VALUE(LEFT($H336,2)),"")</f>
        <v/>
      </c>
      <c r="J336">
        <f>IF($N336=1,VALUE(MID($H336,9,2)),"")</f>
        <v/>
      </c>
      <c r="K336">
        <f>IF($N336=1,MOD($J336-$I336,24),0)</f>
        <v/>
      </c>
      <c r="L336">
        <f>IF($N336=1,$E336*24+$I336,"")</f>
        <v/>
      </c>
      <c r="M336">
        <f>IF($N336=1,$L336+$K336,"")</f>
        <v/>
      </c>
      <c r="N336">
        <f>IF(ISNUMBER(SEARCH(" - ",$H336&amp;"")),1,0)</f>
        <v/>
      </c>
      <c r="O336">
        <f>IF(UPPER($H336&amp;"")="LEAVE",1,0)</f>
        <v/>
      </c>
      <c r="P336">
        <f>IF($N336=1,$K336,0)</f>
        <v/>
      </c>
      <c r="Q336">
        <f>IF($N336=0,"",IFERROR($L336-LOOKUP(2,1/(($B$2:$B335=$B336)*($N$2:$N335=1)),$M$2:$M335),""))</f>
        <v/>
      </c>
    </row>
    <row r="337">
      <c r="A337" t="n">
        <v>336</v>
      </c>
      <c r="B337">
        <f>Schedule!$A$50</f>
        <v/>
      </c>
      <c r="C337">
        <f>Schedule!$D$50</f>
        <v/>
      </c>
      <c r="D337">
        <f>Schedule!$F$50</f>
        <v/>
      </c>
      <c r="E337" t="n">
        <v>6</v>
      </c>
      <c r="F337">
        <f>Schedule!$M$1</f>
        <v/>
      </c>
      <c r="G337">
        <f>Schedule!$M$2</f>
        <v/>
      </c>
      <c r="H337">
        <f>Schedule!$M$50</f>
        <v/>
      </c>
      <c r="I337">
        <f>IF($N337=1,VALUE(LEFT($H337,2)),"")</f>
        <v/>
      </c>
      <c r="J337">
        <f>IF($N337=1,VALUE(MID($H337,9,2)),"")</f>
        <v/>
      </c>
      <c r="K337">
        <f>IF($N337=1,MOD($J337-$I337,24),0)</f>
        <v/>
      </c>
      <c r="L337">
        <f>IF($N337=1,$E337*24+$I337,"")</f>
        <v/>
      </c>
      <c r="M337">
        <f>IF($N337=1,$L337+$K337,"")</f>
        <v/>
      </c>
      <c r="N337">
        <f>IF(ISNUMBER(SEARCH(" - ",$H337&amp;"")),1,0)</f>
        <v/>
      </c>
      <c r="O337">
        <f>IF(UPPER($H337&amp;"")="LEAVE",1,0)</f>
        <v/>
      </c>
      <c r="P337">
        <f>IF($N337=1,$K337,0)</f>
        <v/>
      </c>
      <c r="Q337">
        <f>IF($N337=0,"",IFERROR($L337-LOOKUP(2,1/(($B$2:$B336=$B337)*($N$2:$N336=1)),$M$2:$M336),""))</f>
        <v/>
      </c>
    </row>
    <row r="338">
      <c r="A338" t="n">
        <v>337</v>
      </c>
      <c r="B338">
        <f>Schedule!$A$51</f>
        <v/>
      </c>
      <c r="C338">
        <f>Schedule!$D$51</f>
        <v/>
      </c>
      <c r="D338">
        <f>Schedule!$F$51</f>
        <v/>
      </c>
      <c r="E338" t="n">
        <v>0</v>
      </c>
      <c r="F338">
        <f>Schedule!$G$1</f>
        <v/>
      </c>
      <c r="G338">
        <f>Schedule!$G$2</f>
        <v/>
      </c>
      <c r="H338">
        <f>Schedule!$G$51</f>
        <v/>
      </c>
      <c r="I338">
        <f>IF($N338=1,VALUE(LEFT($H338,2)),"")</f>
        <v/>
      </c>
      <c r="J338">
        <f>IF($N338=1,VALUE(MID($H338,9,2)),"")</f>
        <v/>
      </c>
      <c r="K338">
        <f>IF($N338=1,MOD($J338-$I338,24),0)</f>
        <v/>
      </c>
      <c r="L338">
        <f>IF($N338=1,$E338*24+$I338,"")</f>
        <v/>
      </c>
      <c r="M338">
        <f>IF($N338=1,$L338+$K338,"")</f>
        <v/>
      </c>
      <c r="N338">
        <f>IF(ISNUMBER(SEARCH(" - ",$H338&amp;"")),1,0)</f>
        <v/>
      </c>
      <c r="O338">
        <f>IF(UPPER($H338&amp;"")="LEAVE",1,0)</f>
        <v/>
      </c>
      <c r="P338">
        <f>IF($N338=1,$K338,0)</f>
        <v/>
      </c>
      <c r="Q338">
        <f>IF($N338=0,"",IFERROR($L338-'Previous Engine'!$M$50,""))</f>
        <v/>
      </c>
    </row>
    <row r="339">
      <c r="A339" t="n">
        <v>338</v>
      </c>
      <c r="B339">
        <f>Schedule!$A$51</f>
        <v/>
      </c>
      <c r="C339">
        <f>Schedule!$D$51</f>
        <v/>
      </c>
      <c r="D339">
        <f>Schedule!$F$51</f>
        <v/>
      </c>
      <c r="E339" t="n">
        <v>1</v>
      </c>
      <c r="F339">
        <f>Schedule!$H$1</f>
        <v/>
      </c>
      <c r="G339">
        <f>Schedule!$H$2</f>
        <v/>
      </c>
      <c r="H339">
        <f>Schedule!$H$51</f>
        <v/>
      </c>
      <c r="I339">
        <f>IF($N339=1,VALUE(LEFT($H339,2)),"")</f>
        <v/>
      </c>
      <c r="J339">
        <f>IF($N339=1,VALUE(MID($H339,9,2)),"")</f>
        <v/>
      </c>
      <c r="K339">
        <f>IF($N339=1,MOD($J339-$I339,24),0)</f>
        <v/>
      </c>
      <c r="L339">
        <f>IF($N339=1,$E339*24+$I339,"")</f>
        <v/>
      </c>
      <c r="M339">
        <f>IF($N339=1,$L339+$K339,"")</f>
        <v/>
      </c>
      <c r="N339">
        <f>IF(ISNUMBER(SEARCH(" - ",$H339&amp;"")),1,0)</f>
        <v/>
      </c>
      <c r="O339">
        <f>IF(UPPER($H339&amp;"")="LEAVE",1,0)</f>
        <v/>
      </c>
      <c r="P339">
        <f>IF($N339=1,$K339,0)</f>
        <v/>
      </c>
      <c r="Q339">
        <f>IF($N339=0,"",IFERROR($L339-LOOKUP(2,1/(($B$2:$B338=$B339)*($N$2:$N338=1)),$M$2:$M338),""))</f>
        <v/>
      </c>
    </row>
    <row r="340">
      <c r="A340" t="n">
        <v>339</v>
      </c>
      <c r="B340">
        <f>Schedule!$A$51</f>
        <v/>
      </c>
      <c r="C340">
        <f>Schedule!$D$51</f>
        <v/>
      </c>
      <c r="D340">
        <f>Schedule!$F$51</f>
        <v/>
      </c>
      <c r="E340" t="n">
        <v>2</v>
      </c>
      <c r="F340">
        <f>Schedule!$I$1</f>
        <v/>
      </c>
      <c r="G340">
        <f>Schedule!$I$2</f>
        <v/>
      </c>
      <c r="H340">
        <f>Schedule!$I$51</f>
        <v/>
      </c>
      <c r="I340">
        <f>IF($N340=1,VALUE(LEFT($H340,2)),"")</f>
        <v/>
      </c>
      <c r="J340">
        <f>IF($N340=1,VALUE(MID($H340,9,2)),"")</f>
        <v/>
      </c>
      <c r="K340">
        <f>IF($N340=1,MOD($J340-$I340,24),0)</f>
        <v/>
      </c>
      <c r="L340">
        <f>IF($N340=1,$E340*24+$I340,"")</f>
        <v/>
      </c>
      <c r="M340">
        <f>IF($N340=1,$L340+$K340,"")</f>
        <v/>
      </c>
      <c r="N340">
        <f>IF(ISNUMBER(SEARCH(" - ",$H340&amp;"")),1,0)</f>
        <v/>
      </c>
      <c r="O340">
        <f>IF(UPPER($H340&amp;"")="LEAVE",1,0)</f>
        <v/>
      </c>
      <c r="P340">
        <f>IF($N340=1,$K340,0)</f>
        <v/>
      </c>
      <c r="Q340">
        <f>IF($N340=0,"",IFERROR($L340-LOOKUP(2,1/(($B$2:$B339=$B340)*($N$2:$N339=1)),$M$2:$M339),""))</f>
        <v/>
      </c>
    </row>
    <row r="341">
      <c r="A341" t="n">
        <v>340</v>
      </c>
      <c r="B341">
        <f>Schedule!$A$51</f>
        <v/>
      </c>
      <c r="C341">
        <f>Schedule!$D$51</f>
        <v/>
      </c>
      <c r="D341">
        <f>Schedule!$F$51</f>
        <v/>
      </c>
      <c r="E341" t="n">
        <v>3</v>
      </c>
      <c r="F341">
        <f>Schedule!$J$1</f>
        <v/>
      </c>
      <c r="G341">
        <f>Schedule!$J$2</f>
        <v/>
      </c>
      <c r="H341">
        <f>Schedule!$J$51</f>
        <v/>
      </c>
      <c r="I341">
        <f>IF($N341=1,VALUE(LEFT($H341,2)),"")</f>
        <v/>
      </c>
      <c r="J341">
        <f>IF($N341=1,VALUE(MID($H341,9,2)),"")</f>
        <v/>
      </c>
      <c r="K341">
        <f>IF($N341=1,MOD($J341-$I341,24),0)</f>
        <v/>
      </c>
      <c r="L341">
        <f>IF($N341=1,$E341*24+$I341,"")</f>
        <v/>
      </c>
      <c r="M341">
        <f>IF($N341=1,$L341+$K341,"")</f>
        <v/>
      </c>
      <c r="N341">
        <f>IF(ISNUMBER(SEARCH(" - ",$H341&amp;"")),1,0)</f>
        <v/>
      </c>
      <c r="O341">
        <f>IF(UPPER($H341&amp;"")="LEAVE",1,0)</f>
        <v/>
      </c>
      <c r="P341">
        <f>IF($N341=1,$K341,0)</f>
        <v/>
      </c>
      <c r="Q341">
        <f>IF($N341=0,"",IFERROR($L341-LOOKUP(2,1/(($B$2:$B340=$B341)*($N$2:$N340=1)),$M$2:$M340),""))</f>
        <v/>
      </c>
    </row>
    <row r="342">
      <c r="A342" t="n">
        <v>341</v>
      </c>
      <c r="B342">
        <f>Schedule!$A$51</f>
        <v/>
      </c>
      <c r="C342">
        <f>Schedule!$D$51</f>
        <v/>
      </c>
      <c r="D342">
        <f>Schedule!$F$51</f>
        <v/>
      </c>
      <c r="E342" t="n">
        <v>4</v>
      </c>
      <c r="F342">
        <f>Schedule!$K$1</f>
        <v/>
      </c>
      <c r="G342">
        <f>Schedule!$K$2</f>
        <v/>
      </c>
      <c r="H342">
        <f>Schedule!$K$51</f>
        <v/>
      </c>
      <c r="I342">
        <f>IF($N342=1,VALUE(LEFT($H342,2)),"")</f>
        <v/>
      </c>
      <c r="J342">
        <f>IF($N342=1,VALUE(MID($H342,9,2)),"")</f>
        <v/>
      </c>
      <c r="K342">
        <f>IF($N342=1,MOD($J342-$I342,24),0)</f>
        <v/>
      </c>
      <c r="L342">
        <f>IF($N342=1,$E342*24+$I342,"")</f>
        <v/>
      </c>
      <c r="M342">
        <f>IF($N342=1,$L342+$K342,"")</f>
        <v/>
      </c>
      <c r="N342">
        <f>IF(ISNUMBER(SEARCH(" - ",$H342&amp;"")),1,0)</f>
        <v/>
      </c>
      <c r="O342">
        <f>IF(UPPER($H342&amp;"")="LEAVE",1,0)</f>
        <v/>
      </c>
      <c r="P342">
        <f>IF($N342=1,$K342,0)</f>
        <v/>
      </c>
      <c r="Q342">
        <f>IF($N342=0,"",IFERROR($L342-LOOKUP(2,1/(($B$2:$B341=$B342)*($N$2:$N341=1)),$M$2:$M341),""))</f>
        <v/>
      </c>
    </row>
    <row r="343">
      <c r="A343" t="n">
        <v>342</v>
      </c>
      <c r="B343">
        <f>Schedule!$A$51</f>
        <v/>
      </c>
      <c r="C343">
        <f>Schedule!$D$51</f>
        <v/>
      </c>
      <c r="D343">
        <f>Schedule!$F$51</f>
        <v/>
      </c>
      <c r="E343" t="n">
        <v>5</v>
      </c>
      <c r="F343">
        <f>Schedule!$L$1</f>
        <v/>
      </c>
      <c r="G343">
        <f>Schedule!$L$2</f>
        <v/>
      </c>
      <c r="H343">
        <f>Schedule!$L$51</f>
        <v/>
      </c>
      <c r="I343">
        <f>IF($N343=1,VALUE(LEFT($H343,2)),"")</f>
        <v/>
      </c>
      <c r="J343">
        <f>IF($N343=1,VALUE(MID($H343,9,2)),"")</f>
        <v/>
      </c>
      <c r="K343">
        <f>IF($N343=1,MOD($J343-$I343,24),0)</f>
        <v/>
      </c>
      <c r="L343">
        <f>IF($N343=1,$E343*24+$I343,"")</f>
        <v/>
      </c>
      <c r="M343">
        <f>IF($N343=1,$L343+$K343,"")</f>
        <v/>
      </c>
      <c r="N343">
        <f>IF(ISNUMBER(SEARCH(" - ",$H343&amp;"")),1,0)</f>
        <v/>
      </c>
      <c r="O343">
        <f>IF(UPPER($H343&amp;"")="LEAVE",1,0)</f>
        <v/>
      </c>
      <c r="P343">
        <f>IF($N343=1,$K343,0)</f>
        <v/>
      </c>
      <c r="Q343">
        <f>IF($N343=0,"",IFERROR($L343-LOOKUP(2,1/(($B$2:$B342=$B343)*($N$2:$N342=1)),$M$2:$M342),""))</f>
        <v/>
      </c>
    </row>
    <row r="344">
      <c r="A344" t="n">
        <v>343</v>
      </c>
      <c r="B344">
        <f>Schedule!$A$51</f>
        <v/>
      </c>
      <c r="C344">
        <f>Schedule!$D$51</f>
        <v/>
      </c>
      <c r="D344">
        <f>Schedule!$F$51</f>
        <v/>
      </c>
      <c r="E344" t="n">
        <v>6</v>
      </c>
      <c r="F344">
        <f>Schedule!$M$1</f>
        <v/>
      </c>
      <c r="G344">
        <f>Schedule!$M$2</f>
        <v/>
      </c>
      <c r="H344">
        <f>Schedule!$M$51</f>
        <v/>
      </c>
      <c r="I344">
        <f>IF($N344=1,VALUE(LEFT($H344,2)),"")</f>
        <v/>
      </c>
      <c r="J344">
        <f>IF($N344=1,VALUE(MID($H344,9,2)),"")</f>
        <v/>
      </c>
      <c r="K344">
        <f>IF($N344=1,MOD($J344-$I344,24),0)</f>
        <v/>
      </c>
      <c r="L344">
        <f>IF($N344=1,$E344*24+$I344,"")</f>
        <v/>
      </c>
      <c r="M344">
        <f>IF($N344=1,$L344+$K344,"")</f>
        <v/>
      </c>
      <c r="N344">
        <f>IF(ISNUMBER(SEARCH(" - ",$H344&amp;"")),1,0)</f>
        <v/>
      </c>
      <c r="O344">
        <f>IF(UPPER($H344&amp;"")="LEAVE",1,0)</f>
        <v/>
      </c>
      <c r="P344">
        <f>IF($N344=1,$K344,0)</f>
        <v/>
      </c>
      <c r="Q344">
        <f>IF($N344=0,"",IFERROR($L344-LOOKUP(2,1/(($B$2:$B343=$B344)*($N$2:$N343=1)),$M$2:$M343),""))</f>
        <v/>
      </c>
    </row>
    <row r="345">
      <c r="A345" t="n">
        <v>344</v>
      </c>
      <c r="B345">
        <f>Schedule!$A$52</f>
        <v/>
      </c>
      <c r="C345">
        <f>Schedule!$D$52</f>
        <v/>
      </c>
      <c r="D345">
        <f>Schedule!$F$52</f>
        <v/>
      </c>
      <c r="E345" t="n">
        <v>0</v>
      </c>
      <c r="F345">
        <f>Schedule!$G$1</f>
        <v/>
      </c>
      <c r="G345">
        <f>Schedule!$G$2</f>
        <v/>
      </c>
      <c r="H345">
        <f>Schedule!$G$52</f>
        <v/>
      </c>
      <c r="I345">
        <f>IF($N345=1,VALUE(LEFT($H345,2)),"")</f>
        <v/>
      </c>
      <c r="J345">
        <f>IF($N345=1,VALUE(MID($H345,9,2)),"")</f>
        <v/>
      </c>
      <c r="K345">
        <f>IF($N345=1,MOD($J345-$I345,24),0)</f>
        <v/>
      </c>
      <c r="L345">
        <f>IF($N345=1,$E345*24+$I345,"")</f>
        <v/>
      </c>
      <c r="M345">
        <f>IF($N345=1,$L345+$K345,"")</f>
        <v/>
      </c>
      <c r="N345">
        <f>IF(ISNUMBER(SEARCH(" - ",$H345&amp;"")),1,0)</f>
        <v/>
      </c>
      <c r="O345">
        <f>IF(UPPER($H345&amp;"")="LEAVE",1,0)</f>
        <v/>
      </c>
      <c r="P345">
        <f>IF($N345=1,$K345,0)</f>
        <v/>
      </c>
      <c r="Q345">
        <f>IF($N345=0,"",IFERROR($L345-'Previous Engine'!$M$51,""))</f>
        <v/>
      </c>
    </row>
    <row r="346">
      <c r="A346" t="n">
        <v>345</v>
      </c>
      <c r="B346">
        <f>Schedule!$A$52</f>
        <v/>
      </c>
      <c r="C346">
        <f>Schedule!$D$52</f>
        <v/>
      </c>
      <c r="D346">
        <f>Schedule!$F$52</f>
        <v/>
      </c>
      <c r="E346" t="n">
        <v>1</v>
      </c>
      <c r="F346">
        <f>Schedule!$H$1</f>
        <v/>
      </c>
      <c r="G346">
        <f>Schedule!$H$2</f>
        <v/>
      </c>
      <c r="H346">
        <f>Schedule!$H$52</f>
        <v/>
      </c>
      <c r="I346">
        <f>IF($N346=1,VALUE(LEFT($H346,2)),"")</f>
        <v/>
      </c>
      <c r="J346">
        <f>IF($N346=1,VALUE(MID($H346,9,2)),"")</f>
        <v/>
      </c>
      <c r="K346">
        <f>IF($N346=1,MOD($J346-$I346,24),0)</f>
        <v/>
      </c>
      <c r="L346">
        <f>IF($N346=1,$E346*24+$I346,"")</f>
        <v/>
      </c>
      <c r="M346">
        <f>IF($N346=1,$L346+$K346,"")</f>
        <v/>
      </c>
      <c r="N346">
        <f>IF(ISNUMBER(SEARCH(" - ",$H346&amp;"")),1,0)</f>
        <v/>
      </c>
      <c r="O346">
        <f>IF(UPPER($H346&amp;"")="LEAVE",1,0)</f>
        <v/>
      </c>
      <c r="P346">
        <f>IF($N346=1,$K346,0)</f>
        <v/>
      </c>
      <c r="Q346">
        <f>IF($N346=0,"",IFERROR($L346-LOOKUP(2,1/(($B$2:$B345=$B346)*($N$2:$N345=1)),$M$2:$M345),""))</f>
        <v/>
      </c>
    </row>
    <row r="347">
      <c r="A347" t="n">
        <v>346</v>
      </c>
      <c r="B347">
        <f>Schedule!$A$52</f>
        <v/>
      </c>
      <c r="C347">
        <f>Schedule!$D$52</f>
        <v/>
      </c>
      <c r="D347">
        <f>Schedule!$F$52</f>
        <v/>
      </c>
      <c r="E347" t="n">
        <v>2</v>
      </c>
      <c r="F347">
        <f>Schedule!$I$1</f>
        <v/>
      </c>
      <c r="G347">
        <f>Schedule!$I$2</f>
        <v/>
      </c>
      <c r="H347">
        <f>Schedule!$I$52</f>
        <v/>
      </c>
      <c r="I347">
        <f>IF($N347=1,VALUE(LEFT($H347,2)),"")</f>
        <v/>
      </c>
      <c r="J347">
        <f>IF($N347=1,VALUE(MID($H347,9,2)),"")</f>
        <v/>
      </c>
      <c r="K347">
        <f>IF($N347=1,MOD($J347-$I347,24),0)</f>
        <v/>
      </c>
      <c r="L347">
        <f>IF($N347=1,$E347*24+$I347,"")</f>
        <v/>
      </c>
      <c r="M347">
        <f>IF($N347=1,$L347+$K347,"")</f>
        <v/>
      </c>
      <c r="N347">
        <f>IF(ISNUMBER(SEARCH(" - ",$H347&amp;"")),1,0)</f>
        <v/>
      </c>
      <c r="O347">
        <f>IF(UPPER($H347&amp;"")="LEAVE",1,0)</f>
        <v/>
      </c>
      <c r="P347">
        <f>IF($N347=1,$K347,0)</f>
        <v/>
      </c>
      <c r="Q347">
        <f>IF($N347=0,"",IFERROR($L347-LOOKUP(2,1/(($B$2:$B346=$B347)*($N$2:$N346=1)),$M$2:$M346),""))</f>
        <v/>
      </c>
    </row>
    <row r="348">
      <c r="A348" t="n">
        <v>347</v>
      </c>
      <c r="B348">
        <f>Schedule!$A$52</f>
        <v/>
      </c>
      <c r="C348">
        <f>Schedule!$D$52</f>
        <v/>
      </c>
      <c r="D348">
        <f>Schedule!$F$52</f>
        <v/>
      </c>
      <c r="E348" t="n">
        <v>3</v>
      </c>
      <c r="F348">
        <f>Schedule!$J$1</f>
        <v/>
      </c>
      <c r="G348">
        <f>Schedule!$J$2</f>
        <v/>
      </c>
      <c r="H348">
        <f>Schedule!$J$52</f>
        <v/>
      </c>
      <c r="I348">
        <f>IF($N348=1,VALUE(LEFT($H348,2)),"")</f>
        <v/>
      </c>
      <c r="J348">
        <f>IF($N348=1,VALUE(MID($H348,9,2)),"")</f>
        <v/>
      </c>
      <c r="K348">
        <f>IF($N348=1,MOD($J348-$I348,24),0)</f>
        <v/>
      </c>
      <c r="L348">
        <f>IF($N348=1,$E348*24+$I348,"")</f>
        <v/>
      </c>
      <c r="M348">
        <f>IF($N348=1,$L348+$K348,"")</f>
        <v/>
      </c>
      <c r="N348">
        <f>IF(ISNUMBER(SEARCH(" - ",$H348&amp;"")),1,0)</f>
        <v/>
      </c>
      <c r="O348">
        <f>IF(UPPER($H348&amp;"")="LEAVE",1,0)</f>
        <v/>
      </c>
      <c r="P348">
        <f>IF($N348=1,$K348,0)</f>
        <v/>
      </c>
      <c r="Q348">
        <f>IF($N348=0,"",IFERROR($L348-LOOKUP(2,1/(($B$2:$B347=$B348)*($N$2:$N347=1)),$M$2:$M347),""))</f>
        <v/>
      </c>
    </row>
    <row r="349">
      <c r="A349" t="n">
        <v>348</v>
      </c>
      <c r="B349">
        <f>Schedule!$A$52</f>
        <v/>
      </c>
      <c r="C349">
        <f>Schedule!$D$52</f>
        <v/>
      </c>
      <c r="D349">
        <f>Schedule!$F$52</f>
        <v/>
      </c>
      <c r="E349" t="n">
        <v>4</v>
      </c>
      <c r="F349">
        <f>Schedule!$K$1</f>
        <v/>
      </c>
      <c r="G349">
        <f>Schedule!$K$2</f>
        <v/>
      </c>
      <c r="H349">
        <f>Schedule!$K$52</f>
        <v/>
      </c>
      <c r="I349">
        <f>IF($N349=1,VALUE(LEFT($H349,2)),"")</f>
        <v/>
      </c>
      <c r="J349">
        <f>IF($N349=1,VALUE(MID($H349,9,2)),"")</f>
        <v/>
      </c>
      <c r="K349">
        <f>IF($N349=1,MOD($J349-$I349,24),0)</f>
        <v/>
      </c>
      <c r="L349">
        <f>IF($N349=1,$E349*24+$I349,"")</f>
        <v/>
      </c>
      <c r="M349">
        <f>IF($N349=1,$L349+$K349,"")</f>
        <v/>
      </c>
      <c r="N349">
        <f>IF(ISNUMBER(SEARCH(" - ",$H349&amp;"")),1,0)</f>
        <v/>
      </c>
      <c r="O349">
        <f>IF(UPPER($H349&amp;"")="LEAVE",1,0)</f>
        <v/>
      </c>
      <c r="P349">
        <f>IF($N349=1,$K349,0)</f>
        <v/>
      </c>
      <c r="Q349">
        <f>IF($N349=0,"",IFERROR($L349-LOOKUP(2,1/(($B$2:$B348=$B349)*($N$2:$N348=1)),$M$2:$M348),""))</f>
        <v/>
      </c>
    </row>
    <row r="350">
      <c r="A350" t="n">
        <v>349</v>
      </c>
      <c r="B350">
        <f>Schedule!$A$52</f>
        <v/>
      </c>
      <c r="C350">
        <f>Schedule!$D$52</f>
        <v/>
      </c>
      <c r="D350">
        <f>Schedule!$F$52</f>
        <v/>
      </c>
      <c r="E350" t="n">
        <v>5</v>
      </c>
      <c r="F350">
        <f>Schedule!$L$1</f>
        <v/>
      </c>
      <c r="G350">
        <f>Schedule!$L$2</f>
        <v/>
      </c>
      <c r="H350">
        <f>Schedule!$L$52</f>
        <v/>
      </c>
      <c r="I350">
        <f>IF($N350=1,VALUE(LEFT($H350,2)),"")</f>
        <v/>
      </c>
      <c r="J350">
        <f>IF($N350=1,VALUE(MID($H350,9,2)),"")</f>
        <v/>
      </c>
      <c r="K350">
        <f>IF($N350=1,MOD($J350-$I350,24),0)</f>
        <v/>
      </c>
      <c r="L350">
        <f>IF($N350=1,$E350*24+$I350,"")</f>
        <v/>
      </c>
      <c r="M350">
        <f>IF($N350=1,$L350+$K350,"")</f>
        <v/>
      </c>
      <c r="N350">
        <f>IF(ISNUMBER(SEARCH(" - ",$H350&amp;"")),1,0)</f>
        <v/>
      </c>
      <c r="O350">
        <f>IF(UPPER($H350&amp;"")="LEAVE",1,0)</f>
        <v/>
      </c>
      <c r="P350">
        <f>IF($N350=1,$K350,0)</f>
        <v/>
      </c>
      <c r="Q350">
        <f>IF($N350=0,"",IFERROR($L350-LOOKUP(2,1/(($B$2:$B349=$B350)*($N$2:$N349=1)),$M$2:$M349),""))</f>
        <v/>
      </c>
    </row>
    <row r="351">
      <c r="A351" t="n">
        <v>350</v>
      </c>
      <c r="B351">
        <f>Schedule!$A$52</f>
        <v/>
      </c>
      <c r="C351">
        <f>Schedule!$D$52</f>
        <v/>
      </c>
      <c r="D351">
        <f>Schedule!$F$52</f>
        <v/>
      </c>
      <c r="E351" t="n">
        <v>6</v>
      </c>
      <c r="F351">
        <f>Schedule!$M$1</f>
        <v/>
      </c>
      <c r="G351">
        <f>Schedule!$M$2</f>
        <v/>
      </c>
      <c r="H351">
        <f>Schedule!$M$52</f>
        <v/>
      </c>
      <c r="I351">
        <f>IF($N351=1,VALUE(LEFT($H351,2)),"")</f>
        <v/>
      </c>
      <c r="J351">
        <f>IF($N351=1,VALUE(MID($H351,9,2)),"")</f>
        <v/>
      </c>
      <c r="K351">
        <f>IF($N351=1,MOD($J351-$I351,24),0)</f>
        <v/>
      </c>
      <c r="L351">
        <f>IF($N351=1,$E351*24+$I351,"")</f>
        <v/>
      </c>
      <c r="M351">
        <f>IF($N351=1,$L351+$K351,"")</f>
        <v/>
      </c>
      <c r="N351">
        <f>IF(ISNUMBER(SEARCH(" - ",$H351&amp;"")),1,0)</f>
        <v/>
      </c>
      <c r="O351">
        <f>IF(UPPER($H351&amp;"")="LEAVE",1,0)</f>
        <v/>
      </c>
      <c r="P351">
        <f>IF($N351=1,$K351,0)</f>
        <v/>
      </c>
      <c r="Q351">
        <f>IF($N351=0,"",IFERROR($L351-LOOKUP(2,1/(($B$2:$B350=$B351)*($N$2:$N350=1)),$M$2:$M350),""))</f>
        <v/>
      </c>
    </row>
    <row r="352">
      <c r="A352" t="n">
        <v>351</v>
      </c>
      <c r="B352">
        <f>Schedule!$A$53</f>
        <v/>
      </c>
      <c r="C352">
        <f>Schedule!$D$53</f>
        <v/>
      </c>
      <c r="D352">
        <f>Schedule!$F$53</f>
        <v/>
      </c>
      <c r="E352" t="n">
        <v>0</v>
      </c>
      <c r="F352">
        <f>Schedule!$G$1</f>
        <v/>
      </c>
      <c r="G352">
        <f>Schedule!$G$2</f>
        <v/>
      </c>
      <c r="H352">
        <f>Schedule!$G$53</f>
        <v/>
      </c>
      <c r="I352">
        <f>IF($N352=1,VALUE(LEFT($H352,2)),"")</f>
        <v/>
      </c>
      <c r="J352">
        <f>IF($N352=1,VALUE(MID($H352,9,2)),"")</f>
        <v/>
      </c>
      <c r="K352">
        <f>IF($N352=1,MOD($J352-$I352,24),0)</f>
        <v/>
      </c>
      <c r="L352">
        <f>IF($N352=1,$E352*24+$I352,"")</f>
        <v/>
      </c>
      <c r="M352">
        <f>IF($N352=1,$L352+$K352,"")</f>
        <v/>
      </c>
      <c r="N352">
        <f>IF(ISNUMBER(SEARCH(" - ",$H352&amp;"")),1,0)</f>
        <v/>
      </c>
      <c r="O352">
        <f>IF(UPPER($H352&amp;"")="LEAVE",1,0)</f>
        <v/>
      </c>
      <c r="P352">
        <f>IF($N352=1,$K352,0)</f>
        <v/>
      </c>
      <c r="Q352">
        <f>IF($N352=0,"",IFERROR($L352-'Previous Engine'!$M$52,""))</f>
        <v/>
      </c>
    </row>
    <row r="353">
      <c r="A353" t="n">
        <v>352</v>
      </c>
      <c r="B353">
        <f>Schedule!$A$53</f>
        <v/>
      </c>
      <c r="C353">
        <f>Schedule!$D$53</f>
        <v/>
      </c>
      <c r="D353">
        <f>Schedule!$F$53</f>
        <v/>
      </c>
      <c r="E353" t="n">
        <v>1</v>
      </c>
      <c r="F353">
        <f>Schedule!$H$1</f>
        <v/>
      </c>
      <c r="G353">
        <f>Schedule!$H$2</f>
        <v/>
      </c>
      <c r="H353">
        <f>Schedule!$H$53</f>
        <v/>
      </c>
      <c r="I353">
        <f>IF($N353=1,VALUE(LEFT($H353,2)),"")</f>
        <v/>
      </c>
      <c r="J353">
        <f>IF($N353=1,VALUE(MID($H353,9,2)),"")</f>
        <v/>
      </c>
      <c r="K353">
        <f>IF($N353=1,MOD($J353-$I353,24),0)</f>
        <v/>
      </c>
      <c r="L353">
        <f>IF($N353=1,$E353*24+$I353,"")</f>
        <v/>
      </c>
      <c r="M353">
        <f>IF($N353=1,$L353+$K353,"")</f>
        <v/>
      </c>
      <c r="N353">
        <f>IF(ISNUMBER(SEARCH(" - ",$H353&amp;"")),1,0)</f>
        <v/>
      </c>
      <c r="O353">
        <f>IF(UPPER($H353&amp;"")="LEAVE",1,0)</f>
        <v/>
      </c>
      <c r="P353">
        <f>IF($N353=1,$K353,0)</f>
        <v/>
      </c>
      <c r="Q353">
        <f>IF($N353=0,"",IFERROR($L353-LOOKUP(2,1/(($B$2:$B352=$B353)*($N$2:$N352=1)),$M$2:$M352),""))</f>
        <v/>
      </c>
    </row>
    <row r="354">
      <c r="A354" t="n">
        <v>353</v>
      </c>
      <c r="B354">
        <f>Schedule!$A$53</f>
        <v/>
      </c>
      <c r="C354">
        <f>Schedule!$D$53</f>
        <v/>
      </c>
      <c r="D354">
        <f>Schedule!$F$53</f>
        <v/>
      </c>
      <c r="E354" t="n">
        <v>2</v>
      </c>
      <c r="F354">
        <f>Schedule!$I$1</f>
        <v/>
      </c>
      <c r="G354">
        <f>Schedule!$I$2</f>
        <v/>
      </c>
      <c r="H354">
        <f>Schedule!$I$53</f>
        <v/>
      </c>
      <c r="I354">
        <f>IF($N354=1,VALUE(LEFT($H354,2)),"")</f>
        <v/>
      </c>
      <c r="J354">
        <f>IF($N354=1,VALUE(MID($H354,9,2)),"")</f>
        <v/>
      </c>
      <c r="K354">
        <f>IF($N354=1,MOD($J354-$I354,24),0)</f>
        <v/>
      </c>
      <c r="L354">
        <f>IF($N354=1,$E354*24+$I354,"")</f>
        <v/>
      </c>
      <c r="M354">
        <f>IF($N354=1,$L354+$K354,"")</f>
        <v/>
      </c>
      <c r="N354">
        <f>IF(ISNUMBER(SEARCH(" - ",$H354&amp;"")),1,0)</f>
        <v/>
      </c>
      <c r="O354">
        <f>IF(UPPER($H354&amp;"")="LEAVE",1,0)</f>
        <v/>
      </c>
      <c r="P354">
        <f>IF($N354=1,$K354,0)</f>
        <v/>
      </c>
      <c r="Q354">
        <f>IF($N354=0,"",IFERROR($L354-LOOKUP(2,1/(($B$2:$B353=$B354)*($N$2:$N353=1)),$M$2:$M353),""))</f>
        <v/>
      </c>
    </row>
    <row r="355">
      <c r="A355" t="n">
        <v>354</v>
      </c>
      <c r="B355">
        <f>Schedule!$A$53</f>
        <v/>
      </c>
      <c r="C355">
        <f>Schedule!$D$53</f>
        <v/>
      </c>
      <c r="D355">
        <f>Schedule!$F$53</f>
        <v/>
      </c>
      <c r="E355" t="n">
        <v>3</v>
      </c>
      <c r="F355">
        <f>Schedule!$J$1</f>
        <v/>
      </c>
      <c r="G355">
        <f>Schedule!$J$2</f>
        <v/>
      </c>
      <c r="H355">
        <f>Schedule!$J$53</f>
        <v/>
      </c>
      <c r="I355">
        <f>IF($N355=1,VALUE(LEFT($H355,2)),"")</f>
        <v/>
      </c>
      <c r="J355">
        <f>IF($N355=1,VALUE(MID($H355,9,2)),"")</f>
        <v/>
      </c>
      <c r="K355">
        <f>IF($N355=1,MOD($J355-$I355,24),0)</f>
        <v/>
      </c>
      <c r="L355">
        <f>IF($N355=1,$E355*24+$I355,"")</f>
        <v/>
      </c>
      <c r="M355">
        <f>IF($N355=1,$L355+$K355,"")</f>
        <v/>
      </c>
      <c r="N355">
        <f>IF(ISNUMBER(SEARCH(" - ",$H355&amp;"")),1,0)</f>
        <v/>
      </c>
      <c r="O355">
        <f>IF(UPPER($H355&amp;"")="LEAVE",1,0)</f>
        <v/>
      </c>
      <c r="P355">
        <f>IF($N355=1,$K355,0)</f>
        <v/>
      </c>
      <c r="Q355">
        <f>IF($N355=0,"",IFERROR($L355-LOOKUP(2,1/(($B$2:$B354=$B355)*($N$2:$N354=1)),$M$2:$M354),""))</f>
        <v/>
      </c>
    </row>
    <row r="356">
      <c r="A356" t="n">
        <v>355</v>
      </c>
      <c r="B356">
        <f>Schedule!$A$53</f>
        <v/>
      </c>
      <c r="C356">
        <f>Schedule!$D$53</f>
        <v/>
      </c>
      <c r="D356">
        <f>Schedule!$F$53</f>
        <v/>
      </c>
      <c r="E356" t="n">
        <v>4</v>
      </c>
      <c r="F356">
        <f>Schedule!$K$1</f>
        <v/>
      </c>
      <c r="G356">
        <f>Schedule!$K$2</f>
        <v/>
      </c>
      <c r="H356">
        <f>Schedule!$K$53</f>
        <v/>
      </c>
      <c r="I356">
        <f>IF($N356=1,VALUE(LEFT($H356,2)),"")</f>
        <v/>
      </c>
      <c r="J356">
        <f>IF($N356=1,VALUE(MID($H356,9,2)),"")</f>
        <v/>
      </c>
      <c r="K356">
        <f>IF($N356=1,MOD($J356-$I356,24),0)</f>
        <v/>
      </c>
      <c r="L356">
        <f>IF($N356=1,$E356*24+$I356,"")</f>
        <v/>
      </c>
      <c r="M356">
        <f>IF($N356=1,$L356+$K356,"")</f>
        <v/>
      </c>
      <c r="N356">
        <f>IF(ISNUMBER(SEARCH(" - ",$H356&amp;"")),1,0)</f>
        <v/>
      </c>
      <c r="O356">
        <f>IF(UPPER($H356&amp;"")="LEAVE",1,0)</f>
        <v/>
      </c>
      <c r="P356">
        <f>IF($N356=1,$K356,0)</f>
        <v/>
      </c>
      <c r="Q356">
        <f>IF($N356=0,"",IFERROR($L356-LOOKUP(2,1/(($B$2:$B355=$B356)*($N$2:$N355=1)),$M$2:$M355),""))</f>
        <v/>
      </c>
    </row>
    <row r="357">
      <c r="A357" t="n">
        <v>356</v>
      </c>
      <c r="B357">
        <f>Schedule!$A$53</f>
        <v/>
      </c>
      <c r="C357">
        <f>Schedule!$D$53</f>
        <v/>
      </c>
      <c r="D357">
        <f>Schedule!$F$53</f>
        <v/>
      </c>
      <c r="E357" t="n">
        <v>5</v>
      </c>
      <c r="F357">
        <f>Schedule!$L$1</f>
        <v/>
      </c>
      <c r="G357">
        <f>Schedule!$L$2</f>
        <v/>
      </c>
      <c r="H357">
        <f>Schedule!$L$53</f>
        <v/>
      </c>
      <c r="I357">
        <f>IF($N357=1,VALUE(LEFT($H357,2)),"")</f>
        <v/>
      </c>
      <c r="J357">
        <f>IF($N357=1,VALUE(MID($H357,9,2)),"")</f>
        <v/>
      </c>
      <c r="K357">
        <f>IF($N357=1,MOD($J357-$I357,24),0)</f>
        <v/>
      </c>
      <c r="L357">
        <f>IF($N357=1,$E357*24+$I357,"")</f>
        <v/>
      </c>
      <c r="M357">
        <f>IF($N357=1,$L357+$K357,"")</f>
        <v/>
      </c>
      <c r="N357">
        <f>IF(ISNUMBER(SEARCH(" - ",$H357&amp;"")),1,0)</f>
        <v/>
      </c>
      <c r="O357">
        <f>IF(UPPER($H357&amp;"")="LEAVE",1,0)</f>
        <v/>
      </c>
      <c r="P357">
        <f>IF($N357=1,$K357,0)</f>
        <v/>
      </c>
      <c r="Q357">
        <f>IF($N357=0,"",IFERROR($L357-LOOKUP(2,1/(($B$2:$B356=$B357)*($N$2:$N356=1)),$M$2:$M356),""))</f>
        <v/>
      </c>
    </row>
    <row r="358">
      <c r="A358" t="n">
        <v>357</v>
      </c>
      <c r="B358">
        <f>Schedule!$A$53</f>
        <v/>
      </c>
      <c r="C358">
        <f>Schedule!$D$53</f>
        <v/>
      </c>
      <c r="D358">
        <f>Schedule!$F$53</f>
        <v/>
      </c>
      <c r="E358" t="n">
        <v>6</v>
      </c>
      <c r="F358">
        <f>Schedule!$M$1</f>
        <v/>
      </c>
      <c r="G358">
        <f>Schedule!$M$2</f>
        <v/>
      </c>
      <c r="H358">
        <f>Schedule!$M$53</f>
        <v/>
      </c>
      <c r="I358">
        <f>IF($N358=1,VALUE(LEFT($H358,2)),"")</f>
        <v/>
      </c>
      <c r="J358">
        <f>IF($N358=1,VALUE(MID($H358,9,2)),"")</f>
        <v/>
      </c>
      <c r="K358">
        <f>IF($N358=1,MOD($J358-$I358,24),0)</f>
        <v/>
      </c>
      <c r="L358">
        <f>IF($N358=1,$E358*24+$I358,"")</f>
        <v/>
      </c>
      <c r="M358">
        <f>IF($N358=1,$L358+$K358,"")</f>
        <v/>
      </c>
      <c r="N358">
        <f>IF(ISNUMBER(SEARCH(" - ",$H358&amp;"")),1,0)</f>
        <v/>
      </c>
      <c r="O358">
        <f>IF(UPPER($H358&amp;"")="LEAVE",1,0)</f>
        <v/>
      </c>
      <c r="P358">
        <f>IF($N358=1,$K358,0)</f>
        <v/>
      </c>
      <c r="Q358">
        <f>IF($N358=0,"",IFERROR($L358-LOOKUP(2,1/(($B$2:$B357=$B358)*($N$2:$N357=1)),$M$2:$M357),""))</f>
        <v/>
      </c>
    </row>
    <row r="359">
      <c r="A359" t="n">
        <v>358</v>
      </c>
      <c r="B359">
        <f>Schedule!$A$54</f>
        <v/>
      </c>
      <c r="C359">
        <f>Schedule!$D$54</f>
        <v/>
      </c>
      <c r="D359">
        <f>Schedule!$F$54</f>
        <v/>
      </c>
      <c r="E359" t="n">
        <v>0</v>
      </c>
      <c r="F359">
        <f>Schedule!$G$1</f>
        <v/>
      </c>
      <c r="G359">
        <f>Schedule!$G$2</f>
        <v/>
      </c>
      <c r="H359">
        <f>Schedule!$G$54</f>
        <v/>
      </c>
      <c r="I359">
        <f>IF($N359=1,VALUE(LEFT($H359,2)),"")</f>
        <v/>
      </c>
      <c r="J359">
        <f>IF($N359=1,VALUE(MID($H359,9,2)),"")</f>
        <v/>
      </c>
      <c r="K359">
        <f>IF($N359=1,MOD($J359-$I359,24),0)</f>
        <v/>
      </c>
      <c r="L359">
        <f>IF($N359=1,$E359*24+$I359,"")</f>
        <v/>
      </c>
      <c r="M359">
        <f>IF($N359=1,$L359+$K359,"")</f>
        <v/>
      </c>
      <c r="N359">
        <f>IF(ISNUMBER(SEARCH(" - ",$H359&amp;"")),1,0)</f>
        <v/>
      </c>
      <c r="O359">
        <f>IF(UPPER($H359&amp;"")="LEAVE",1,0)</f>
        <v/>
      </c>
      <c r="P359">
        <f>IF($N359=1,$K359,0)</f>
        <v/>
      </c>
      <c r="Q359">
        <f>IF($N359=0,"",IFERROR($L359-'Previous Engine'!$M$53,""))</f>
        <v/>
      </c>
    </row>
    <row r="360">
      <c r="A360" t="n">
        <v>359</v>
      </c>
      <c r="B360">
        <f>Schedule!$A$54</f>
        <v/>
      </c>
      <c r="C360">
        <f>Schedule!$D$54</f>
        <v/>
      </c>
      <c r="D360">
        <f>Schedule!$F$54</f>
        <v/>
      </c>
      <c r="E360" t="n">
        <v>1</v>
      </c>
      <c r="F360">
        <f>Schedule!$H$1</f>
        <v/>
      </c>
      <c r="G360">
        <f>Schedule!$H$2</f>
        <v/>
      </c>
      <c r="H360">
        <f>Schedule!$H$54</f>
        <v/>
      </c>
      <c r="I360">
        <f>IF($N360=1,VALUE(LEFT($H360,2)),"")</f>
        <v/>
      </c>
      <c r="J360">
        <f>IF($N360=1,VALUE(MID($H360,9,2)),"")</f>
        <v/>
      </c>
      <c r="K360">
        <f>IF($N360=1,MOD($J360-$I360,24),0)</f>
        <v/>
      </c>
      <c r="L360">
        <f>IF($N360=1,$E360*24+$I360,"")</f>
        <v/>
      </c>
      <c r="M360">
        <f>IF($N360=1,$L360+$K360,"")</f>
        <v/>
      </c>
      <c r="N360">
        <f>IF(ISNUMBER(SEARCH(" - ",$H360&amp;"")),1,0)</f>
        <v/>
      </c>
      <c r="O360">
        <f>IF(UPPER($H360&amp;"")="LEAVE",1,0)</f>
        <v/>
      </c>
      <c r="P360">
        <f>IF($N360=1,$K360,0)</f>
        <v/>
      </c>
      <c r="Q360">
        <f>IF($N360=0,"",IFERROR($L360-LOOKUP(2,1/(($B$2:$B359=$B360)*($N$2:$N359=1)),$M$2:$M359),""))</f>
        <v/>
      </c>
    </row>
    <row r="361">
      <c r="A361" t="n">
        <v>360</v>
      </c>
      <c r="B361">
        <f>Schedule!$A$54</f>
        <v/>
      </c>
      <c r="C361">
        <f>Schedule!$D$54</f>
        <v/>
      </c>
      <c r="D361">
        <f>Schedule!$F$54</f>
        <v/>
      </c>
      <c r="E361" t="n">
        <v>2</v>
      </c>
      <c r="F361">
        <f>Schedule!$I$1</f>
        <v/>
      </c>
      <c r="G361">
        <f>Schedule!$I$2</f>
        <v/>
      </c>
      <c r="H361">
        <f>Schedule!$I$54</f>
        <v/>
      </c>
      <c r="I361">
        <f>IF($N361=1,VALUE(LEFT($H361,2)),"")</f>
        <v/>
      </c>
      <c r="J361">
        <f>IF($N361=1,VALUE(MID($H361,9,2)),"")</f>
        <v/>
      </c>
      <c r="K361">
        <f>IF($N361=1,MOD($J361-$I361,24),0)</f>
        <v/>
      </c>
      <c r="L361">
        <f>IF($N361=1,$E361*24+$I361,"")</f>
        <v/>
      </c>
      <c r="M361">
        <f>IF($N361=1,$L361+$K361,"")</f>
        <v/>
      </c>
      <c r="N361">
        <f>IF(ISNUMBER(SEARCH(" - ",$H361&amp;"")),1,0)</f>
        <v/>
      </c>
      <c r="O361">
        <f>IF(UPPER($H361&amp;"")="LEAVE",1,0)</f>
        <v/>
      </c>
      <c r="P361">
        <f>IF($N361=1,$K361,0)</f>
        <v/>
      </c>
      <c r="Q361">
        <f>IF($N361=0,"",IFERROR($L361-LOOKUP(2,1/(($B$2:$B360=$B361)*($N$2:$N360=1)),$M$2:$M360),""))</f>
        <v/>
      </c>
    </row>
    <row r="362">
      <c r="A362" t="n">
        <v>361</v>
      </c>
      <c r="B362">
        <f>Schedule!$A$54</f>
        <v/>
      </c>
      <c r="C362">
        <f>Schedule!$D$54</f>
        <v/>
      </c>
      <c r="D362">
        <f>Schedule!$F$54</f>
        <v/>
      </c>
      <c r="E362" t="n">
        <v>3</v>
      </c>
      <c r="F362">
        <f>Schedule!$J$1</f>
        <v/>
      </c>
      <c r="G362">
        <f>Schedule!$J$2</f>
        <v/>
      </c>
      <c r="H362">
        <f>Schedule!$J$54</f>
        <v/>
      </c>
      <c r="I362">
        <f>IF($N362=1,VALUE(LEFT($H362,2)),"")</f>
        <v/>
      </c>
      <c r="J362">
        <f>IF($N362=1,VALUE(MID($H362,9,2)),"")</f>
        <v/>
      </c>
      <c r="K362">
        <f>IF($N362=1,MOD($J362-$I362,24),0)</f>
        <v/>
      </c>
      <c r="L362">
        <f>IF($N362=1,$E362*24+$I362,"")</f>
        <v/>
      </c>
      <c r="M362">
        <f>IF($N362=1,$L362+$K362,"")</f>
        <v/>
      </c>
      <c r="N362">
        <f>IF(ISNUMBER(SEARCH(" - ",$H362&amp;"")),1,0)</f>
        <v/>
      </c>
      <c r="O362">
        <f>IF(UPPER($H362&amp;"")="LEAVE",1,0)</f>
        <v/>
      </c>
      <c r="P362">
        <f>IF($N362=1,$K362,0)</f>
        <v/>
      </c>
      <c r="Q362">
        <f>IF($N362=0,"",IFERROR($L362-LOOKUP(2,1/(($B$2:$B361=$B362)*($N$2:$N361=1)),$M$2:$M361),""))</f>
        <v/>
      </c>
    </row>
    <row r="363">
      <c r="A363" t="n">
        <v>362</v>
      </c>
      <c r="B363">
        <f>Schedule!$A$54</f>
        <v/>
      </c>
      <c r="C363">
        <f>Schedule!$D$54</f>
        <v/>
      </c>
      <c r="D363">
        <f>Schedule!$F$54</f>
        <v/>
      </c>
      <c r="E363" t="n">
        <v>4</v>
      </c>
      <c r="F363">
        <f>Schedule!$K$1</f>
        <v/>
      </c>
      <c r="G363">
        <f>Schedule!$K$2</f>
        <v/>
      </c>
      <c r="H363">
        <f>Schedule!$K$54</f>
        <v/>
      </c>
      <c r="I363">
        <f>IF($N363=1,VALUE(LEFT($H363,2)),"")</f>
        <v/>
      </c>
      <c r="J363">
        <f>IF($N363=1,VALUE(MID($H363,9,2)),"")</f>
        <v/>
      </c>
      <c r="K363">
        <f>IF($N363=1,MOD($J363-$I363,24),0)</f>
        <v/>
      </c>
      <c r="L363">
        <f>IF($N363=1,$E363*24+$I363,"")</f>
        <v/>
      </c>
      <c r="M363">
        <f>IF($N363=1,$L363+$K363,"")</f>
        <v/>
      </c>
      <c r="N363">
        <f>IF(ISNUMBER(SEARCH(" - ",$H363&amp;"")),1,0)</f>
        <v/>
      </c>
      <c r="O363">
        <f>IF(UPPER($H363&amp;"")="LEAVE",1,0)</f>
        <v/>
      </c>
      <c r="P363">
        <f>IF($N363=1,$K363,0)</f>
        <v/>
      </c>
      <c r="Q363">
        <f>IF($N363=0,"",IFERROR($L363-LOOKUP(2,1/(($B$2:$B362=$B363)*($N$2:$N362=1)),$M$2:$M362),""))</f>
        <v/>
      </c>
    </row>
    <row r="364">
      <c r="A364" t="n">
        <v>363</v>
      </c>
      <c r="B364">
        <f>Schedule!$A$54</f>
        <v/>
      </c>
      <c r="C364">
        <f>Schedule!$D$54</f>
        <v/>
      </c>
      <c r="D364">
        <f>Schedule!$F$54</f>
        <v/>
      </c>
      <c r="E364" t="n">
        <v>5</v>
      </c>
      <c r="F364">
        <f>Schedule!$L$1</f>
        <v/>
      </c>
      <c r="G364">
        <f>Schedule!$L$2</f>
        <v/>
      </c>
      <c r="H364">
        <f>Schedule!$L$54</f>
        <v/>
      </c>
      <c r="I364">
        <f>IF($N364=1,VALUE(LEFT($H364,2)),"")</f>
        <v/>
      </c>
      <c r="J364">
        <f>IF($N364=1,VALUE(MID($H364,9,2)),"")</f>
        <v/>
      </c>
      <c r="K364">
        <f>IF($N364=1,MOD($J364-$I364,24),0)</f>
        <v/>
      </c>
      <c r="L364">
        <f>IF($N364=1,$E364*24+$I364,"")</f>
        <v/>
      </c>
      <c r="M364">
        <f>IF($N364=1,$L364+$K364,"")</f>
        <v/>
      </c>
      <c r="N364">
        <f>IF(ISNUMBER(SEARCH(" - ",$H364&amp;"")),1,0)</f>
        <v/>
      </c>
      <c r="O364">
        <f>IF(UPPER($H364&amp;"")="LEAVE",1,0)</f>
        <v/>
      </c>
      <c r="P364">
        <f>IF($N364=1,$K364,0)</f>
        <v/>
      </c>
      <c r="Q364">
        <f>IF($N364=0,"",IFERROR($L364-LOOKUP(2,1/(($B$2:$B363=$B364)*($N$2:$N363=1)),$M$2:$M363),""))</f>
        <v/>
      </c>
    </row>
    <row r="365">
      <c r="A365" t="n">
        <v>364</v>
      </c>
      <c r="B365">
        <f>Schedule!$A$54</f>
        <v/>
      </c>
      <c r="C365">
        <f>Schedule!$D$54</f>
        <v/>
      </c>
      <c r="D365">
        <f>Schedule!$F$54</f>
        <v/>
      </c>
      <c r="E365" t="n">
        <v>6</v>
      </c>
      <c r="F365">
        <f>Schedule!$M$1</f>
        <v/>
      </c>
      <c r="G365">
        <f>Schedule!$M$2</f>
        <v/>
      </c>
      <c r="H365">
        <f>Schedule!$M$54</f>
        <v/>
      </c>
      <c r="I365">
        <f>IF($N365=1,VALUE(LEFT($H365,2)),"")</f>
        <v/>
      </c>
      <c r="J365">
        <f>IF($N365=1,VALUE(MID($H365,9,2)),"")</f>
        <v/>
      </c>
      <c r="K365">
        <f>IF($N365=1,MOD($J365-$I365,24),0)</f>
        <v/>
      </c>
      <c r="L365">
        <f>IF($N365=1,$E365*24+$I365,"")</f>
        <v/>
      </c>
      <c r="M365">
        <f>IF($N365=1,$L365+$K365,"")</f>
        <v/>
      </c>
      <c r="N365">
        <f>IF(ISNUMBER(SEARCH(" - ",$H365&amp;"")),1,0)</f>
        <v/>
      </c>
      <c r="O365">
        <f>IF(UPPER($H365&amp;"")="LEAVE",1,0)</f>
        <v/>
      </c>
      <c r="P365">
        <f>IF($N365=1,$K365,0)</f>
        <v/>
      </c>
      <c r="Q365">
        <f>IF($N365=0,"",IFERROR($L365-LOOKUP(2,1/(($B$2:$B364=$B365)*($N$2:$N364=1)),$M$2:$M364),""))</f>
        <v/>
      </c>
    </row>
    <row r="366">
      <c r="A366" t="n">
        <v>365</v>
      </c>
      <c r="B366">
        <f>Schedule!$A$55</f>
        <v/>
      </c>
      <c r="C366">
        <f>Schedule!$D$55</f>
        <v/>
      </c>
      <c r="D366">
        <f>Schedule!$F$55</f>
        <v/>
      </c>
      <c r="E366" t="n">
        <v>0</v>
      </c>
      <c r="F366">
        <f>Schedule!$G$1</f>
        <v/>
      </c>
      <c r="G366">
        <f>Schedule!$G$2</f>
        <v/>
      </c>
      <c r="H366">
        <f>Schedule!$G$55</f>
        <v/>
      </c>
      <c r="I366">
        <f>IF($N366=1,VALUE(LEFT($H366,2)),"")</f>
        <v/>
      </c>
      <c r="J366">
        <f>IF($N366=1,VALUE(MID($H366,9,2)),"")</f>
        <v/>
      </c>
      <c r="K366">
        <f>IF($N366=1,MOD($J366-$I366,24),0)</f>
        <v/>
      </c>
      <c r="L366">
        <f>IF($N366=1,$E366*24+$I366,"")</f>
        <v/>
      </c>
      <c r="M366">
        <f>IF($N366=1,$L366+$K366,"")</f>
        <v/>
      </c>
      <c r="N366">
        <f>IF(ISNUMBER(SEARCH(" - ",$H366&amp;"")),1,0)</f>
        <v/>
      </c>
      <c r="O366">
        <f>IF(UPPER($H366&amp;"")="LEAVE",1,0)</f>
        <v/>
      </c>
      <c r="P366">
        <f>IF($N366=1,$K366,0)</f>
        <v/>
      </c>
      <c r="Q366">
        <f>IF($N366=0,"",IFERROR($L366-'Previous Engine'!$M$54,""))</f>
        <v/>
      </c>
    </row>
    <row r="367">
      <c r="A367" t="n">
        <v>366</v>
      </c>
      <c r="B367">
        <f>Schedule!$A$55</f>
        <v/>
      </c>
      <c r="C367">
        <f>Schedule!$D$55</f>
        <v/>
      </c>
      <c r="D367">
        <f>Schedule!$F$55</f>
        <v/>
      </c>
      <c r="E367" t="n">
        <v>1</v>
      </c>
      <c r="F367">
        <f>Schedule!$H$1</f>
        <v/>
      </c>
      <c r="G367">
        <f>Schedule!$H$2</f>
        <v/>
      </c>
      <c r="H367">
        <f>Schedule!$H$55</f>
        <v/>
      </c>
      <c r="I367">
        <f>IF($N367=1,VALUE(LEFT($H367,2)),"")</f>
        <v/>
      </c>
      <c r="J367">
        <f>IF($N367=1,VALUE(MID($H367,9,2)),"")</f>
        <v/>
      </c>
      <c r="K367">
        <f>IF($N367=1,MOD($J367-$I367,24),0)</f>
        <v/>
      </c>
      <c r="L367">
        <f>IF($N367=1,$E367*24+$I367,"")</f>
        <v/>
      </c>
      <c r="M367">
        <f>IF($N367=1,$L367+$K367,"")</f>
        <v/>
      </c>
      <c r="N367">
        <f>IF(ISNUMBER(SEARCH(" - ",$H367&amp;"")),1,0)</f>
        <v/>
      </c>
      <c r="O367">
        <f>IF(UPPER($H367&amp;"")="LEAVE",1,0)</f>
        <v/>
      </c>
      <c r="P367">
        <f>IF($N367=1,$K367,0)</f>
        <v/>
      </c>
      <c r="Q367">
        <f>IF($N367=0,"",IFERROR($L367-LOOKUP(2,1/(($B$2:$B366=$B367)*($N$2:$N366=1)),$M$2:$M366),""))</f>
        <v/>
      </c>
    </row>
    <row r="368">
      <c r="A368" t="n">
        <v>367</v>
      </c>
      <c r="B368">
        <f>Schedule!$A$55</f>
        <v/>
      </c>
      <c r="C368">
        <f>Schedule!$D$55</f>
        <v/>
      </c>
      <c r="D368">
        <f>Schedule!$F$55</f>
        <v/>
      </c>
      <c r="E368" t="n">
        <v>2</v>
      </c>
      <c r="F368">
        <f>Schedule!$I$1</f>
        <v/>
      </c>
      <c r="G368">
        <f>Schedule!$I$2</f>
        <v/>
      </c>
      <c r="H368">
        <f>Schedule!$I$55</f>
        <v/>
      </c>
      <c r="I368">
        <f>IF($N368=1,VALUE(LEFT($H368,2)),"")</f>
        <v/>
      </c>
      <c r="J368">
        <f>IF($N368=1,VALUE(MID($H368,9,2)),"")</f>
        <v/>
      </c>
      <c r="K368">
        <f>IF($N368=1,MOD($J368-$I368,24),0)</f>
        <v/>
      </c>
      <c r="L368">
        <f>IF($N368=1,$E368*24+$I368,"")</f>
        <v/>
      </c>
      <c r="M368">
        <f>IF($N368=1,$L368+$K368,"")</f>
        <v/>
      </c>
      <c r="N368">
        <f>IF(ISNUMBER(SEARCH(" - ",$H368&amp;"")),1,0)</f>
        <v/>
      </c>
      <c r="O368">
        <f>IF(UPPER($H368&amp;"")="LEAVE",1,0)</f>
        <v/>
      </c>
      <c r="P368">
        <f>IF($N368=1,$K368,0)</f>
        <v/>
      </c>
      <c r="Q368">
        <f>IF($N368=0,"",IFERROR($L368-LOOKUP(2,1/(($B$2:$B367=$B368)*($N$2:$N367=1)),$M$2:$M367),""))</f>
        <v/>
      </c>
    </row>
    <row r="369">
      <c r="A369" t="n">
        <v>368</v>
      </c>
      <c r="B369">
        <f>Schedule!$A$55</f>
        <v/>
      </c>
      <c r="C369">
        <f>Schedule!$D$55</f>
        <v/>
      </c>
      <c r="D369">
        <f>Schedule!$F$55</f>
        <v/>
      </c>
      <c r="E369" t="n">
        <v>3</v>
      </c>
      <c r="F369">
        <f>Schedule!$J$1</f>
        <v/>
      </c>
      <c r="G369">
        <f>Schedule!$J$2</f>
        <v/>
      </c>
      <c r="H369">
        <f>Schedule!$J$55</f>
        <v/>
      </c>
      <c r="I369">
        <f>IF($N369=1,VALUE(LEFT($H369,2)),"")</f>
        <v/>
      </c>
      <c r="J369">
        <f>IF($N369=1,VALUE(MID($H369,9,2)),"")</f>
        <v/>
      </c>
      <c r="K369">
        <f>IF($N369=1,MOD($J369-$I369,24),0)</f>
        <v/>
      </c>
      <c r="L369">
        <f>IF($N369=1,$E369*24+$I369,"")</f>
        <v/>
      </c>
      <c r="M369">
        <f>IF($N369=1,$L369+$K369,"")</f>
        <v/>
      </c>
      <c r="N369">
        <f>IF(ISNUMBER(SEARCH(" - ",$H369&amp;"")),1,0)</f>
        <v/>
      </c>
      <c r="O369">
        <f>IF(UPPER($H369&amp;"")="LEAVE",1,0)</f>
        <v/>
      </c>
      <c r="P369">
        <f>IF($N369=1,$K369,0)</f>
        <v/>
      </c>
      <c r="Q369">
        <f>IF($N369=0,"",IFERROR($L369-LOOKUP(2,1/(($B$2:$B368=$B369)*($N$2:$N368=1)),$M$2:$M368),""))</f>
        <v/>
      </c>
    </row>
    <row r="370">
      <c r="A370" t="n">
        <v>369</v>
      </c>
      <c r="B370">
        <f>Schedule!$A$55</f>
        <v/>
      </c>
      <c r="C370">
        <f>Schedule!$D$55</f>
        <v/>
      </c>
      <c r="D370">
        <f>Schedule!$F$55</f>
        <v/>
      </c>
      <c r="E370" t="n">
        <v>4</v>
      </c>
      <c r="F370">
        <f>Schedule!$K$1</f>
        <v/>
      </c>
      <c r="G370">
        <f>Schedule!$K$2</f>
        <v/>
      </c>
      <c r="H370">
        <f>Schedule!$K$55</f>
        <v/>
      </c>
      <c r="I370">
        <f>IF($N370=1,VALUE(LEFT($H370,2)),"")</f>
        <v/>
      </c>
      <c r="J370">
        <f>IF($N370=1,VALUE(MID($H370,9,2)),"")</f>
        <v/>
      </c>
      <c r="K370">
        <f>IF($N370=1,MOD($J370-$I370,24),0)</f>
        <v/>
      </c>
      <c r="L370">
        <f>IF($N370=1,$E370*24+$I370,"")</f>
        <v/>
      </c>
      <c r="M370">
        <f>IF($N370=1,$L370+$K370,"")</f>
        <v/>
      </c>
      <c r="N370">
        <f>IF(ISNUMBER(SEARCH(" - ",$H370&amp;"")),1,0)</f>
        <v/>
      </c>
      <c r="O370">
        <f>IF(UPPER($H370&amp;"")="LEAVE",1,0)</f>
        <v/>
      </c>
      <c r="P370">
        <f>IF($N370=1,$K370,0)</f>
        <v/>
      </c>
      <c r="Q370">
        <f>IF($N370=0,"",IFERROR($L370-LOOKUP(2,1/(($B$2:$B369=$B370)*($N$2:$N369=1)),$M$2:$M369),""))</f>
        <v/>
      </c>
    </row>
    <row r="371">
      <c r="A371" t="n">
        <v>370</v>
      </c>
      <c r="B371">
        <f>Schedule!$A$55</f>
        <v/>
      </c>
      <c r="C371">
        <f>Schedule!$D$55</f>
        <v/>
      </c>
      <c r="D371">
        <f>Schedule!$F$55</f>
        <v/>
      </c>
      <c r="E371" t="n">
        <v>5</v>
      </c>
      <c r="F371">
        <f>Schedule!$L$1</f>
        <v/>
      </c>
      <c r="G371">
        <f>Schedule!$L$2</f>
        <v/>
      </c>
      <c r="H371">
        <f>Schedule!$L$55</f>
        <v/>
      </c>
      <c r="I371">
        <f>IF($N371=1,VALUE(LEFT($H371,2)),"")</f>
        <v/>
      </c>
      <c r="J371">
        <f>IF($N371=1,VALUE(MID($H371,9,2)),"")</f>
        <v/>
      </c>
      <c r="K371">
        <f>IF($N371=1,MOD($J371-$I371,24),0)</f>
        <v/>
      </c>
      <c r="L371">
        <f>IF($N371=1,$E371*24+$I371,"")</f>
        <v/>
      </c>
      <c r="M371">
        <f>IF($N371=1,$L371+$K371,"")</f>
        <v/>
      </c>
      <c r="N371">
        <f>IF(ISNUMBER(SEARCH(" - ",$H371&amp;"")),1,0)</f>
        <v/>
      </c>
      <c r="O371">
        <f>IF(UPPER($H371&amp;"")="LEAVE",1,0)</f>
        <v/>
      </c>
      <c r="P371">
        <f>IF($N371=1,$K371,0)</f>
        <v/>
      </c>
      <c r="Q371">
        <f>IF($N371=0,"",IFERROR($L371-LOOKUP(2,1/(($B$2:$B370=$B371)*($N$2:$N370=1)),$M$2:$M370),""))</f>
        <v/>
      </c>
    </row>
    <row r="372">
      <c r="A372" t="n">
        <v>371</v>
      </c>
      <c r="B372">
        <f>Schedule!$A$55</f>
        <v/>
      </c>
      <c r="C372">
        <f>Schedule!$D$55</f>
        <v/>
      </c>
      <c r="D372">
        <f>Schedule!$F$55</f>
        <v/>
      </c>
      <c r="E372" t="n">
        <v>6</v>
      </c>
      <c r="F372">
        <f>Schedule!$M$1</f>
        <v/>
      </c>
      <c r="G372">
        <f>Schedule!$M$2</f>
        <v/>
      </c>
      <c r="H372">
        <f>Schedule!$M$55</f>
        <v/>
      </c>
      <c r="I372">
        <f>IF($N372=1,VALUE(LEFT($H372,2)),"")</f>
        <v/>
      </c>
      <c r="J372">
        <f>IF($N372=1,VALUE(MID($H372,9,2)),"")</f>
        <v/>
      </c>
      <c r="K372">
        <f>IF($N372=1,MOD($J372-$I372,24),0)</f>
        <v/>
      </c>
      <c r="L372">
        <f>IF($N372=1,$E372*24+$I372,"")</f>
        <v/>
      </c>
      <c r="M372">
        <f>IF($N372=1,$L372+$K372,"")</f>
        <v/>
      </c>
      <c r="N372">
        <f>IF(ISNUMBER(SEARCH(" - ",$H372&amp;"")),1,0)</f>
        <v/>
      </c>
      <c r="O372">
        <f>IF(UPPER($H372&amp;"")="LEAVE",1,0)</f>
        <v/>
      </c>
      <c r="P372">
        <f>IF($N372=1,$K372,0)</f>
        <v/>
      </c>
      <c r="Q372">
        <f>IF($N372=0,"",IFERROR($L372-LOOKUP(2,1/(($B$2:$B371=$B372)*($N$2:$N371=1)),$M$2:$M371),""))</f>
        <v/>
      </c>
    </row>
    <row r="373">
      <c r="A373" t="n">
        <v>372</v>
      </c>
      <c r="B373">
        <f>Schedule!$A$56</f>
        <v/>
      </c>
      <c r="C373">
        <f>Schedule!$D$56</f>
        <v/>
      </c>
      <c r="D373">
        <f>Schedule!$F$56</f>
        <v/>
      </c>
      <c r="E373" t="n">
        <v>0</v>
      </c>
      <c r="F373">
        <f>Schedule!$G$1</f>
        <v/>
      </c>
      <c r="G373">
        <f>Schedule!$G$2</f>
        <v/>
      </c>
      <c r="H373">
        <f>Schedule!$G$56</f>
        <v/>
      </c>
      <c r="I373">
        <f>IF($N373=1,VALUE(LEFT($H373,2)),"")</f>
        <v/>
      </c>
      <c r="J373">
        <f>IF($N373=1,VALUE(MID($H373,9,2)),"")</f>
        <v/>
      </c>
      <c r="K373">
        <f>IF($N373=1,MOD($J373-$I373,24),0)</f>
        <v/>
      </c>
      <c r="L373">
        <f>IF($N373=1,$E373*24+$I373,"")</f>
        <v/>
      </c>
      <c r="M373">
        <f>IF($N373=1,$L373+$K373,"")</f>
        <v/>
      </c>
      <c r="N373">
        <f>IF(ISNUMBER(SEARCH(" - ",$H373&amp;"")),1,0)</f>
        <v/>
      </c>
      <c r="O373">
        <f>IF(UPPER($H373&amp;"")="LEAVE",1,0)</f>
        <v/>
      </c>
      <c r="P373">
        <f>IF($N373=1,$K373,0)</f>
        <v/>
      </c>
      <c r="Q373">
        <f>IF($N373=0,"",IFERROR($L373-'Previous Engine'!$M$55,""))</f>
        <v/>
      </c>
    </row>
    <row r="374">
      <c r="A374" t="n">
        <v>373</v>
      </c>
      <c r="B374">
        <f>Schedule!$A$56</f>
        <v/>
      </c>
      <c r="C374">
        <f>Schedule!$D$56</f>
        <v/>
      </c>
      <c r="D374">
        <f>Schedule!$F$56</f>
        <v/>
      </c>
      <c r="E374" t="n">
        <v>1</v>
      </c>
      <c r="F374">
        <f>Schedule!$H$1</f>
        <v/>
      </c>
      <c r="G374">
        <f>Schedule!$H$2</f>
        <v/>
      </c>
      <c r="H374">
        <f>Schedule!$H$56</f>
        <v/>
      </c>
      <c r="I374">
        <f>IF($N374=1,VALUE(LEFT($H374,2)),"")</f>
        <v/>
      </c>
      <c r="J374">
        <f>IF($N374=1,VALUE(MID($H374,9,2)),"")</f>
        <v/>
      </c>
      <c r="K374">
        <f>IF($N374=1,MOD($J374-$I374,24),0)</f>
        <v/>
      </c>
      <c r="L374">
        <f>IF($N374=1,$E374*24+$I374,"")</f>
        <v/>
      </c>
      <c r="M374">
        <f>IF($N374=1,$L374+$K374,"")</f>
        <v/>
      </c>
      <c r="N374">
        <f>IF(ISNUMBER(SEARCH(" - ",$H374&amp;"")),1,0)</f>
        <v/>
      </c>
      <c r="O374">
        <f>IF(UPPER($H374&amp;"")="LEAVE",1,0)</f>
        <v/>
      </c>
      <c r="P374">
        <f>IF($N374=1,$K374,0)</f>
        <v/>
      </c>
      <c r="Q374">
        <f>IF($N374=0,"",IFERROR($L374-LOOKUP(2,1/(($B$2:$B373=$B374)*($N$2:$N373=1)),$M$2:$M373),""))</f>
        <v/>
      </c>
    </row>
    <row r="375">
      <c r="A375" t="n">
        <v>374</v>
      </c>
      <c r="B375">
        <f>Schedule!$A$56</f>
        <v/>
      </c>
      <c r="C375">
        <f>Schedule!$D$56</f>
        <v/>
      </c>
      <c r="D375">
        <f>Schedule!$F$56</f>
        <v/>
      </c>
      <c r="E375" t="n">
        <v>2</v>
      </c>
      <c r="F375">
        <f>Schedule!$I$1</f>
        <v/>
      </c>
      <c r="G375">
        <f>Schedule!$I$2</f>
        <v/>
      </c>
      <c r="H375">
        <f>Schedule!$I$56</f>
        <v/>
      </c>
      <c r="I375">
        <f>IF($N375=1,VALUE(LEFT($H375,2)),"")</f>
        <v/>
      </c>
      <c r="J375">
        <f>IF($N375=1,VALUE(MID($H375,9,2)),"")</f>
        <v/>
      </c>
      <c r="K375">
        <f>IF($N375=1,MOD($J375-$I375,24),0)</f>
        <v/>
      </c>
      <c r="L375">
        <f>IF($N375=1,$E375*24+$I375,"")</f>
        <v/>
      </c>
      <c r="M375">
        <f>IF($N375=1,$L375+$K375,"")</f>
        <v/>
      </c>
      <c r="N375">
        <f>IF(ISNUMBER(SEARCH(" - ",$H375&amp;"")),1,0)</f>
        <v/>
      </c>
      <c r="O375">
        <f>IF(UPPER($H375&amp;"")="LEAVE",1,0)</f>
        <v/>
      </c>
      <c r="P375">
        <f>IF($N375=1,$K375,0)</f>
        <v/>
      </c>
      <c r="Q375">
        <f>IF($N375=0,"",IFERROR($L375-LOOKUP(2,1/(($B$2:$B374=$B375)*($N$2:$N374=1)),$M$2:$M374),""))</f>
        <v/>
      </c>
    </row>
    <row r="376">
      <c r="A376" t="n">
        <v>375</v>
      </c>
      <c r="B376">
        <f>Schedule!$A$56</f>
        <v/>
      </c>
      <c r="C376">
        <f>Schedule!$D$56</f>
        <v/>
      </c>
      <c r="D376">
        <f>Schedule!$F$56</f>
        <v/>
      </c>
      <c r="E376" t="n">
        <v>3</v>
      </c>
      <c r="F376">
        <f>Schedule!$J$1</f>
        <v/>
      </c>
      <c r="G376">
        <f>Schedule!$J$2</f>
        <v/>
      </c>
      <c r="H376">
        <f>Schedule!$J$56</f>
        <v/>
      </c>
      <c r="I376">
        <f>IF($N376=1,VALUE(LEFT($H376,2)),"")</f>
        <v/>
      </c>
      <c r="J376">
        <f>IF($N376=1,VALUE(MID($H376,9,2)),"")</f>
        <v/>
      </c>
      <c r="K376">
        <f>IF($N376=1,MOD($J376-$I376,24),0)</f>
        <v/>
      </c>
      <c r="L376">
        <f>IF($N376=1,$E376*24+$I376,"")</f>
        <v/>
      </c>
      <c r="M376">
        <f>IF($N376=1,$L376+$K376,"")</f>
        <v/>
      </c>
      <c r="N376">
        <f>IF(ISNUMBER(SEARCH(" - ",$H376&amp;"")),1,0)</f>
        <v/>
      </c>
      <c r="O376">
        <f>IF(UPPER($H376&amp;"")="LEAVE",1,0)</f>
        <v/>
      </c>
      <c r="P376">
        <f>IF($N376=1,$K376,0)</f>
        <v/>
      </c>
      <c r="Q376">
        <f>IF($N376=0,"",IFERROR($L376-LOOKUP(2,1/(($B$2:$B375=$B376)*($N$2:$N375=1)),$M$2:$M375),""))</f>
        <v/>
      </c>
    </row>
    <row r="377">
      <c r="A377" t="n">
        <v>376</v>
      </c>
      <c r="B377">
        <f>Schedule!$A$56</f>
        <v/>
      </c>
      <c r="C377">
        <f>Schedule!$D$56</f>
        <v/>
      </c>
      <c r="D377">
        <f>Schedule!$F$56</f>
        <v/>
      </c>
      <c r="E377" t="n">
        <v>4</v>
      </c>
      <c r="F377">
        <f>Schedule!$K$1</f>
        <v/>
      </c>
      <c r="G377">
        <f>Schedule!$K$2</f>
        <v/>
      </c>
      <c r="H377">
        <f>Schedule!$K$56</f>
        <v/>
      </c>
      <c r="I377">
        <f>IF($N377=1,VALUE(LEFT($H377,2)),"")</f>
        <v/>
      </c>
      <c r="J377">
        <f>IF($N377=1,VALUE(MID($H377,9,2)),"")</f>
        <v/>
      </c>
      <c r="K377">
        <f>IF($N377=1,MOD($J377-$I377,24),0)</f>
        <v/>
      </c>
      <c r="L377">
        <f>IF($N377=1,$E377*24+$I377,"")</f>
        <v/>
      </c>
      <c r="M377">
        <f>IF($N377=1,$L377+$K377,"")</f>
        <v/>
      </c>
      <c r="N377">
        <f>IF(ISNUMBER(SEARCH(" - ",$H377&amp;"")),1,0)</f>
        <v/>
      </c>
      <c r="O377">
        <f>IF(UPPER($H377&amp;"")="LEAVE",1,0)</f>
        <v/>
      </c>
      <c r="P377">
        <f>IF($N377=1,$K377,0)</f>
        <v/>
      </c>
      <c r="Q377">
        <f>IF($N377=0,"",IFERROR($L377-LOOKUP(2,1/(($B$2:$B376=$B377)*($N$2:$N376=1)),$M$2:$M376),""))</f>
        <v/>
      </c>
    </row>
    <row r="378">
      <c r="A378" t="n">
        <v>377</v>
      </c>
      <c r="B378">
        <f>Schedule!$A$56</f>
        <v/>
      </c>
      <c r="C378">
        <f>Schedule!$D$56</f>
        <v/>
      </c>
      <c r="D378">
        <f>Schedule!$F$56</f>
        <v/>
      </c>
      <c r="E378" t="n">
        <v>5</v>
      </c>
      <c r="F378">
        <f>Schedule!$L$1</f>
        <v/>
      </c>
      <c r="G378">
        <f>Schedule!$L$2</f>
        <v/>
      </c>
      <c r="H378">
        <f>Schedule!$L$56</f>
        <v/>
      </c>
      <c r="I378">
        <f>IF($N378=1,VALUE(LEFT($H378,2)),"")</f>
        <v/>
      </c>
      <c r="J378">
        <f>IF($N378=1,VALUE(MID($H378,9,2)),"")</f>
        <v/>
      </c>
      <c r="K378">
        <f>IF($N378=1,MOD($J378-$I378,24),0)</f>
        <v/>
      </c>
      <c r="L378">
        <f>IF($N378=1,$E378*24+$I378,"")</f>
        <v/>
      </c>
      <c r="M378">
        <f>IF($N378=1,$L378+$K378,"")</f>
        <v/>
      </c>
      <c r="N378">
        <f>IF(ISNUMBER(SEARCH(" - ",$H378&amp;"")),1,0)</f>
        <v/>
      </c>
      <c r="O378">
        <f>IF(UPPER($H378&amp;"")="LEAVE",1,0)</f>
        <v/>
      </c>
      <c r="P378">
        <f>IF($N378=1,$K378,0)</f>
        <v/>
      </c>
      <c r="Q378">
        <f>IF($N378=0,"",IFERROR($L378-LOOKUP(2,1/(($B$2:$B377=$B378)*($N$2:$N377=1)),$M$2:$M377),""))</f>
        <v/>
      </c>
    </row>
    <row r="379">
      <c r="A379" t="n">
        <v>378</v>
      </c>
      <c r="B379">
        <f>Schedule!$A$56</f>
        <v/>
      </c>
      <c r="C379">
        <f>Schedule!$D$56</f>
        <v/>
      </c>
      <c r="D379">
        <f>Schedule!$F$56</f>
        <v/>
      </c>
      <c r="E379" t="n">
        <v>6</v>
      </c>
      <c r="F379">
        <f>Schedule!$M$1</f>
        <v/>
      </c>
      <c r="G379">
        <f>Schedule!$M$2</f>
        <v/>
      </c>
      <c r="H379">
        <f>Schedule!$M$56</f>
        <v/>
      </c>
      <c r="I379">
        <f>IF($N379=1,VALUE(LEFT($H379,2)),"")</f>
        <v/>
      </c>
      <c r="J379">
        <f>IF($N379=1,VALUE(MID($H379,9,2)),"")</f>
        <v/>
      </c>
      <c r="K379">
        <f>IF($N379=1,MOD($J379-$I379,24),0)</f>
        <v/>
      </c>
      <c r="L379">
        <f>IF($N379=1,$E379*24+$I379,"")</f>
        <v/>
      </c>
      <c r="M379">
        <f>IF($N379=1,$L379+$K379,"")</f>
        <v/>
      </c>
      <c r="N379">
        <f>IF(ISNUMBER(SEARCH(" - ",$H379&amp;"")),1,0)</f>
        <v/>
      </c>
      <c r="O379">
        <f>IF(UPPER($H379&amp;"")="LEAVE",1,0)</f>
        <v/>
      </c>
      <c r="P379">
        <f>IF($N379=1,$K379,0)</f>
        <v/>
      </c>
      <c r="Q379">
        <f>IF($N379=0,"",IFERROR($L379-LOOKUP(2,1/(($B$2:$B378=$B379)*($N$2:$N378=1)),$M$2:$M378),""))</f>
        <v/>
      </c>
    </row>
    <row r="380">
      <c r="A380" t="n">
        <v>379</v>
      </c>
      <c r="B380">
        <f>Schedule!$A$57</f>
        <v/>
      </c>
      <c r="C380">
        <f>Schedule!$D$57</f>
        <v/>
      </c>
      <c r="D380">
        <f>Schedule!$F$57</f>
        <v/>
      </c>
      <c r="E380" t="n">
        <v>0</v>
      </c>
      <c r="F380">
        <f>Schedule!$G$1</f>
        <v/>
      </c>
      <c r="G380">
        <f>Schedule!$G$2</f>
        <v/>
      </c>
      <c r="H380">
        <f>Schedule!$G$57</f>
        <v/>
      </c>
      <c r="I380">
        <f>IF($N380=1,VALUE(LEFT($H380,2)),"")</f>
        <v/>
      </c>
      <c r="J380">
        <f>IF($N380=1,VALUE(MID($H380,9,2)),"")</f>
        <v/>
      </c>
      <c r="K380">
        <f>IF($N380=1,MOD($J380-$I380,24),0)</f>
        <v/>
      </c>
      <c r="L380">
        <f>IF($N380=1,$E380*24+$I380,"")</f>
        <v/>
      </c>
      <c r="M380">
        <f>IF($N380=1,$L380+$K380,"")</f>
        <v/>
      </c>
      <c r="N380">
        <f>IF(ISNUMBER(SEARCH(" - ",$H380&amp;"")),1,0)</f>
        <v/>
      </c>
      <c r="O380">
        <f>IF(UPPER($H380&amp;"")="LEAVE",1,0)</f>
        <v/>
      </c>
      <c r="P380">
        <f>IF($N380=1,$K380,0)</f>
        <v/>
      </c>
      <c r="Q380">
        <f>IF($N380=0,"",IFERROR($L380-'Previous Engine'!$M$56,""))</f>
        <v/>
      </c>
    </row>
    <row r="381">
      <c r="A381" t="n">
        <v>380</v>
      </c>
      <c r="B381">
        <f>Schedule!$A$57</f>
        <v/>
      </c>
      <c r="C381">
        <f>Schedule!$D$57</f>
        <v/>
      </c>
      <c r="D381">
        <f>Schedule!$F$57</f>
        <v/>
      </c>
      <c r="E381" t="n">
        <v>1</v>
      </c>
      <c r="F381">
        <f>Schedule!$H$1</f>
        <v/>
      </c>
      <c r="G381">
        <f>Schedule!$H$2</f>
        <v/>
      </c>
      <c r="H381">
        <f>Schedule!$H$57</f>
        <v/>
      </c>
      <c r="I381">
        <f>IF($N381=1,VALUE(LEFT($H381,2)),"")</f>
        <v/>
      </c>
      <c r="J381">
        <f>IF($N381=1,VALUE(MID($H381,9,2)),"")</f>
        <v/>
      </c>
      <c r="K381">
        <f>IF($N381=1,MOD($J381-$I381,24),0)</f>
        <v/>
      </c>
      <c r="L381">
        <f>IF($N381=1,$E381*24+$I381,"")</f>
        <v/>
      </c>
      <c r="M381">
        <f>IF($N381=1,$L381+$K381,"")</f>
        <v/>
      </c>
      <c r="N381">
        <f>IF(ISNUMBER(SEARCH(" - ",$H381&amp;"")),1,0)</f>
        <v/>
      </c>
      <c r="O381">
        <f>IF(UPPER($H381&amp;"")="LEAVE",1,0)</f>
        <v/>
      </c>
      <c r="P381">
        <f>IF($N381=1,$K381,0)</f>
        <v/>
      </c>
      <c r="Q381">
        <f>IF($N381=0,"",IFERROR($L381-LOOKUP(2,1/(($B$2:$B380=$B381)*($N$2:$N380=1)),$M$2:$M380),""))</f>
        <v/>
      </c>
    </row>
    <row r="382">
      <c r="A382" t="n">
        <v>381</v>
      </c>
      <c r="B382">
        <f>Schedule!$A$57</f>
        <v/>
      </c>
      <c r="C382">
        <f>Schedule!$D$57</f>
        <v/>
      </c>
      <c r="D382">
        <f>Schedule!$F$57</f>
        <v/>
      </c>
      <c r="E382" t="n">
        <v>2</v>
      </c>
      <c r="F382">
        <f>Schedule!$I$1</f>
        <v/>
      </c>
      <c r="G382">
        <f>Schedule!$I$2</f>
        <v/>
      </c>
      <c r="H382">
        <f>Schedule!$I$57</f>
        <v/>
      </c>
      <c r="I382">
        <f>IF($N382=1,VALUE(LEFT($H382,2)),"")</f>
        <v/>
      </c>
      <c r="J382">
        <f>IF($N382=1,VALUE(MID($H382,9,2)),"")</f>
        <v/>
      </c>
      <c r="K382">
        <f>IF($N382=1,MOD($J382-$I382,24),0)</f>
        <v/>
      </c>
      <c r="L382">
        <f>IF($N382=1,$E382*24+$I382,"")</f>
        <v/>
      </c>
      <c r="M382">
        <f>IF($N382=1,$L382+$K382,"")</f>
        <v/>
      </c>
      <c r="N382">
        <f>IF(ISNUMBER(SEARCH(" - ",$H382&amp;"")),1,0)</f>
        <v/>
      </c>
      <c r="O382">
        <f>IF(UPPER($H382&amp;"")="LEAVE",1,0)</f>
        <v/>
      </c>
      <c r="P382">
        <f>IF($N382=1,$K382,0)</f>
        <v/>
      </c>
      <c r="Q382">
        <f>IF($N382=0,"",IFERROR($L382-LOOKUP(2,1/(($B$2:$B381=$B382)*($N$2:$N381=1)),$M$2:$M381),""))</f>
        <v/>
      </c>
    </row>
    <row r="383">
      <c r="A383" t="n">
        <v>382</v>
      </c>
      <c r="B383">
        <f>Schedule!$A$57</f>
        <v/>
      </c>
      <c r="C383">
        <f>Schedule!$D$57</f>
        <v/>
      </c>
      <c r="D383">
        <f>Schedule!$F$57</f>
        <v/>
      </c>
      <c r="E383" t="n">
        <v>3</v>
      </c>
      <c r="F383">
        <f>Schedule!$J$1</f>
        <v/>
      </c>
      <c r="G383">
        <f>Schedule!$J$2</f>
        <v/>
      </c>
      <c r="H383">
        <f>Schedule!$J$57</f>
        <v/>
      </c>
      <c r="I383">
        <f>IF($N383=1,VALUE(LEFT($H383,2)),"")</f>
        <v/>
      </c>
      <c r="J383">
        <f>IF($N383=1,VALUE(MID($H383,9,2)),"")</f>
        <v/>
      </c>
      <c r="K383">
        <f>IF($N383=1,MOD($J383-$I383,24),0)</f>
        <v/>
      </c>
      <c r="L383">
        <f>IF($N383=1,$E383*24+$I383,"")</f>
        <v/>
      </c>
      <c r="M383">
        <f>IF($N383=1,$L383+$K383,"")</f>
        <v/>
      </c>
      <c r="N383">
        <f>IF(ISNUMBER(SEARCH(" - ",$H383&amp;"")),1,0)</f>
        <v/>
      </c>
      <c r="O383">
        <f>IF(UPPER($H383&amp;"")="LEAVE",1,0)</f>
        <v/>
      </c>
      <c r="P383">
        <f>IF($N383=1,$K383,0)</f>
        <v/>
      </c>
      <c r="Q383">
        <f>IF($N383=0,"",IFERROR($L383-LOOKUP(2,1/(($B$2:$B382=$B383)*($N$2:$N382=1)),$M$2:$M382),""))</f>
        <v/>
      </c>
    </row>
    <row r="384">
      <c r="A384" t="n">
        <v>383</v>
      </c>
      <c r="B384">
        <f>Schedule!$A$57</f>
        <v/>
      </c>
      <c r="C384">
        <f>Schedule!$D$57</f>
        <v/>
      </c>
      <c r="D384">
        <f>Schedule!$F$57</f>
        <v/>
      </c>
      <c r="E384" t="n">
        <v>4</v>
      </c>
      <c r="F384">
        <f>Schedule!$K$1</f>
        <v/>
      </c>
      <c r="G384">
        <f>Schedule!$K$2</f>
        <v/>
      </c>
      <c r="H384">
        <f>Schedule!$K$57</f>
        <v/>
      </c>
      <c r="I384">
        <f>IF($N384=1,VALUE(LEFT($H384,2)),"")</f>
        <v/>
      </c>
      <c r="J384">
        <f>IF($N384=1,VALUE(MID($H384,9,2)),"")</f>
        <v/>
      </c>
      <c r="K384">
        <f>IF($N384=1,MOD($J384-$I384,24),0)</f>
        <v/>
      </c>
      <c r="L384">
        <f>IF($N384=1,$E384*24+$I384,"")</f>
        <v/>
      </c>
      <c r="M384">
        <f>IF($N384=1,$L384+$K384,"")</f>
        <v/>
      </c>
      <c r="N384">
        <f>IF(ISNUMBER(SEARCH(" - ",$H384&amp;"")),1,0)</f>
        <v/>
      </c>
      <c r="O384">
        <f>IF(UPPER($H384&amp;"")="LEAVE",1,0)</f>
        <v/>
      </c>
      <c r="P384">
        <f>IF($N384=1,$K384,0)</f>
        <v/>
      </c>
      <c r="Q384">
        <f>IF($N384=0,"",IFERROR($L384-LOOKUP(2,1/(($B$2:$B383=$B384)*($N$2:$N383=1)),$M$2:$M383),""))</f>
        <v/>
      </c>
    </row>
    <row r="385">
      <c r="A385" t="n">
        <v>384</v>
      </c>
      <c r="B385">
        <f>Schedule!$A$57</f>
        <v/>
      </c>
      <c r="C385">
        <f>Schedule!$D$57</f>
        <v/>
      </c>
      <c r="D385">
        <f>Schedule!$F$57</f>
        <v/>
      </c>
      <c r="E385" t="n">
        <v>5</v>
      </c>
      <c r="F385">
        <f>Schedule!$L$1</f>
        <v/>
      </c>
      <c r="G385">
        <f>Schedule!$L$2</f>
        <v/>
      </c>
      <c r="H385">
        <f>Schedule!$L$57</f>
        <v/>
      </c>
      <c r="I385">
        <f>IF($N385=1,VALUE(LEFT($H385,2)),"")</f>
        <v/>
      </c>
      <c r="J385">
        <f>IF($N385=1,VALUE(MID($H385,9,2)),"")</f>
        <v/>
      </c>
      <c r="K385">
        <f>IF($N385=1,MOD($J385-$I385,24),0)</f>
        <v/>
      </c>
      <c r="L385">
        <f>IF($N385=1,$E385*24+$I385,"")</f>
        <v/>
      </c>
      <c r="M385">
        <f>IF($N385=1,$L385+$K385,"")</f>
        <v/>
      </c>
      <c r="N385">
        <f>IF(ISNUMBER(SEARCH(" - ",$H385&amp;"")),1,0)</f>
        <v/>
      </c>
      <c r="O385">
        <f>IF(UPPER($H385&amp;"")="LEAVE",1,0)</f>
        <v/>
      </c>
      <c r="P385">
        <f>IF($N385=1,$K385,0)</f>
        <v/>
      </c>
      <c r="Q385">
        <f>IF($N385=0,"",IFERROR($L385-LOOKUP(2,1/(($B$2:$B384=$B385)*($N$2:$N384=1)),$M$2:$M384),""))</f>
        <v/>
      </c>
    </row>
    <row r="386">
      <c r="A386" t="n">
        <v>385</v>
      </c>
      <c r="B386">
        <f>Schedule!$A$57</f>
        <v/>
      </c>
      <c r="C386">
        <f>Schedule!$D$57</f>
        <v/>
      </c>
      <c r="D386">
        <f>Schedule!$F$57</f>
        <v/>
      </c>
      <c r="E386" t="n">
        <v>6</v>
      </c>
      <c r="F386">
        <f>Schedule!$M$1</f>
        <v/>
      </c>
      <c r="G386">
        <f>Schedule!$M$2</f>
        <v/>
      </c>
      <c r="H386">
        <f>Schedule!$M$57</f>
        <v/>
      </c>
      <c r="I386">
        <f>IF($N386=1,VALUE(LEFT($H386,2)),"")</f>
        <v/>
      </c>
      <c r="J386">
        <f>IF($N386=1,VALUE(MID($H386,9,2)),"")</f>
        <v/>
      </c>
      <c r="K386">
        <f>IF($N386=1,MOD($J386-$I386,24),0)</f>
        <v/>
      </c>
      <c r="L386">
        <f>IF($N386=1,$E386*24+$I386,"")</f>
        <v/>
      </c>
      <c r="M386">
        <f>IF($N386=1,$L386+$K386,"")</f>
        <v/>
      </c>
      <c r="N386">
        <f>IF(ISNUMBER(SEARCH(" - ",$H386&amp;"")),1,0)</f>
        <v/>
      </c>
      <c r="O386">
        <f>IF(UPPER($H386&amp;"")="LEAVE",1,0)</f>
        <v/>
      </c>
      <c r="P386">
        <f>IF($N386=1,$K386,0)</f>
        <v/>
      </c>
      <c r="Q386">
        <f>IF($N386=0,"",IFERROR($L386-LOOKUP(2,1/(($B$2:$B385=$B386)*($N$2:$N385=1)),$M$2:$M385),""))</f>
        <v/>
      </c>
    </row>
    <row r="387">
      <c r="A387" t="n">
        <v>386</v>
      </c>
      <c r="B387">
        <f>Schedule!$A$58</f>
        <v/>
      </c>
      <c r="C387">
        <f>Schedule!$D$58</f>
        <v/>
      </c>
      <c r="D387">
        <f>Schedule!$F$58</f>
        <v/>
      </c>
      <c r="E387" t="n">
        <v>0</v>
      </c>
      <c r="F387">
        <f>Schedule!$G$1</f>
        <v/>
      </c>
      <c r="G387">
        <f>Schedule!$G$2</f>
        <v/>
      </c>
      <c r="H387">
        <f>Schedule!$G$58</f>
        <v/>
      </c>
      <c r="I387">
        <f>IF($N387=1,VALUE(LEFT($H387,2)),"")</f>
        <v/>
      </c>
      <c r="J387">
        <f>IF($N387=1,VALUE(MID($H387,9,2)),"")</f>
        <v/>
      </c>
      <c r="K387">
        <f>IF($N387=1,MOD($J387-$I387,24),0)</f>
        <v/>
      </c>
      <c r="L387">
        <f>IF($N387=1,$E387*24+$I387,"")</f>
        <v/>
      </c>
      <c r="M387">
        <f>IF($N387=1,$L387+$K387,"")</f>
        <v/>
      </c>
      <c r="N387">
        <f>IF(ISNUMBER(SEARCH(" - ",$H387&amp;"")),1,0)</f>
        <v/>
      </c>
      <c r="O387">
        <f>IF(UPPER($H387&amp;"")="LEAVE",1,0)</f>
        <v/>
      </c>
      <c r="P387">
        <f>IF($N387=1,$K387,0)</f>
        <v/>
      </c>
      <c r="Q387">
        <f>IF($N387=0,"",IFERROR($L387-'Previous Engine'!$M$57,""))</f>
        <v/>
      </c>
    </row>
    <row r="388">
      <c r="A388" t="n">
        <v>387</v>
      </c>
      <c r="B388">
        <f>Schedule!$A$58</f>
        <v/>
      </c>
      <c r="C388">
        <f>Schedule!$D$58</f>
        <v/>
      </c>
      <c r="D388">
        <f>Schedule!$F$58</f>
        <v/>
      </c>
      <c r="E388" t="n">
        <v>1</v>
      </c>
      <c r="F388">
        <f>Schedule!$H$1</f>
        <v/>
      </c>
      <c r="G388">
        <f>Schedule!$H$2</f>
        <v/>
      </c>
      <c r="H388">
        <f>Schedule!$H$58</f>
        <v/>
      </c>
      <c r="I388">
        <f>IF($N388=1,VALUE(LEFT($H388,2)),"")</f>
        <v/>
      </c>
      <c r="J388">
        <f>IF($N388=1,VALUE(MID($H388,9,2)),"")</f>
        <v/>
      </c>
      <c r="K388">
        <f>IF($N388=1,MOD($J388-$I388,24),0)</f>
        <v/>
      </c>
      <c r="L388">
        <f>IF($N388=1,$E388*24+$I388,"")</f>
        <v/>
      </c>
      <c r="M388">
        <f>IF($N388=1,$L388+$K388,"")</f>
        <v/>
      </c>
      <c r="N388">
        <f>IF(ISNUMBER(SEARCH(" - ",$H388&amp;"")),1,0)</f>
        <v/>
      </c>
      <c r="O388">
        <f>IF(UPPER($H388&amp;"")="LEAVE",1,0)</f>
        <v/>
      </c>
      <c r="P388">
        <f>IF($N388=1,$K388,0)</f>
        <v/>
      </c>
      <c r="Q388">
        <f>IF($N388=0,"",IFERROR($L388-LOOKUP(2,1/(($B$2:$B387=$B388)*($N$2:$N387=1)),$M$2:$M387),""))</f>
        <v/>
      </c>
    </row>
    <row r="389">
      <c r="A389" t="n">
        <v>388</v>
      </c>
      <c r="B389">
        <f>Schedule!$A$58</f>
        <v/>
      </c>
      <c r="C389">
        <f>Schedule!$D$58</f>
        <v/>
      </c>
      <c r="D389">
        <f>Schedule!$F$58</f>
        <v/>
      </c>
      <c r="E389" t="n">
        <v>2</v>
      </c>
      <c r="F389">
        <f>Schedule!$I$1</f>
        <v/>
      </c>
      <c r="G389">
        <f>Schedule!$I$2</f>
        <v/>
      </c>
      <c r="H389">
        <f>Schedule!$I$58</f>
        <v/>
      </c>
      <c r="I389">
        <f>IF($N389=1,VALUE(LEFT($H389,2)),"")</f>
        <v/>
      </c>
      <c r="J389">
        <f>IF($N389=1,VALUE(MID($H389,9,2)),"")</f>
        <v/>
      </c>
      <c r="K389">
        <f>IF($N389=1,MOD($J389-$I389,24),0)</f>
        <v/>
      </c>
      <c r="L389">
        <f>IF($N389=1,$E389*24+$I389,"")</f>
        <v/>
      </c>
      <c r="M389">
        <f>IF($N389=1,$L389+$K389,"")</f>
        <v/>
      </c>
      <c r="N389">
        <f>IF(ISNUMBER(SEARCH(" - ",$H389&amp;"")),1,0)</f>
        <v/>
      </c>
      <c r="O389">
        <f>IF(UPPER($H389&amp;"")="LEAVE",1,0)</f>
        <v/>
      </c>
      <c r="P389">
        <f>IF($N389=1,$K389,0)</f>
        <v/>
      </c>
      <c r="Q389">
        <f>IF($N389=0,"",IFERROR($L389-LOOKUP(2,1/(($B$2:$B388=$B389)*($N$2:$N388=1)),$M$2:$M388),""))</f>
        <v/>
      </c>
    </row>
    <row r="390">
      <c r="A390" t="n">
        <v>389</v>
      </c>
      <c r="B390">
        <f>Schedule!$A$58</f>
        <v/>
      </c>
      <c r="C390">
        <f>Schedule!$D$58</f>
        <v/>
      </c>
      <c r="D390">
        <f>Schedule!$F$58</f>
        <v/>
      </c>
      <c r="E390" t="n">
        <v>3</v>
      </c>
      <c r="F390">
        <f>Schedule!$J$1</f>
        <v/>
      </c>
      <c r="G390">
        <f>Schedule!$J$2</f>
        <v/>
      </c>
      <c r="H390">
        <f>Schedule!$J$58</f>
        <v/>
      </c>
      <c r="I390">
        <f>IF($N390=1,VALUE(LEFT($H390,2)),"")</f>
        <v/>
      </c>
      <c r="J390">
        <f>IF($N390=1,VALUE(MID($H390,9,2)),"")</f>
        <v/>
      </c>
      <c r="K390">
        <f>IF($N390=1,MOD($J390-$I390,24),0)</f>
        <v/>
      </c>
      <c r="L390">
        <f>IF($N390=1,$E390*24+$I390,"")</f>
        <v/>
      </c>
      <c r="M390">
        <f>IF($N390=1,$L390+$K390,"")</f>
        <v/>
      </c>
      <c r="N390">
        <f>IF(ISNUMBER(SEARCH(" - ",$H390&amp;"")),1,0)</f>
        <v/>
      </c>
      <c r="O390">
        <f>IF(UPPER($H390&amp;"")="LEAVE",1,0)</f>
        <v/>
      </c>
      <c r="P390">
        <f>IF($N390=1,$K390,0)</f>
        <v/>
      </c>
      <c r="Q390">
        <f>IF($N390=0,"",IFERROR($L390-LOOKUP(2,1/(($B$2:$B389=$B390)*($N$2:$N389=1)),$M$2:$M389),""))</f>
        <v/>
      </c>
    </row>
    <row r="391">
      <c r="A391" t="n">
        <v>390</v>
      </c>
      <c r="B391">
        <f>Schedule!$A$58</f>
        <v/>
      </c>
      <c r="C391">
        <f>Schedule!$D$58</f>
        <v/>
      </c>
      <c r="D391">
        <f>Schedule!$F$58</f>
        <v/>
      </c>
      <c r="E391" t="n">
        <v>4</v>
      </c>
      <c r="F391">
        <f>Schedule!$K$1</f>
        <v/>
      </c>
      <c r="G391">
        <f>Schedule!$K$2</f>
        <v/>
      </c>
      <c r="H391">
        <f>Schedule!$K$58</f>
        <v/>
      </c>
      <c r="I391">
        <f>IF($N391=1,VALUE(LEFT($H391,2)),"")</f>
        <v/>
      </c>
      <c r="J391">
        <f>IF($N391=1,VALUE(MID($H391,9,2)),"")</f>
        <v/>
      </c>
      <c r="K391">
        <f>IF($N391=1,MOD($J391-$I391,24),0)</f>
        <v/>
      </c>
      <c r="L391">
        <f>IF($N391=1,$E391*24+$I391,"")</f>
        <v/>
      </c>
      <c r="M391">
        <f>IF($N391=1,$L391+$K391,"")</f>
        <v/>
      </c>
      <c r="N391">
        <f>IF(ISNUMBER(SEARCH(" - ",$H391&amp;"")),1,0)</f>
        <v/>
      </c>
      <c r="O391">
        <f>IF(UPPER($H391&amp;"")="LEAVE",1,0)</f>
        <v/>
      </c>
      <c r="P391">
        <f>IF($N391=1,$K391,0)</f>
        <v/>
      </c>
      <c r="Q391">
        <f>IF($N391=0,"",IFERROR($L391-LOOKUP(2,1/(($B$2:$B390=$B391)*($N$2:$N390=1)),$M$2:$M390),""))</f>
        <v/>
      </c>
    </row>
    <row r="392">
      <c r="A392" t="n">
        <v>391</v>
      </c>
      <c r="B392">
        <f>Schedule!$A$58</f>
        <v/>
      </c>
      <c r="C392">
        <f>Schedule!$D$58</f>
        <v/>
      </c>
      <c r="D392">
        <f>Schedule!$F$58</f>
        <v/>
      </c>
      <c r="E392" t="n">
        <v>5</v>
      </c>
      <c r="F392">
        <f>Schedule!$L$1</f>
        <v/>
      </c>
      <c r="G392">
        <f>Schedule!$L$2</f>
        <v/>
      </c>
      <c r="H392">
        <f>Schedule!$L$58</f>
        <v/>
      </c>
      <c r="I392">
        <f>IF($N392=1,VALUE(LEFT($H392,2)),"")</f>
        <v/>
      </c>
      <c r="J392">
        <f>IF($N392=1,VALUE(MID($H392,9,2)),"")</f>
        <v/>
      </c>
      <c r="K392">
        <f>IF($N392=1,MOD($J392-$I392,24),0)</f>
        <v/>
      </c>
      <c r="L392">
        <f>IF($N392=1,$E392*24+$I392,"")</f>
        <v/>
      </c>
      <c r="M392">
        <f>IF($N392=1,$L392+$K392,"")</f>
        <v/>
      </c>
      <c r="N392">
        <f>IF(ISNUMBER(SEARCH(" - ",$H392&amp;"")),1,0)</f>
        <v/>
      </c>
      <c r="O392">
        <f>IF(UPPER($H392&amp;"")="LEAVE",1,0)</f>
        <v/>
      </c>
      <c r="P392">
        <f>IF($N392=1,$K392,0)</f>
        <v/>
      </c>
      <c r="Q392">
        <f>IF($N392=0,"",IFERROR($L392-LOOKUP(2,1/(($B$2:$B391=$B392)*($N$2:$N391=1)),$M$2:$M391),""))</f>
        <v/>
      </c>
    </row>
    <row r="393">
      <c r="A393" t="n">
        <v>392</v>
      </c>
      <c r="B393">
        <f>Schedule!$A$58</f>
        <v/>
      </c>
      <c r="C393">
        <f>Schedule!$D$58</f>
        <v/>
      </c>
      <c r="D393">
        <f>Schedule!$F$58</f>
        <v/>
      </c>
      <c r="E393" t="n">
        <v>6</v>
      </c>
      <c r="F393">
        <f>Schedule!$M$1</f>
        <v/>
      </c>
      <c r="G393">
        <f>Schedule!$M$2</f>
        <v/>
      </c>
      <c r="H393">
        <f>Schedule!$M$58</f>
        <v/>
      </c>
      <c r="I393">
        <f>IF($N393=1,VALUE(LEFT($H393,2)),"")</f>
        <v/>
      </c>
      <c r="J393">
        <f>IF($N393=1,VALUE(MID($H393,9,2)),"")</f>
        <v/>
      </c>
      <c r="K393">
        <f>IF($N393=1,MOD($J393-$I393,24),0)</f>
        <v/>
      </c>
      <c r="L393">
        <f>IF($N393=1,$E393*24+$I393,"")</f>
        <v/>
      </c>
      <c r="M393">
        <f>IF($N393=1,$L393+$K393,"")</f>
        <v/>
      </c>
      <c r="N393">
        <f>IF(ISNUMBER(SEARCH(" - ",$H393&amp;"")),1,0)</f>
        <v/>
      </c>
      <c r="O393">
        <f>IF(UPPER($H393&amp;"")="LEAVE",1,0)</f>
        <v/>
      </c>
      <c r="P393">
        <f>IF($N393=1,$K393,0)</f>
        <v/>
      </c>
      <c r="Q393">
        <f>IF($N393=0,"",IFERROR($L393-LOOKUP(2,1/(($B$2:$B392=$B393)*($N$2:$N392=1)),$M$2:$M392),""))</f>
        <v/>
      </c>
    </row>
    <row r="394">
      <c r="A394" t="n">
        <v>393</v>
      </c>
      <c r="B394">
        <f>Schedule!$A$59</f>
        <v/>
      </c>
      <c r="C394">
        <f>Schedule!$D$59</f>
        <v/>
      </c>
      <c r="D394">
        <f>Schedule!$F$59</f>
        <v/>
      </c>
      <c r="E394" t="n">
        <v>0</v>
      </c>
      <c r="F394">
        <f>Schedule!$G$1</f>
        <v/>
      </c>
      <c r="G394">
        <f>Schedule!$G$2</f>
        <v/>
      </c>
      <c r="H394">
        <f>Schedule!$G$59</f>
        <v/>
      </c>
      <c r="I394">
        <f>IF($N394=1,VALUE(LEFT($H394,2)),"")</f>
        <v/>
      </c>
      <c r="J394">
        <f>IF($N394=1,VALUE(MID($H394,9,2)),"")</f>
        <v/>
      </c>
      <c r="K394">
        <f>IF($N394=1,MOD($J394-$I394,24),0)</f>
        <v/>
      </c>
      <c r="L394">
        <f>IF($N394=1,$E394*24+$I394,"")</f>
        <v/>
      </c>
      <c r="M394">
        <f>IF($N394=1,$L394+$K394,"")</f>
        <v/>
      </c>
      <c r="N394">
        <f>IF(ISNUMBER(SEARCH(" - ",$H394&amp;"")),1,0)</f>
        <v/>
      </c>
      <c r="O394">
        <f>IF(UPPER($H394&amp;"")="LEAVE",1,0)</f>
        <v/>
      </c>
      <c r="P394">
        <f>IF($N394=1,$K394,0)</f>
        <v/>
      </c>
      <c r="Q394">
        <f>IF($N394=0,"",IFERROR($L394-'Previous Engine'!$M$58,""))</f>
        <v/>
      </c>
    </row>
    <row r="395">
      <c r="A395" t="n">
        <v>394</v>
      </c>
      <c r="B395">
        <f>Schedule!$A$59</f>
        <v/>
      </c>
      <c r="C395">
        <f>Schedule!$D$59</f>
        <v/>
      </c>
      <c r="D395">
        <f>Schedule!$F$59</f>
        <v/>
      </c>
      <c r="E395" t="n">
        <v>1</v>
      </c>
      <c r="F395">
        <f>Schedule!$H$1</f>
        <v/>
      </c>
      <c r="G395">
        <f>Schedule!$H$2</f>
        <v/>
      </c>
      <c r="H395">
        <f>Schedule!$H$59</f>
        <v/>
      </c>
      <c r="I395">
        <f>IF($N395=1,VALUE(LEFT($H395,2)),"")</f>
        <v/>
      </c>
      <c r="J395">
        <f>IF($N395=1,VALUE(MID($H395,9,2)),"")</f>
        <v/>
      </c>
      <c r="K395">
        <f>IF($N395=1,MOD($J395-$I395,24),0)</f>
        <v/>
      </c>
      <c r="L395">
        <f>IF($N395=1,$E395*24+$I395,"")</f>
        <v/>
      </c>
      <c r="M395">
        <f>IF($N395=1,$L395+$K395,"")</f>
        <v/>
      </c>
      <c r="N395">
        <f>IF(ISNUMBER(SEARCH(" - ",$H395&amp;"")),1,0)</f>
        <v/>
      </c>
      <c r="O395">
        <f>IF(UPPER($H395&amp;"")="LEAVE",1,0)</f>
        <v/>
      </c>
      <c r="P395">
        <f>IF($N395=1,$K395,0)</f>
        <v/>
      </c>
      <c r="Q395">
        <f>IF($N395=0,"",IFERROR($L395-LOOKUP(2,1/(($B$2:$B394=$B395)*($N$2:$N394=1)),$M$2:$M394),""))</f>
        <v/>
      </c>
    </row>
    <row r="396">
      <c r="A396" t="n">
        <v>395</v>
      </c>
      <c r="B396">
        <f>Schedule!$A$59</f>
        <v/>
      </c>
      <c r="C396">
        <f>Schedule!$D$59</f>
        <v/>
      </c>
      <c r="D396">
        <f>Schedule!$F$59</f>
        <v/>
      </c>
      <c r="E396" t="n">
        <v>2</v>
      </c>
      <c r="F396">
        <f>Schedule!$I$1</f>
        <v/>
      </c>
      <c r="G396">
        <f>Schedule!$I$2</f>
        <v/>
      </c>
      <c r="H396">
        <f>Schedule!$I$59</f>
        <v/>
      </c>
      <c r="I396">
        <f>IF($N396=1,VALUE(LEFT($H396,2)),"")</f>
        <v/>
      </c>
      <c r="J396">
        <f>IF($N396=1,VALUE(MID($H396,9,2)),"")</f>
        <v/>
      </c>
      <c r="K396">
        <f>IF($N396=1,MOD($J396-$I396,24),0)</f>
        <v/>
      </c>
      <c r="L396">
        <f>IF($N396=1,$E396*24+$I396,"")</f>
        <v/>
      </c>
      <c r="M396">
        <f>IF($N396=1,$L396+$K396,"")</f>
        <v/>
      </c>
      <c r="N396">
        <f>IF(ISNUMBER(SEARCH(" - ",$H396&amp;"")),1,0)</f>
        <v/>
      </c>
      <c r="O396">
        <f>IF(UPPER($H396&amp;"")="LEAVE",1,0)</f>
        <v/>
      </c>
      <c r="P396">
        <f>IF($N396=1,$K396,0)</f>
        <v/>
      </c>
      <c r="Q396">
        <f>IF($N396=0,"",IFERROR($L396-LOOKUP(2,1/(($B$2:$B395=$B396)*($N$2:$N395=1)),$M$2:$M395),""))</f>
        <v/>
      </c>
    </row>
    <row r="397">
      <c r="A397" t="n">
        <v>396</v>
      </c>
      <c r="B397">
        <f>Schedule!$A$59</f>
        <v/>
      </c>
      <c r="C397">
        <f>Schedule!$D$59</f>
        <v/>
      </c>
      <c r="D397">
        <f>Schedule!$F$59</f>
        <v/>
      </c>
      <c r="E397" t="n">
        <v>3</v>
      </c>
      <c r="F397">
        <f>Schedule!$J$1</f>
        <v/>
      </c>
      <c r="G397">
        <f>Schedule!$J$2</f>
        <v/>
      </c>
      <c r="H397">
        <f>Schedule!$J$59</f>
        <v/>
      </c>
      <c r="I397">
        <f>IF($N397=1,VALUE(LEFT($H397,2)),"")</f>
        <v/>
      </c>
      <c r="J397">
        <f>IF($N397=1,VALUE(MID($H397,9,2)),"")</f>
        <v/>
      </c>
      <c r="K397">
        <f>IF($N397=1,MOD($J397-$I397,24),0)</f>
        <v/>
      </c>
      <c r="L397">
        <f>IF($N397=1,$E397*24+$I397,"")</f>
        <v/>
      </c>
      <c r="M397">
        <f>IF($N397=1,$L397+$K397,"")</f>
        <v/>
      </c>
      <c r="N397">
        <f>IF(ISNUMBER(SEARCH(" - ",$H397&amp;"")),1,0)</f>
        <v/>
      </c>
      <c r="O397">
        <f>IF(UPPER($H397&amp;"")="LEAVE",1,0)</f>
        <v/>
      </c>
      <c r="P397">
        <f>IF($N397=1,$K397,0)</f>
        <v/>
      </c>
      <c r="Q397">
        <f>IF($N397=0,"",IFERROR($L397-LOOKUP(2,1/(($B$2:$B396=$B397)*($N$2:$N396=1)),$M$2:$M396),""))</f>
        <v/>
      </c>
    </row>
    <row r="398">
      <c r="A398" t="n">
        <v>397</v>
      </c>
      <c r="B398">
        <f>Schedule!$A$59</f>
        <v/>
      </c>
      <c r="C398">
        <f>Schedule!$D$59</f>
        <v/>
      </c>
      <c r="D398">
        <f>Schedule!$F$59</f>
        <v/>
      </c>
      <c r="E398" t="n">
        <v>4</v>
      </c>
      <c r="F398">
        <f>Schedule!$K$1</f>
        <v/>
      </c>
      <c r="G398">
        <f>Schedule!$K$2</f>
        <v/>
      </c>
      <c r="H398">
        <f>Schedule!$K$59</f>
        <v/>
      </c>
      <c r="I398">
        <f>IF($N398=1,VALUE(LEFT($H398,2)),"")</f>
        <v/>
      </c>
      <c r="J398">
        <f>IF($N398=1,VALUE(MID($H398,9,2)),"")</f>
        <v/>
      </c>
      <c r="K398">
        <f>IF($N398=1,MOD($J398-$I398,24),0)</f>
        <v/>
      </c>
      <c r="L398">
        <f>IF($N398=1,$E398*24+$I398,"")</f>
        <v/>
      </c>
      <c r="M398">
        <f>IF($N398=1,$L398+$K398,"")</f>
        <v/>
      </c>
      <c r="N398">
        <f>IF(ISNUMBER(SEARCH(" - ",$H398&amp;"")),1,0)</f>
        <v/>
      </c>
      <c r="O398">
        <f>IF(UPPER($H398&amp;"")="LEAVE",1,0)</f>
        <v/>
      </c>
      <c r="P398">
        <f>IF($N398=1,$K398,0)</f>
        <v/>
      </c>
      <c r="Q398">
        <f>IF($N398=0,"",IFERROR($L398-LOOKUP(2,1/(($B$2:$B397=$B398)*($N$2:$N397=1)),$M$2:$M397),""))</f>
        <v/>
      </c>
    </row>
    <row r="399">
      <c r="A399" t="n">
        <v>398</v>
      </c>
      <c r="B399">
        <f>Schedule!$A$59</f>
        <v/>
      </c>
      <c r="C399">
        <f>Schedule!$D$59</f>
        <v/>
      </c>
      <c r="D399">
        <f>Schedule!$F$59</f>
        <v/>
      </c>
      <c r="E399" t="n">
        <v>5</v>
      </c>
      <c r="F399">
        <f>Schedule!$L$1</f>
        <v/>
      </c>
      <c r="G399">
        <f>Schedule!$L$2</f>
        <v/>
      </c>
      <c r="H399">
        <f>Schedule!$L$59</f>
        <v/>
      </c>
      <c r="I399">
        <f>IF($N399=1,VALUE(LEFT($H399,2)),"")</f>
        <v/>
      </c>
      <c r="J399">
        <f>IF($N399=1,VALUE(MID($H399,9,2)),"")</f>
        <v/>
      </c>
      <c r="K399">
        <f>IF($N399=1,MOD($J399-$I399,24),0)</f>
        <v/>
      </c>
      <c r="L399">
        <f>IF($N399=1,$E399*24+$I399,"")</f>
        <v/>
      </c>
      <c r="M399">
        <f>IF($N399=1,$L399+$K399,"")</f>
        <v/>
      </c>
      <c r="N399">
        <f>IF(ISNUMBER(SEARCH(" - ",$H399&amp;"")),1,0)</f>
        <v/>
      </c>
      <c r="O399">
        <f>IF(UPPER($H399&amp;"")="LEAVE",1,0)</f>
        <v/>
      </c>
      <c r="P399">
        <f>IF($N399=1,$K399,0)</f>
        <v/>
      </c>
      <c r="Q399">
        <f>IF($N399=0,"",IFERROR($L399-LOOKUP(2,1/(($B$2:$B398=$B399)*($N$2:$N398=1)),$M$2:$M398),""))</f>
        <v/>
      </c>
    </row>
    <row r="400">
      <c r="A400" t="n">
        <v>399</v>
      </c>
      <c r="B400">
        <f>Schedule!$A$59</f>
        <v/>
      </c>
      <c r="C400">
        <f>Schedule!$D$59</f>
        <v/>
      </c>
      <c r="D400">
        <f>Schedule!$F$59</f>
        <v/>
      </c>
      <c r="E400" t="n">
        <v>6</v>
      </c>
      <c r="F400">
        <f>Schedule!$M$1</f>
        <v/>
      </c>
      <c r="G400">
        <f>Schedule!$M$2</f>
        <v/>
      </c>
      <c r="H400">
        <f>Schedule!$M$59</f>
        <v/>
      </c>
      <c r="I400">
        <f>IF($N400=1,VALUE(LEFT($H400,2)),"")</f>
        <v/>
      </c>
      <c r="J400">
        <f>IF($N400=1,VALUE(MID($H400,9,2)),"")</f>
        <v/>
      </c>
      <c r="K400">
        <f>IF($N400=1,MOD($J400-$I400,24),0)</f>
        <v/>
      </c>
      <c r="L400">
        <f>IF($N400=1,$E400*24+$I400,"")</f>
        <v/>
      </c>
      <c r="M400">
        <f>IF($N400=1,$L400+$K400,"")</f>
        <v/>
      </c>
      <c r="N400">
        <f>IF(ISNUMBER(SEARCH(" - ",$H400&amp;"")),1,0)</f>
        <v/>
      </c>
      <c r="O400">
        <f>IF(UPPER($H400&amp;"")="LEAVE",1,0)</f>
        <v/>
      </c>
      <c r="P400">
        <f>IF($N400=1,$K400,0)</f>
        <v/>
      </c>
      <c r="Q400">
        <f>IF($N400=0,"",IFERROR($L400-LOOKUP(2,1/(($B$2:$B399=$B400)*($N$2:$N399=1)),$M$2:$M399),""))</f>
        <v/>
      </c>
    </row>
    <row r="401">
      <c r="A401" t="n">
        <v>400</v>
      </c>
      <c r="B401">
        <f>Schedule!$A$60</f>
        <v/>
      </c>
      <c r="C401">
        <f>Schedule!$D$60</f>
        <v/>
      </c>
      <c r="D401">
        <f>Schedule!$F$60</f>
        <v/>
      </c>
      <c r="E401" t="n">
        <v>0</v>
      </c>
      <c r="F401">
        <f>Schedule!$G$1</f>
        <v/>
      </c>
      <c r="G401">
        <f>Schedule!$G$2</f>
        <v/>
      </c>
      <c r="H401">
        <f>Schedule!$G$60</f>
        <v/>
      </c>
      <c r="I401">
        <f>IF($N401=1,VALUE(LEFT($H401,2)),"")</f>
        <v/>
      </c>
      <c r="J401">
        <f>IF($N401=1,VALUE(MID($H401,9,2)),"")</f>
        <v/>
      </c>
      <c r="K401">
        <f>IF($N401=1,MOD($J401-$I401,24),0)</f>
        <v/>
      </c>
      <c r="L401">
        <f>IF($N401=1,$E401*24+$I401,"")</f>
        <v/>
      </c>
      <c r="M401">
        <f>IF($N401=1,$L401+$K401,"")</f>
        <v/>
      </c>
      <c r="N401">
        <f>IF(ISNUMBER(SEARCH(" - ",$H401&amp;"")),1,0)</f>
        <v/>
      </c>
      <c r="O401">
        <f>IF(UPPER($H401&amp;"")="LEAVE",1,0)</f>
        <v/>
      </c>
      <c r="P401">
        <f>IF($N401=1,$K401,0)</f>
        <v/>
      </c>
      <c r="Q401">
        <f>IF($N401=0,"",IFERROR($L401-'Previous Engine'!$M$59,""))</f>
        <v/>
      </c>
    </row>
    <row r="402">
      <c r="A402" t="n">
        <v>401</v>
      </c>
      <c r="B402">
        <f>Schedule!$A$60</f>
        <v/>
      </c>
      <c r="C402">
        <f>Schedule!$D$60</f>
        <v/>
      </c>
      <c r="D402">
        <f>Schedule!$F$60</f>
        <v/>
      </c>
      <c r="E402" t="n">
        <v>1</v>
      </c>
      <c r="F402">
        <f>Schedule!$H$1</f>
        <v/>
      </c>
      <c r="G402">
        <f>Schedule!$H$2</f>
        <v/>
      </c>
      <c r="H402">
        <f>Schedule!$H$60</f>
        <v/>
      </c>
      <c r="I402">
        <f>IF($N402=1,VALUE(LEFT($H402,2)),"")</f>
        <v/>
      </c>
      <c r="J402">
        <f>IF($N402=1,VALUE(MID($H402,9,2)),"")</f>
        <v/>
      </c>
      <c r="K402">
        <f>IF($N402=1,MOD($J402-$I402,24),0)</f>
        <v/>
      </c>
      <c r="L402">
        <f>IF($N402=1,$E402*24+$I402,"")</f>
        <v/>
      </c>
      <c r="M402">
        <f>IF($N402=1,$L402+$K402,"")</f>
        <v/>
      </c>
      <c r="N402">
        <f>IF(ISNUMBER(SEARCH(" - ",$H402&amp;"")),1,0)</f>
        <v/>
      </c>
      <c r="O402">
        <f>IF(UPPER($H402&amp;"")="LEAVE",1,0)</f>
        <v/>
      </c>
      <c r="P402">
        <f>IF($N402=1,$K402,0)</f>
        <v/>
      </c>
      <c r="Q402">
        <f>IF($N402=0,"",IFERROR($L402-LOOKUP(2,1/(($B$2:$B401=$B402)*($N$2:$N401=1)),$M$2:$M401),""))</f>
        <v/>
      </c>
    </row>
    <row r="403">
      <c r="A403" t="n">
        <v>402</v>
      </c>
      <c r="B403">
        <f>Schedule!$A$60</f>
        <v/>
      </c>
      <c r="C403">
        <f>Schedule!$D$60</f>
        <v/>
      </c>
      <c r="D403">
        <f>Schedule!$F$60</f>
        <v/>
      </c>
      <c r="E403" t="n">
        <v>2</v>
      </c>
      <c r="F403">
        <f>Schedule!$I$1</f>
        <v/>
      </c>
      <c r="G403">
        <f>Schedule!$I$2</f>
        <v/>
      </c>
      <c r="H403">
        <f>Schedule!$I$60</f>
        <v/>
      </c>
      <c r="I403">
        <f>IF($N403=1,VALUE(LEFT($H403,2)),"")</f>
        <v/>
      </c>
      <c r="J403">
        <f>IF($N403=1,VALUE(MID($H403,9,2)),"")</f>
        <v/>
      </c>
      <c r="K403">
        <f>IF($N403=1,MOD($J403-$I403,24),0)</f>
        <v/>
      </c>
      <c r="L403">
        <f>IF($N403=1,$E403*24+$I403,"")</f>
        <v/>
      </c>
      <c r="M403">
        <f>IF($N403=1,$L403+$K403,"")</f>
        <v/>
      </c>
      <c r="N403">
        <f>IF(ISNUMBER(SEARCH(" - ",$H403&amp;"")),1,0)</f>
        <v/>
      </c>
      <c r="O403">
        <f>IF(UPPER($H403&amp;"")="LEAVE",1,0)</f>
        <v/>
      </c>
      <c r="P403">
        <f>IF($N403=1,$K403,0)</f>
        <v/>
      </c>
      <c r="Q403">
        <f>IF($N403=0,"",IFERROR($L403-LOOKUP(2,1/(($B$2:$B402=$B403)*($N$2:$N402=1)),$M$2:$M402),""))</f>
        <v/>
      </c>
    </row>
    <row r="404">
      <c r="A404" t="n">
        <v>403</v>
      </c>
      <c r="B404">
        <f>Schedule!$A$60</f>
        <v/>
      </c>
      <c r="C404">
        <f>Schedule!$D$60</f>
        <v/>
      </c>
      <c r="D404">
        <f>Schedule!$F$60</f>
        <v/>
      </c>
      <c r="E404" t="n">
        <v>3</v>
      </c>
      <c r="F404">
        <f>Schedule!$J$1</f>
        <v/>
      </c>
      <c r="G404">
        <f>Schedule!$J$2</f>
        <v/>
      </c>
      <c r="H404">
        <f>Schedule!$J$60</f>
        <v/>
      </c>
      <c r="I404">
        <f>IF($N404=1,VALUE(LEFT($H404,2)),"")</f>
        <v/>
      </c>
      <c r="J404">
        <f>IF($N404=1,VALUE(MID($H404,9,2)),"")</f>
        <v/>
      </c>
      <c r="K404">
        <f>IF($N404=1,MOD($J404-$I404,24),0)</f>
        <v/>
      </c>
      <c r="L404">
        <f>IF($N404=1,$E404*24+$I404,"")</f>
        <v/>
      </c>
      <c r="M404">
        <f>IF($N404=1,$L404+$K404,"")</f>
        <v/>
      </c>
      <c r="N404">
        <f>IF(ISNUMBER(SEARCH(" - ",$H404&amp;"")),1,0)</f>
        <v/>
      </c>
      <c r="O404">
        <f>IF(UPPER($H404&amp;"")="LEAVE",1,0)</f>
        <v/>
      </c>
      <c r="P404">
        <f>IF($N404=1,$K404,0)</f>
        <v/>
      </c>
      <c r="Q404">
        <f>IF($N404=0,"",IFERROR($L404-LOOKUP(2,1/(($B$2:$B403=$B404)*($N$2:$N403=1)),$M$2:$M403),""))</f>
        <v/>
      </c>
    </row>
    <row r="405">
      <c r="A405" t="n">
        <v>404</v>
      </c>
      <c r="B405">
        <f>Schedule!$A$60</f>
        <v/>
      </c>
      <c r="C405">
        <f>Schedule!$D$60</f>
        <v/>
      </c>
      <c r="D405">
        <f>Schedule!$F$60</f>
        <v/>
      </c>
      <c r="E405" t="n">
        <v>4</v>
      </c>
      <c r="F405">
        <f>Schedule!$K$1</f>
        <v/>
      </c>
      <c r="G405">
        <f>Schedule!$K$2</f>
        <v/>
      </c>
      <c r="H405">
        <f>Schedule!$K$60</f>
        <v/>
      </c>
      <c r="I405">
        <f>IF($N405=1,VALUE(LEFT($H405,2)),"")</f>
        <v/>
      </c>
      <c r="J405">
        <f>IF($N405=1,VALUE(MID($H405,9,2)),"")</f>
        <v/>
      </c>
      <c r="K405">
        <f>IF($N405=1,MOD($J405-$I405,24),0)</f>
        <v/>
      </c>
      <c r="L405">
        <f>IF($N405=1,$E405*24+$I405,"")</f>
        <v/>
      </c>
      <c r="M405">
        <f>IF($N405=1,$L405+$K405,"")</f>
        <v/>
      </c>
      <c r="N405">
        <f>IF(ISNUMBER(SEARCH(" - ",$H405&amp;"")),1,0)</f>
        <v/>
      </c>
      <c r="O405">
        <f>IF(UPPER($H405&amp;"")="LEAVE",1,0)</f>
        <v/>
      </c>
      <c r="P405">
        <f>IF($N405=1,$K405,0)</f>
        <v/>
      </c>
      <c r="Q405">
        <f>IF($N405=0,"",IFERROR($L405-LOOKUP(2,1/(($B$2:$B404=$B405)*($N$2:$N404=1)),$M$2:$M404),""))</f>
        <v/>
      </c>
    </row>
    <row r="406">
      <c r="A406" t="n">
        <v>405</v>
      </c>
      <c r="B406">
        <f>Schedule!$A$60</f>
        <v/>
      </c>
      <c r="C406">
        <f>Schedule!$D$60</f>
        <v/>
      </c>
      <c r="D406">
        <f>Schedule!$F$60</f>
        <v/>
      </c>
      <c r="E406" t="n">
        <v>5</v>
      </c>
      <c r="F406">
        <f>Schedule!$L$1</f>
        <v/>
      </c>
      <c r="G406">
        <f>Schedule!$L$2</f>
        <v/>
      </c>
      <c r="H406">
        <f>Schedule!$L$60</f>
        <v/>
      </c>
      <c r="I406">
        <f>IF($N406=1,VALUE(LEFT($H406,2)),"")</f>
        <v/>
      </c>
      <c r="J406">
        <f>IF($N406=1,VALUE(MID($H406,9,2)),"")</f>
        <v/>
      </c>
      <c r="K406">
        <f>IF($N406=1,MOD($J406-$I406,24),0)</f>
        <v/>
      </c>
      <c r="L406">
        <f>IF($N406=1,$E406*24+$I406,"")</f>
        <v/>
      </c>
      <c r="M406">
        <f>IF($N406=1,$L406+$K406,"")</f>
        <v/>
      </c>
      <c r="N406">
        <f>IF(ISNUMBER(SEARCH(" - ",$H406&amp;"")),1,0)</f>
        <v/>
      </c>
      <c r="O406">
        <f>IF(UPPER($H406&amp;"")="LEAVE",1,0)</f>
        <v/>
      </c>
      <c r="P406">
        <f>IF($N406=1,$K406,0)</f>
        <v/>
      </c>
      <c r="Q406">
        <f>IF($N406=0,"",IFERROR($L406-LOOKUP(2,1/(($B$2:$B405=$B406)*($N$2:$N405=1)),$M$2:$M405),""))</f>
        <v/>
      </c>
    </row>
    <row r="407">
      <c r="A407" t="n">
        <v>406</v>
      </c>
      <c r="B407">
        <f>Schedule!$A$60</f>
        <v/>
      </c>
      <c r="C407">
        <f>Schedule!$D$60</f>
        <v/>
      </c>
      <c r="D407">
        <f>Schedule!$F$60</f>
        <v/>
      </c>
      <c r="E407" t="n">
        <v>6</v>
      </c>
      <c r="F407">
        <f>Schedule!$M$1</f>
        <v/>
      </c>
      <c r="G407">
        <f>Schedule!$M$2</f>
        <v/>
      </c>
      <c r="H407">
        <f>Schedule!$M$60</f>
        <v/>
      </c>
      <c r="I407">
        <f>IF($N407=1,VALUE(LEFT($H407,2)),"")</f>
        <v/>
      </c>
      <c r="J407">
        <f>IF($N407=1,VALUE(MID($H407,9,2)),"")</f>
        <v/>
      </c>
      <c r="K407">
        <f>IF($N407=1,MOD($J407-$I407,24),0)</f>
        <v/>
      </c>
      <c r="L407">
        <f>IF($N407=1,$E407*24+$I407,"")</f>
        <v/>
      </c>
      <c r="M407">
        <f>IF($N407=1,$L407+$K407,"")</f>
        <v/>
      </c>
      <c r="N407">
        <f>IF(ISNUMBER(SEARCH(" - ",$H407&amp;"")),1,0)</f>
        <v/>
      </c>
      <c r="O407">
        <f>IF(UPPER($H407&amp;"")="LEAVE",1,0)</f>
        <v/>
      </c>
      <c r="P407">
        <f>IF($N407=1,$K407,0)</f>
        <v/>
      </c>
      <c r="Q407">
        <f>IF($N407=0,"",IFERROR($L407-LOOKUP(2,1/(($B$2:$B406=$B407)*($N$2:$N406=1)),$M$2:$M406),""))</f>
        <v/>
      </c>
    </row>
    <row r="408">
      <c r="A408" t="n">
        <v>407</v>
      </c>
      <c r="B408">
        <f>Schedule!$A$61</f>
        <v/>
      </c>
      <c r="C408">
        <f>Schedule!$D$61</f>
        <v/>
      </c>
      <c r="D408">
        <f>Schedule!$F$61</f>
        <v/>
      </c>
      <c r="E408" t="n">
        <v>0</v>
      </c>
      <c r="F408">
        <f>Schedule!$G$1</f>
        <v/>
      </c>
      <c r="G408">
        <f>Schedule!$G$2</f>
        <v/>
      </c>
      <c r="H408">
        <f>Schedule!$G$61</f>
        <v/>
      </c>
      <c r="I408">
        <f>IF($N408=1,VALUE(LEFT($H408,2)),"")</f>
        <v/>
      </c>
      <c r="J408">
        <f>IF($N408=1,VALUE(MID($H408,9,2)),"")</f>
        <v/>
      </c>
      <c r="K408">
        <f>IF($N408=1,MOD($J408-$I408,24),0)</f>
        <v/>
      </c>
      <c r="L408">
        <f>IF($N408=1,$E408*24+$I408,"")</f>
        <v/>
      </c>
      <c r="M408">
        <f>IF($N408=1,$L408+$K408,"")</f>
        <v/>
      </c>
      <c r="N408">
        <f>IF(ISNUMBER(SEARCH(" - ",$H408&amp;"")),1,0)</f>
        <v/>
      </c>
      <c r="O408">
        <f>IF(UPPER($H408&amp;"")="LEAVE",1,0)</f>
        <v/>
      </c>
      <c r="P408">
        <f>IF($N408=1,$K408,0)</f>
        <v/>
      </c>
      <c r="Q408">
        <f>IF($N408=0,"",IFERROR($L408-'Previous Engine'!$M$60,""))</f>
        <v/>
      </c>
    </row>
    <row r="409">
      <c r="A409" t="n">
        <v>408</v>
      </c>
      <c r="B409">
        <f>Schedule!$A$61</f>
        <v/>
      </c>
      <c r="C409">
        <f>Schedule!$D$61</f>
        <v/>
      </c>
      <c r="D409">
        <f>Schedule!$F$61</f>
        <v/>
      </c>
      <c r="E409" t="n">
        <v>1</v>
      </c>
      <c r="F409">
        <f>Schedule!$H$1</f>
        <v/>
      </c>
      <c r="G409">
        <f>Schedule!$H$2</f>
        <v/>
      </c>
      <c r="H409">
        <f>Schedule!$H$61</f>
        <v/>
      </c>
      <c r="I409">
        <f>IF($N409=1,VALUE(LEFT($H409,2)),"")</f>
        <v/>
      </c>
      <c r="J409">
        <f>IF($N409=1,VALUE(MID($H409,9,2)),"")</f>
        <v/>
      </c>
      <c r="K409">
        <f>IF($N409=1,MOD($J409-$I409,24),0)</f>
        <v/>
      </c>
      <c r="L409">
        <f>IF($N409=1,$E409*24+$I409,"")</f>
        <v/>
      </c>
      <c r="M409">
        <f>IF($N409=1,$L409+$K409,"")</f>
        <v/>
      </c>
      <c r="N409">
        <f>IF(ISNUMBER(SEARCH(" - ",$H409&amp;"")),1,0)</f>
        <v/>
      </c>
      <c r="O409">
        <f>IF(UPPER($H409&amp;"")="LEAVE",1,0)</f>
        <v/>
      </c>
      <c r="P409">
        <f>IF($N409=1,$K409,0)</f>
        <v/>
      </c>
      <c r="Q409">
        <f>IF($N409=0,"",IFERROR($L409-LOOKUP(2,1/(($B$2:$B408=$B409)*($N$2:$N408=1)),$M$2:$M408),""))</f>
        <v/>
      </c>
    </row>
    <row r="410">
      <c r="A410" t="n">
        <v>409</v>
      </c>
      <c r="B410">
        <f>Schedule!$A$61</f>
        <v/>
      </c>
      <c r="C410">
        <f>Schedule!$D$61</f>
        <v/>
      </c>
      <c r="D410">
        <f>Schedule!$F$61</f>
        <v/>
      </c>
      <c r="E410" t="n">
        <v>2</v>
      </c>
      <c r="F410">
        <f>Schedule!$I$1</f>
        <v/>
      </c>
      <c r="G410">
        <f>Schedule!$I$2</f>
        <v/>
      </c>
      <c r="H410">
        <f>Schedule!$I$61</f>
        <v/>
      </c>
      <c r="I410">
        <f>IF($N410=1,VALUE(LEFT($H410,2)),"")</f>
        <v/>
      </c>
      <c r="J410">
        <f>IF($N410=1,VALUE(MID($H410,9,2)),"")</f>
        <v/>
      </c>
      <c r="K410">
        <f>IF($N410=1,MOD($J410-$I410,24),0)</f>
        <v/>
      </c>
      <c r="L410">
        <f>IF($N410=1,$E410*24+$I410,"")</f>
        <v/>
      </c>
      <c r="M410">
        <f>IF($N410=1,$L410+$K410,"")</f>
        <v/>
      </c>
      <c r="N410">
        <f>IF(ISNUMBER(SEARCH(" - ",$H410&amp;"")),1,0)</f>
        <v/>
      </c>
      <c r="O410">
        <f>IF(UPPER($H410&amp;"")="LEAVE",1,0)</f>
        <v/>
      </c>
      <c r="P410">
        <f>IF($N410=1,$K410,0)</f>
        <v/>
      </c>
      <c r="Q410">
        <f>IF($N410=0,"",IFERROR($L410-LOOKUP(2,1/(($B$2:$B409=$B410)*($N$2:$N409=1)),$M$2:$M409),""))</f>
        <v/>
      </c>
    </row>
    <row r="411">
      <c r="A411" t="n">
        <v>410</v>
      </c>
      <c r="B411">
        <f>Schedule!$A$61</f>
        <v/>
      </c>
      <c r="C411">
        <f>Schedule!$D$61</f>
        <v/>
      </c>
      <c r="D411">
        <f>Schedule!$F$61</f>
        <v/>
      </c>
      <c r="E411" t="n">
        <v>3</v>
      </c>
      <c r="F411">
        <f>Schedule!$J$1</f>
        <v/>
      </c>
      <c r="G411">
        <f>Schedule!$J$2</f>
        <v/>
      </c>
      <c r="H411">
        <f>Schedule!$J$61</f>
        <v/>
      </c>
      <c r="I411">
        <f>IF($N411=1,VALUE(LEFT($H411,2)),"")</f>
        <v/>
      </c>
      <c r="J411">
        <f>IF($N411=1,VALUE(MID($H411,9,2)),"")</f>
        <v/>
      </c>
      <c r="K411">
        <f>IF($N411=1,MOD($J411-$I411,24),0)</f>
        <v/>
      </c>
      <c r="L411">
        <f>IF($N411=1,$E411*24+$I411,"")</f>
        <v/>
      </c>
      <c r="M411">
        <f>IF($N411=1,$L411+$K411,"")</f>
        <v/>
      </c>
      <c r="N411">
        <f>IF(ISNUMBER(SEARCH(" - ",$H411&amp;"")),1,0)</f>
        <v/>
      </c>
      <c r="O411">
        <f>IF(UPPER($H411&amp;"")="LEAVE",1,0)</f>
        <v/>
      </c>
      <c r="P411">
        <f>IF($N411=1,$K411,0)</f>
        <v/>
      </c>
      <c r="Q411">
        <f>IF($N411=0,"",IFERROR($L411-LOOKUP(2,1/(($B$2:$B410=$B411)*($N$2:$N410=1)),$M$2:$M410),""))</f>
        <v/>
      </c>
    </row>
    <row r="412">
      <c r="A412" t="n">
        <v>411</v>
      </c>
      <c r="B412">
        <f>Schedule!$A$61</f>
        <v/>
      </c>
      <c r="C412">
        <f>Schedule!$D$61</f>
        <v/>
      </c>
      <c r="D412">
        <f>Schedule!$F$61</f>
        <v/>
      </c>
      <c r="E412" t="n">
        <v>4</v>
      </c>
      <c r="F412">
        <f>Schedule!$K$1</f>
        <v/>
      </c>
      <c r="G412">
        <f>Schedule!$K$2</f>
        <v/>
      </c>
      <c r="H412">
        <f>Schedule!$K$61</f>
        <v/>
      </c>
      <c r="I412">
        <f>IF($N412=1,VALUE(LEFT($H412,2)),"")</f>
        <v/>
      </c>
      <c r="J412">
        <f>IF($N412=1,VALUE(MID($H412,9,2)),"")</f>
        <v/>
      </c>
      <c r="K412">
        <f>IF($N412=1,MOD($J412-$I412,24),0)</f>
        <v/>
      </c>
      <c r="L412">
        <f>IF($N412=1,$E412*24+$I412,"")</f>
        <v/>
      </c>
      <c r="M412">
        <f>IF($N412=1,$L412+$K412,"")</f>
        <v/>
      </c>
      <c r="N412">
        <f>IF(ISNUMBER(SEARCH(" - ",$H412&amp;"")),1,0)</f>
        <v/>
      </c>
      <c r="O412">
        <f>IF(UPPER($H412&amp;"")="LEAVE",1,0)</f>
        <v/>
      </c>
      <c r="P412">
        <f>IF($N412=1,$K412,0)</f>
        <v/>
      </c>
      <c r="Q412">
        <f>IF($N412=0,"",IFERROR($L412-LOOKUP(2,1/(($B$2:$B411=$B412)*($N$2:$N411=1)),$M$2:$M411),""))</f>
        <v/>
      </c>
    </row>
    <row r="413">
      <c r="A413" t="n">
        <v>412</v>
      </c>
      <c r="B413">
        <f>Schedule!$A$61</f>
        <v/>
      </c>
      <c r="C413">
        <f>Schedule!$D$61</f>
        <v/>
      </c>
      <c r="D413">
        <f>Schedule!$F$61</f>
        <v/>
      </c>
      <c r="E413" t="n">
        <v>5</v>
      </c>
      <c r="F413">
        <f>Schedule!$L$1</f>
        <v/>
      </c>
      <c r="G413">
        <f>Schedule!$L$2</f>
        <v/>
      </c>
      <c r="H413">
        <f>Schedule!$L$61</f>
        <v/>
      </c>
      <c r="I413">
        <f>IF($N413=1,VALUE(LEFT($H413,2)),"")</f>
        <v/>
      </c>
      <c r="J413">
        <f>IF($N413=1,VALUE(MID($H413,9,2)),"")</f>
        <v/>
      </c>
      <c r="K413">
        <f>IF($N413=1,MOD($J413-$I413,24),0)</f>
        <v/>
      </c>
      <c r="L413">
        <f>IF($N413=1,$E413*24+$I413,"")</f>
        <v/>
      </c>
      <c r="M413">
        <f>IF($N413=1,$L413+$K413,"")</f>
        <v/>
      </c>
      <c r="N413">
        <f>IF(ISNUMBER(SEARCH(" - ",$H413&amp;"")),1,0)</f>
        <v/>
      </c>
      <c r="O413">
        <f>IF(UPPER($H413&amp;"")="LEAVE",1,0)</f>
        <v/>
      </c>
      <c r="P413">
        <f>IF($N413=1,$K413,0)</f>
        <v/>
      </c>
      <c r="Q413">
        <f>IF($N413=0,"",IFERROR($L413-LOOKUP(2,1/(($B$2:$B412=$B413)*($N$2:$N412=1)),$M$2:$M412),""))</f>
        <v/>
      </c>
    </row>
    <row r="414">
      <c r="A414" t="n">
        <v>413</v>
      </c>
      <c r="B414">
        <f>Schedule!$A$61</f>
        <v/>
      </c>
      <c r="C414">
        <f>Schedule!$D$61</f>
        <v/>
      </c>
      <c r="D414">
        <f>Schedule!$F$61</f>
        <v/>
      </c>
      <c r="E414" t="n">
        <v>6</v>
      </c>
      <c r="F414">
        <f>Schedule!$M$1</f>
        <v/>
      </c>
      <c r="G414">
        <f>Schedule!$M$2</f>
        <v/>
      </c>
      <c r="H414">
        <f>Schedule!$M$61</f>
        <v/>
      </c>
      <c r="I414">
        <f>IF($N414=1,VALUE(LEFT($H414,2)),"")</f>
        <v/>
      </c>
      <c r="J414">
        <f>IF($N414=1,VALUE(MID($H414,9,2)),"")</f>
        <v/>
      </c>
      <c r="K414">
        <f>IF($N414=1,MOD($J414-$I414,24),0)</f>
        <v/>
      </c>
      <c r="L414">
        <f>IF($N414=1,$E414*24+$I414,"")</f>
        <v/>
      </c>
      <c r="M414">
        <f>IF($N414=1,$L414+$K414,"")</f>
        <v/>
      </c>
      <c r="N414">
        <f>IF(ISNUMBER(SEARCH(" - ",$H414&amp;"")),1,0)</f>
        <v/>
      </c>
      <c r="O414">
        <f>IF(UPPER($H414&amp;"")="LEAVE",1,0)</f>
        <v/>
      </c>
      <c r="P414">
        <f>IF($N414=1,$K414,0)</f>
        <v/>
      </c>
      <c r="Q414">
        <f>IF($N414=0,"",IFERROR($L414-LOOKUP(2,1/(($B$2:$B413=$B414)*($N$2:$N413=1)),$M$2:$M413),""))</f>
        <v/>
      </c>
    </row>
    <row r="415">
      <c r="A415" t="n">
        <v>414</v>
      </c>
      <c r="B415">
        <f>Schedule!$A$62</f>
        <v/>
      </c>
      <c r="C415">
        <f>Schedule!$D$62</f>
        <v/>
      </c>
      <c r="D415">
        <f>Schedule!$F$62</f>
        <v/>
      </c>
      <c r="E415" t="n">
        <v>0</v>
      </c>
      <c r="F415">
        <f>Schedule!$G$1</f>
        <v/>
      </c>
      <c r="G415">
        <f>Schedule!$G$2</f>
        <v/>
      </c>
      <c r="H415">
        <f>Schedule!$G$62</f>
        <v/>
      </c>
      <c r="I415">
        <f>IF($N415=1,VALUE(LEFT($H415,2)),"")</f>
        <v/>
      </c>
      <c r="J415">
        <f>IF($N415=1,VALUE(MID($H415,9,2)),"")</f>
        <v/>
      </c>
      <c r="K415">
        <f>IF($N415=1,MOD($J415-$I415,24),0)</f>
        <v/>
      </c>
      <c r="L415">
        <f>IF($N415=1,$E415*24+$I415,"")</f>
        <v/>
      </c>
      <c r="M415">
        <f>IF($N415=1,$L415+$K415,"")</f>
        <v/>
      </c>
      <c r="N415">
        <f>IF(ISNUMBER(SEARCH(" - ",$H415&amp;"")),1,0)</f>
        <v/>
      </c>
      <c r="O415">
        <f>IF(UPPER($H415&amp;"")="LEAVE",1,0)</f>
        <v/>
      </c>
      <c r="P415">
        <f>IF($N415=1,$K415,0)</f>
        <v/>
      </c>
      <c r="Q415">
        <f>IF($N415=0,"",IFERROR($L415-'Previous Engine'!$M$61,""))</f>
        <v/>
      </c>
    </row>
    <row r="416">
      <c r="A416" t="n">
        <v>415</v>
      </c>
      <c r="B416">
        <f>Schedule!$A$62</f>
        <v/>
      </c>
      <c r="C416">
        <f>Schedule!$D$62</f>
        <v/>
      </c>
      <c r="D416">
        <f>Schedule!$F$62</f>
        <v/>
      </c>
      <c r="E416" t="n">
        <v>1</v>
      </c>
      <c r="F416">
        <f>Schedule!$H$1</f>
        <v/>
      </c>
      <c r="G416">
        <f>Schedule!$H$2</f>
        <v/>
      </c>
      <c r="H416">
        <f>Schedule!$H$62</f>
        <v/>
      </c>
      <c r="I416">
        <f>IF($N416=1,VALUE(LEFT($H416,2)),"")</f>
        <v/>
      </c>
      <c r="J416">
        <f>IF($N416=1,VALUE(MID($H416,9,2)),"")</f>
        <v/>
      </c>
      <c r="K416">
        <f>IF($N416=1,MOD($J416-$I416,24),0)</f>
        <v/>
      </c>
      <c r="L416">
        <f>IF($N416=1,$E416*24+$I416,"")</f>
        <v/>
      </c>
      <c r="M416">
        <f>IF($N416=1,$L416+$K416,"")</f>
        <v/>
      </c>
      <c r="N416">
        <f>IF(ISNUMBER(SEARCH(" - ",$H416&amp;"")),1,0)</f>
        <v/>
      </c>
      <c r="O416">
        <f>IF(UPPER($H416&amp;"")="LEAVE",1,0)</f>
        <v/>
      </c>
      <c r="P416">
        <f>IF($N416=1,$K416,0)</f>
        <v/>
      </c>
      <c r="Q416">
        <f>IF($N416=0,"",IFERROR($L416-LOOKUP(2,1/(($B$2:$B415=$B416)*($N$2:$N415=1)),$M$2:$M415),""))</f>
        <v/>
      </c>
    </row>
    <row r="417">
      <c r="A417" t="n">
        <v>416</v>
      </c>
      <c r="B417">
        <f>Schedule!$A$62</f>
        <v/>
      </c>
      <c r="C417">
        <f>Schedule!$D$62</f>
        <v/>
      </c>
      <c r="D417">
        <f>Schedule!$F$62</f>
        <v/>
      </c>
      <c r="E417" t="n">
        <v>2</v>
      </c>
      <c r="F417">
        <f>Schedule!$I$1</f>
        <v/>
      </c>
      <c r="G417">
        <f>Schedule!$I$2</f>
        <v/>
      </c>
      <c r="H417">
        <f>Schedule!$I$62</f>
        <v/>
      </c>
      <c r="I417">
        <f>IF($N417=1,VALUE(LEFT($H417,2)),"")</f>
        <v/>
      </c>
      <c r="J417">
        <f>IF($N417=1,VALUE(MID($H417,9,2)),"")</f>
        <v/>
      </c>
      <c r="K417">
        <f>IF($N417=1,MOD($J417-$I417,24),0)</f>
        <v/>
      </c>
      <c r="L417">
        <f>IF($N417=1,$E417*24+$I417,"")</f>
        <v/>
      </c>
      <c r="M417">
        <f>IF($N417=1,$L417+$K417,"")</f>
        <v/>
      </c>
      <c r="N417">
        <f>IF(ISNUMBER(SEARCH(" - ",$H417&amp;"")),1,0)</f>
        <v/>
      </c>
      <c r="O417">
        <f>IF(UPPER($H417&amp;"")="LEAVE",1,0)</f>
        <v/>
      </c>
      <c r="P417">
        <f>IF($N417=1,$K417,0)</f>
        <v/>
      </c>
      <c r="Q417">
        <f>IF($N417=0,"",IFERROR($L417-LOOKUP(2,1/(($B$2:$B416=$B417)*($N$2:$N416=1)),$M$2:$M416),""))</f>
        <v/>
      </c>
    </row>
    <row r="418">
      <c r="A418" t="n">
        <v>417</v>
      </c>
      <c r="B418">
        <f>Schedule!$A$62</f>
        <v/>
      </c>
      <c r="C418">
        <f>Schedule!$D$62</f>
        <v/>
      </c>
      <c r="D418">
        <f>Schedule!$F$62</f>
        <v/>
      </c>
      <c r="E418" t="n">
        <v>3</v>
      </c>
      <c r="F418">
        <f>Schedule!$J$1</f>
        <v/>
      </c>
      <c r="G418">
        <f>Schedule!$J$2</f>
        <v/>
      </c>
      <c r="H418">
        <f>Schedule!$J$62</f>
        <v/>
      </c>
      <c r="I418">
        <f>IF($N418=1,VALUE(LEFT($H418,2)),"")</f>
        <v/>
      </c>
      <c r="J418">
        <f>IF($N418=1,VALUE(MID($H418,9,2)),"")</f>
        <v/>
      </c>
      <c r="K418">
        <f>IF($N418=1,MOD($J418-$I418,24),0)</f>
        <v/>
      </c>
      <c r="L418">
        <f>IF($N418=1,$E418*24+$I418,"")</f>
        <v/>
      </c>
      <c r="M418">
        <f>IF($N418=1,$L418+$K418,"")</f>
        <v/>
      </c>
      <c r="N418">
        <f>IF(ISNUMBER(SEARCH(" - ",$H418&amp;"")),1,0)</f>
        <v/>
      </c>
      <c r="O418">
        <f>IF(UPPER($H418&amp;"")="LEAVE",1,0)</f>
        <v/>
      </c>
      <c r="P418">
        <f>IF($N418=1,$K418,0)</f>
        <v/>
      </c>
      <c r="Q418">
        <f>IF($N418=0,"",IFERROR($L418-LOOKUP(2,1/(($B$2:$B417=$B418)*($N$2:$N417=1)),$M$2:$M417),""))</f>
        <v/>
      </c>
    </row>
    <row r="419">
      <c r="A419" t="n">
        <v>418</v>
      </c>
      <c r="B419">
        <f>Schedule!$A$62</f>
        <v/>
      </c>
      <c r="C419">
        <f>Schedule!$D$62</f>
        <v/>
      </c>
      <c r="D419">
        <f>Schedule!$F$62</f>
        <v/>
      </c>
      <c r="E419" t="n">
        <v>4</v>
      </c>
      <c r="F419">
        <f>Schedule!$K$1</f>
        <v/>
      </c>
      <c r="G419">
        <f>Schedule!$K$2</f>
        <v/>
      </c>
      <c r="H419">
        <f>Schedule!$K$62</f>
        <v/>
      </c>
      <c r="I419">
        <f>IF($N419=1,VALUE(LEFT($H419,2)),"")</f>
        <v/>
      </c>
      <c r="J419">
        <f>IF($N419=1,VALUE(MID($H419,9,2)),"")</f>
        <v/>
      </c>
      <c r="K419">
        <f>IF($N419=1,MOD($J419-$I419,24),0)</f>
        <v/>
      </c>
      <c r="L419">
        <f>IF($N419=1,$E419*24+$I419,"")</f>
        <v/>
      </c>
      <c r="M419">
        <f>IF($N419=1,$L419+$K419,"")</f>
        <v/>
      </c>
      <c r="N419">
        <f>IF(ISNUMBER(SEARCH(" - ",$H419&amp;"")),1,0)</f>
        <v/>
      </c>
      <c r="O419">
        <f>IF(UPPER($H419&amp;"")="LEAVE",1,0)</f>
        <v/>
      </c>
      <c r="P419">
        <f>IF($N419=1,$K419,0)</f>
        <v/>
      </c>
      <c r="Q419">
        <f>IF($N419=0,"",IFERROR($L419-LOOKUP(2,1/(($B$2:$B418=$B419)*($N$2:$N418=1)),$M$2:$M418),""))</f>
        <v/>
      </c>
    </row>
    <row r="420">
      <c r="A420" t="n">
        <v>419</v>
      </c>
      <c r="B420">
        <f>Schedule!$A$62</f>
        <v/>
      </c>
      <c r="C420">
        <f>Schedule!$D$62</f>
        <v/>
      </c>
      <c r="D420">
        <f>Schedule!$F$62</f>
        <v/>
      </c>
      <c r="E420" t="n">
        <v>5</v>
      </c>
      <c r="F420">
        <f>Schedule!$L$1</f>
        <v/>
      </c>
      <c r="G420">
        <f>Schedule!$L$2</f>
        <v/>
      </c>
      <c r="H420">
        <f>Schedule!$L$62</f>
        <v/>
      </c>
      <c r="I420">
        <f>IF($N420=1,VALUE(LEFT($H420,2)),"")</f>
        <v/>
      </c>
      <c r="J420">
        <f>IF($N420=1,VALUE(MID($H420,9,2)),"")</f>
        <v/>
      </c>
      <c r="K420">
        <f>IF($N420=1,MOD($J420-$I420,24),0)</f>
        <v/>
      </c>
      <c r="L420">
        <f>IF($N420=1,$E420*24+$I420,"")</f>
        <v/>
      </c>
      <c r="M420">
        <f>IF($N420=1,$L420+$K420,"")</f>
        <v/>
      </c>
      <c r="N420">
        <f>IF(ISNUMBER(SEARCH(" - ",$H420&amp;"")),1,0)</f>
        <v/>
      </c>
      <c r="O420">
        <f>IF(UPPER($H420&amp;"")="LEAVE",1,0)</f>
        <v/>
      </c>
      <c r="P420">
        <f>IF($N420=1,$K420,0)</f>
        <v/>
      </c>
      <c r="Q420">
        <f>IF($N420=0,"",IFERROR($L420-LOOKUP(2,1/(($B$2:$B419=$B420)*($N$2:$N419=1)),$M$2:$M419),""))</f>
        <v/>
      </c>
    </row>
    <row r="421">
      <c r="A421" t="n">
        <v>420</v>
      </c>
      <c r="B421">
        <f>Schedule!$A$62</f>
        <v/>
      </c>
      <c r="C421">
        <f>Schedule!$D$62</f>
        <v/>
      </c>
      <c r="D421">
        <f>Schedule!$F$62</f>
        <v/>
      </c>
      <c r="E421" t="n">
        <v>6</v>
      </c>
      <c r="F421">
        <f>Schedule!$M$1</f>
        <v/>
      </c>
      <c r="G421">
        <f>Schedule!$M$2</f>
        <v/>
      </c>
      <c r="H421">
        <f>Schedule!$M$62</f>
        <v/>
      </c>
      <c r="I421">
        <f>IF($N421=1,VALUE(LEFT($H421,2)),"")</f>
        <v/>
      </c>
      <c r="J421">
        <f>IF($N421=1,VALUE(MID($H421,9,2)),"")</f>
        <v/>
      </c>
      <c r="K421">
        <f>IF($N421=1,MOD($J421-$I421,24),0)</f>
        <v/>
      </c>
      <c r="L421">
        <f>IF($N421=1,$E421*24+$I421,"")</f>
        <v/>
      </c>
      <c r="M421">
        <f>IF($N421=1,$L421+$K421,"")</f>
        <v/>
      </c>
      <c r="N421">
        <f>IF(ISNUMBER(SEARCH(" - ",$H421&amp;"")),1,0)</f>
        <v/>
      </c>
      <c r="O421">
        <f>IF(UPPER($H421&amp;"")="LEAVE",1,0)</f>
        <v/>
      </c>
      <c r="P421">
        <f>IF($N421=1,$K421,0)</f>
        <v/>
      </c>
      <c r="Q421">
        <f>IF($N421=0,"",IFERROR($L421-LOOKUP(2,1/(($B$2:$B420=$B421)*($N$2:$N420=1)),$M$2:$M420),""))</f>
        <v/>
      </c>
    </row>
    <row r="422">
      <c r="A422" t="n">
        <v>421</v>
      </c>
      <c r="B422">
        <f>Schedule!$A$63</f>
        <v/>
      </c>
      <c r="C422">
        <f>Schedule!$D$63</f>
        <v/>
      </c>
      <c r="D422">
        <f>Schedule!$F$63</f>
        <v/>
      </c>
      <c r="E422" t="n">
        <v>0</v>
      </c>
      <c r="F422">
        <f>Schedule!$G$1</f>
        <v/>
      </c>
      <c r="G422">
        <f>Schedule!$G$2</f>
        <v/>
      </c>
      <c r="H422">
        <f>Schedule!$G$63</f>
        <v/>
      </c>
      <c r="I422">
        <f>IF($N422=1,VALUE(LEFT($H422,2)),"")</f>
        <v/>
      </c>
      <c r="J422">
        <f>IF($N422=1,VALUE(MID($H422,9,2)),"")</f>
        <v/>
      </c>
      <c r="K422">
        <f>IF($N422=1,MOD($J422-$I422,24),0)</f>
        <v/>
      </c>
      <c r="L422">
        <f>IF($N422=1,$E422*24+$I422,"")</f>
        <v/>
      </c>
      <c r="M422">
        <f>IF($N422=1,$L422+$K422,"")</f>
        <v/>
      </c>
      <c r="N422">
        <f>IF(ISNUMBER(SEARCH(" - ",$H422&amp;"")),1,0)</f>
        <v/>
      </c>
      <c r="O422">
        <f>IF(UPPER($H422&amp;"")="LEAVE",1,0)</f>
        <v/>
      </c>
      <c r="P422">
        <f>IF($N422=1,$K422,0)</f>
        <v/>
      </c>
      <c r="Q422">
        <f>IF($N422=0,"",IFERROR($L422-'Previous Engine'!$M$62,""))</f>
        <v/>
      </c>
    </row>
    <row r="423">
      <c r="A423" t="n">
        <v>422</v>
      </c>
      <c r="B423">
        <f>Schedule!$A$63</f>
        <v/>
      </c>
      <c r="C423">
        <f>Schedule!$D$63</f>
        <v/>
      </c>
      <c r="D423">
        <f>Schedule!$F$63</f>
        <v/>
      </c>
      <c r="E423" t="n">
        <v>1</v>
      </c>
      <c r="F423">
        <f>Schedule!$H$1</f>
        <v/>
      </c>
      <c r="G423">
        <f>Schedule!$H$2</f>
        <v/>
      </c>
      <c r="H423">
        <f>Schedule!$H$63</f>
        <v/>
      </c>
      <c r="I423">
        <f>IF($N423=1,VALUE(LEFT($H423,2)),"")</f>
        <v/>
      </c>
      <c r="J423">
        <f>IF($N423=1,VALUE(MID($H423,9,2)),"")</f>
        <v/>
      </c>
      <c r="K423">
        <f>IF($N423=1,MOD($J423-$I423,24),0)</f>
        <v/>
      </c>
      <c r="L423">
        <f>IF($N423=1,$E423*24+$I423,"")</f>
        <v/>
      </c>
      <c r="M423">
        <f>IF($N423=1,$L423+$K423,"")</f>
        <v/>
      </c>
      <c r="N423">
        <f>IF(ISNUMBER(SEARCH(" - ",$H423&amp;"")),1,0)</f>
        <v/>
      </c>
      <c r="O423">
        <f>IF(UPPER($H423&amp;"")="LEAVE",1,0)</f>
        <v/>
      </c>
      <c r="P423">
        <f>IF($N423=1,$K423,0)</f>
        <v/>
      </c>
      <c r="Q423">
        <f>IF($N423=0,"",IFERROR($L423-LOOKUP(2,1/(($B$2:$B422=$B423)*($N$2:$N422=1)),$M$2:$M422),""))</f>
        <v/>
      </c>
    </row>
    <row r="424">
      <c r="A424" t="n">
        <v>423</v>
      </c>
      <c r="B424">
        <f>Schedule!$A$63</f>
        <v/>
      </c>
      <c r="C424">
        <f>Schedule!$D$63</f>
        <v/>
      </c>
      <c r="D424">
        <f>Schedule!$F$63</f>
        <v/>
      </c>
      <c r="E424" t="n">
        <v>2</v>
      </c>
      <c r="F424">
        <f>Schedule!$I$1</f>
        <v/>
      </c>
      <c r="G424">
        <f>Schedule!$I$2</f>
        <v/>
      </c>
      <c r="H424">
        <f>Schedule!$I$63</f>
        <v/>
      </c>
      <c r="I424">
        <f>IF($N424=1,VALUE(LEFT($H424,2)),"")</f>
        <v/>
      </c>
      <c r="J424">
        <f>IF($N424=1,VALUE(MID($H424,9,2)),"")</f>
        <v/>
      </c>
      <c r="K424">
        <f>IF($N424=1,MOD($J424-$I424,24),0)</f>
        <v/>
      </c>
      <c r="L424">
        <f>IF($N424=1,$E424*24+$I424,"")</f>
        <v/>
      </c>
      <c r="M424">
        <f>IF($N424=1,$L424+$K424,"")</f>
        <v/>
      </c>
      <c r="N424">
        <f>IF(ISNUMBER(SEARCH(" - ",$H424&amp;"")),1,0)</f>
        <v/>
      </c>
      <c r="O424">
        <f>IF(UPPER($H424&amp;"")="LEAVE",1,0)</f>
        <v/>
      </c>
      <c r="P424">
        <f>IF($N424=1,$K424,0)</f>
        <v/>
      </c>
      <c r="Q424">
        <f>IF($N424=0,"",IFERROR($L424-LOOKUP(2,1/(($B$2:$B423=$B424)*($N$2:$N423=1)),$M$2:$M423),""))</f>
        <v/>
      </c>
    </row>
    <row r="425">
      <c r="A425" t="n">
        <v>424</v>
      </c>
      <c r="B425">
        <f>Schedule!$A$63</f>
        <v/>
      </c>
      <c r="C425">
        <f>Schedule!$D$63</f>
        <v/>
      </c>
      <c r="D425">
        <f>Schedule!$F$63</f>
        <v/>
      </c>
      <c r="E425" t="n">
        <v>3</v>
      </c>
      <c r="F425">
        <f>Schedule!$J$1</f>
        <v/>
      </c>
      <c r="G425">
        <f>Schedule!$J$2</f>
        <v/>
      </c>
      <c r="H425">
        <f>Schedule!$J$63</f>
        <v/>
      </c>
      <c r="I425">
        <f>IF($N425=1,VALUE(LEFT($H425,2)),"")</f>
        <v/>
      </c>
      <c r="J425">
        <f>IF($N425=1,VALUE(MID($H425,9,2)),"")</f>
        <v/>
      </c>
      <c r="K425">
        <f>IF($N425=1,MOD($J425-$I425,24),0)</f>
        <v/>
      </c>
      <c r="L425">
        <f>IF($N425=1,$E425*24+$I425,"")</f>
        <v/>
      </c>
      <c r="M425">
        <f>IF($N425=1,$L425+$K425,"")</f>
        <v/>
      </c>
      <c r="N425">
        <f>IF(ISNUMBER(SEARCH(" - ",$H425&amp;"")),1,0)</f>
        <v/>
      </c>
      <c r="O425">
        <f>IF(UPPER($H425&amp;"")="LEAVE",1,0)</f>
        <v/>
      </c>
      <c r="P425">
        <f>IF($N425=1,$K425,0)</f>
        <v/>
      </c>
      <c r="Q425">
        <f>IF($N425=0,"",IFERROR($L425-LOOKUP(2,1/(($B$2:$B424=$B425)*($N$2:$N424=1)),$M$2:$M424),""))</f>
        <v/>
      </c>
    </row>
    <row r="426">
      <c r="A426" t="n">
        <v>425</v>
      </c>
      <c r="B426">
        <f>Schedule!$A$63</f>
        <v/>
      </c>
      <c r="C426">
        <f>Schedule!$D$63</f>
        <v/>
      </c>
      <c r="D426">
        <f>Schedule!$F$63</f>
        <v/>
      </c>
      <c r="E426" t="n">
        <v>4</v>
      </c>
      <c r="F426">
        <f>Schedule!$K$1</f>
        <v/>
      </c>
      <c r="G426">
        <f>Schedule!$K$2</f>
        <v/>
      </c>
      <c r="H426">
        <f>Schedule!$K$63</f>
        <v/>
      </c>
      <c r="I426">
        <f>IF($N426=1,VALUE(LEFT($H426,2)),"")</f>
        <v/>
      </c>
      <c r="J426">
        <f>IF($N426=1,VALUE(MID($H426,9,2)),"")</f>
        <v/>
      </c>
      <c r="K426">
        <f>IF($N426=1,MOD($J426-$I426,24),0)</f>
        <v/>
      </c>
      <c r="L426">
        <f>IF($N426=1,$E426*24+$I426,"")</f>
        <v/>
      </c>
      <c r="M426">
        <f>IF($N426=1,$L426+$K426,"")</f>
        <v/>
      </c>
      <c r="N426">
        <f>IF(ISNUMBER(SEARCH(" - ",$H426&amp;"")),1,0)</f>
        <v/>
      </c>
      <c r="O426">
        <f>IF(UPPER($H426&amp;"")="LEAVE",1,0)</f>
        <v/>
      </c>
      <c r="P426">
        <f>IF($N426=1,$K426,0)</f>
        <v/>
      </c>
      <c r="Q426">
        <f>IF($N426=0,"",IFERROR($L426-LOOKUP(2,1/(($B$2:$B425=$B426)*($N$2:$N425=1)),$M$2:$M425),""))</f>
        <v/>
      </c>
    </row>
    <row r="427">
      <c r="A427" t="n">
        <v>426</v>
      </c>
      <c r="B427">
        <f>Schedule!$A$63</f>
        <v/>
      </c>
      <c r="C427">
        <f>Schedule!$D$63</f>
        <v/>
      </c>
      <c r="D427">
        <f>Schedule!$F$63</f>
        <v/>
      </c>
      <c r="E427" t="n">
        <v>5</v>
      </c>
      <c r="F427">
        <f>Schedule!$L$1</f>
        <v/>
      </c>
      <c r="G427">
        <f>Schedule!$L$2</f>
        <v/>
      </c>
      <c r="H427">
        <f>Schedule!$L$63</f>
        <v/>
      </c>
      <c r="I427">
        <f>IF($N427=1,VALUE(LEFT($H427,2)),"")</f>
        <v/>
      </c>
      <c r="J427">
        <f>IF($N427=1,VALUE(MID($H427,9,2)),"")</f>
        <v/>
      </c>
      <c r="K427">
        <f>IF($N427=1,MOD($J427-$I427,24),0)</f>
        <v/>
      </c>
      <c r="L427">
        <f>IF($N427=1,$E427*24+$I427,"")</f>
        <v/>
      </c>
      <c r="M427">
        <f>IF($N427=1,$L427+$K427,"")</f>
        <v/>
      </c>
      <c r="N427">
        <f>IF(ISNUMBER(SEARCH(" - ",$H427&amp;"")),1,0)</f>
        <v/>
      </c>
      <c r="O427">
        <f>IF(UPPER($H427&amp;"")="LEAVE",1,0)</f>
        <v/>
      </c>
      <c r="P427">
        <f>IF($N427=1,$K427,0)</f>
        <v/>
      </c>
      <c r="Q427">
        <f>IF($N427=0,"",IFERROR($L427-LOOKUP(2,1/(($B$2:$B426=$B427)*($N$2:$N426=1)),$M$2:$M426),""))</f>
        <v/>
      </c>
    </row>
    <row r="428">
      <c r="A428" t="n">
        <v>427</v>
      </c>
      <c r="B428">
        <f>Schedule!$A$63</f>
        <v/>
      </c>
      <c r="C428">
        <f>Schedule!$D$63</f>
        <v/>
      </c>
      <c r="D428">
        <f>Schedule!$F$63</f>
        <v/>
      </c>
      <c r="E428" t="n">
        <v>6</v>
      </c>
      <c r="F428">
        <f>Schedule!$M$1</f>
        <v/>
      </c>
      <c r="G428">
        <f>Schedule!$M$2</f>
        <v/>
      </c>
      <c r="H428">
        <f>Schedule!$M$63</f>
        <v/>
      </c>
      <c r="I428">
        <f>IF($N428=1,VALUE(LEFT($H428,2)),"")</f>
        <v/>
      </c>
      <c r="J428">
        <f>IF($N428=1,VALUE(MID($H428,9,2)),"")</f>
        <v/>
      </c>
      <c r="K428">
        <f>IF($N428=1,MOD($J428-$I428,24),0)</f>
        <v/>
      </c>
      <c r="L428">
        <f>IF($N428=1,$E428*24+$I428,"")</f>
        <v/>
      </c>
      <c r="M428">
        <f>IF($N428=1,$L428+$K428,"")</f>
        <v/>
      </c>
      <c r="N428">
        <f>IF(ISNUMBER(SEARCH(" - ",$H428&amp;"")),1,0)</f>
        <v/>
      </c>
      <c r="O428">
        <f>IF(UPPER($H428&amp;"")="LEAVE",1,0)</f>
        <v/>
      </c>
      <c r="P428">
        <f>IF($N428=1,$K428,0)</f>
        <v/>
      </c>
      <c r="Q428">
        <f>IF($N428=0,"",IFERROR($L428-LOOKUP(2,1/(($B$2:$B427=$B428)*($N$2:$N427=1)),$M$2:$M427),""))</f>
        <v/>
      </c>
    </row>
    <row r="429">
      <c r="A429" t="n">
        <v>428</v>
      </c>
      <c r="B429">
        <f>Schedule!$A$64</f>
        <v/>
      </c>
      <c r="C429">
        <f>Schedule!$D$64</f>
        <v/>
      </c>
      <c r="D429">
        <f>Schedule!$F$64</f>
        <v/>
      </c>
      <c r="E429" t="n">
        <v>0</v>
      </c>
      <c r="F429">
        <f>Schedule!$G$1</f>
        <v/>
      </c>
      <c r="G429">
        <f>Schedule!$G$2</f>
        <v/>
      </c>
      <c r="H429">
        <f>Schedule!$G$64</f>
        <v/>
      </c>
      <c r="I429">
        <f>IF($N429=1,VALUE(LEFT($H429,2)),"")</f>
        <v/>
      </c>
      <c r="J429">
        <f>IF($N429=1,VALUE(MID($H429,9,2)),"")</f>
        <v/>
      </c>
      <c r="K429">
        <f>IF($N429=1,MOD($J429-$I429,24),0)</f>
        <v/>
      </c>
      <c r="L429">
        <f>IF($N429=1,$E429*24+$I429,"")</f>
        <v/>
      </c>
      <c r="M429">
        <f>IF($N429=1,$L429+$K429,"")</f>
        <v/>
      </c>
      <c r="N429">
        <f>IF(ISNUMBER(SEARCH(" - ",$H429&amp;"")),1,0)</f>
        <v/>
      </c>
      <c r="O429">
        <f>IF(UPPER($H429&amp;"")="LEAVE",1,0)</f>
        <v/>
      </c>
      <c r="P429">
        <f>IF($N429=1,$K429,0)</f>
        <v/>
      </c>
      <c r="Q429">
        <f>IF($N429=0,"",IFERROR($L429-'Previous Engine'!$M$63,""))</f>
        <v/>
      </c>
    </row>
    <row r="430">
      <c r="A430" t="n">
        <v>429</v>
      </c>
      <c r="B430">
        <f>Schedule!$A$64</f>
        <v/>
      </c>
      <c r="C430">
        <f>Schedule!$D$64</f>
        <v/>
      </c>
      <c r="D430">
        <f>Schedule!$F$64</f>
        <v/>
      </c>
      <c r="E430" t="n">
        <v>1</v>
      </c>
      <c r="F430">
        <f>Schedule!$H$1</f>
        <v/>
      </c>
      <c r="G430">
        <f>Schedule!$H$2</f>
        <v/>
      </c>
      <c r="H430">
        <f>Schedule!$H$64</f>
        <v/>
      </c>
      <c r="I430">
        <f>IF($N430=1,VALUE(LEFT($H430,2)),"")</f>
        <v/>
      </c>
      <c r="J430">
        <f>IF($N430=1,VALUE(MID($H430,9,2)),"")</f>
        <v/>
      </c>
      <c r="K430">
        <f>IF($N430=1,MOD($J430-$I430,24),0)</f>
        <v/>
      </c>
      <c r="L430">
        <f>IF($N430=1,$E430*24+$I430,"")</f>
        <v/>
      </c>
      <c r="M430">
        <f>IF($N430=1,$L430+$K430,"")</f>
        <v/>
      </c>
      <c r="N430">
        <f>IF(ISNUMBER(SEARCH(" - ",$H430&amp;"")),1,0)</f>
        <v/>
      </c>
      <c r="O430">
        <f>IF(UPPER($H430&amp;"")="LEAVE",1,0)</f>
        <v/>
      </c>
      <c r="P430">
        <f>IF($N430=1,$K430,0)</f>
        <v/>
      </c>
      <c r="Q430">
        <f>IF($N430=0,"",IFERROR($L430-LOOKUP(2,1/(($B$2:$B429=$B430)*($N$2:$N429=1)),$M$2:$M429),""))</f>
        <v/>
      </c>
    </row>
    <row r="431">
      <c r="A431" t="n">
        <v>430</v>
      </c>
      <c r="B431">
        <f>Schedule!$A$64</f>
        <v/>
      </c>
      <c r="C431">
        <f>Schedule!$D$64</f>
        <v/>
      </c>
      <c r="D431">
        <f>Schedule!$F$64</f>
        <v/>
      </c>
      <c r="E431" t="n">
        <v>2</v>
      </c>
      <c r="F431">
        <f>Schedule!$I$1</f>
        <v/>
      </c>
      <c r="G431">
        <f>Schedule!$I$2</f>
        <v/>
      </c>
      <c r="H431">
        <f>Schedule!$I$64</f>
        <v/>
      </c>
      <c r="I431">
        <f>IF($N431=1,VALUE(LEFT($H431,2)),"")</f>
        <v/>
      </c>
      <c r="J431">
        <f>IF($N431=1,VALUE(MID($H431,9,2)),"")</f>
        <v/>
      </c>
      <c r="K431">
        <f>IF($N431=1,MOD($J431-$I431,24),0)</f>
        <v/>
      </c>
      <c r="L431">
        <f>IF($N431=1,$E431*24+$I431,"")</f>
        <v/>
      </c>
      <c r="M431">
        <f>IF($N431=1,$L431+$K431,"")</f>
        <v/>
      </c>
      <c r="N431">
        <f>IF(ISNUMBER(SEARCH(" - ",$H431&amp;"")),1,0)</f>
        <v/>
      </c>
      <c r="O431">
        <f>IF(UPPER($H431&amp;"")="LEAVE",1,0)</f>
        <v/>
      </c>
      <c r="P431">
        <f>IF($N431=1,$K431,0)</f>
        <v/>
      </c>
      <c r="Q431">
        <f>IF($N431=0,"",IFERROR($L431-LOOKUP(2,1/(($B$2:$B430=$B431)*($N$2:$N430=1)),$M$2:$M430),""))</f>
        <v/>
      </c>
    </row>
    <row r="432">
      <c r="A432" t="n">
        <v>431</v>
      </c>
      <c r="B432">
        <f>Schedule!$A$64</f>
        <v/>
      </c>
      <c r="C432">
        <f>Schedule!$D$64</f>
        <v/>
      </c>
      <c r="D432">
        <f>Schedule!$F$64</f>
        <v/>
      </c>
      <c r="E432" t="n">
        <v>3</v>
      </c>
      <c r="F432">
        <f>Schedule!$J$1</f>
        <v/>
      </c>
      <c r="G432">
        <f>Schedule!$J$2</f>
        <v/>
      </c>
      <c r="H432">
        <f>Schedule!$J$64</f>
        <v/>
      </c>
      <c r="I432">
        <f>IF($N432=1,VALUE(LEFT($H432,2)),"")</f>
        <v/>
      </c>
      <c r="J432">
        <f>IF($N432=1,VALUE(MID($H432,9,2)),"")</f>
        <v/>
      </c>
      <c r="K432">
        <f>IF($N432=1,MOD($J432-$I432,24),0)</f>
        <v/>
      </c>
      <c r="L432">
        <f>IF($N432=1,$E432*24+$I432,"")</f>
        <v/>
      </c>
      <c r="M432">
        <f>IF($N432=1,$L432+$K432,"")</f>
        <v/>
      </c>
      <c r="N432">
        <f>IF(ISNUMBER(SEARCH(" - ",$H432&amp;"")),1,0)</f>
        <v/>
      </c>
      <c r="O432">
        <f>IF(UPPER($H432&amp;"")="LEAVE",1,0)</f>
        <v/>
      </c>
      <c r="P432">
        <f>IF($N432=1,$K432,0)</f>
        <v/>
      </c>
      <c r="Q432">
        <f>IF($N432=0,"",IFERROR($L432-LOOKUP(2,1/(($B$2:$B431=$B432)*($N$2:$N431=1)),$M$2:$M431),""))</f>
        <v/>
      </c>
    </row>
    <row r="433">
      <c r="A433" t="n">
        <v>432</v>
      </c>
      <c r="B433">
        <f>Schedule!$A$64</f>
        <v/>
      </c>
      <c r="C433">
        <f>Schedule!$D$64</f>
        <v/>
      </c>
      <c r="D433">
        <f>Schedule!$F$64</f>
        <v/>
      </c>
      <c r="E433" t="n">
        <v>4</v>
      </c>
      <c r="F433">
        <f>Schedule!$K$1</f>
        <v/>
      </c>
      <c r="G433">
        <f>Schedule!$K$2</f>
        <v/>
      </c>
      <c r="H433">
        <f>Schedule!$K$64</f>
        <v/>
      </c>
      <c r="I433">
        <f>IF($N433=1,VALUE(LEFT($H433,2)),"")</f>
        <v/>
      </c>
      <c r="J433">
        <f>IF($N433=1,VALUE(MID($H433,9,2)),"")</f>
        <v/>
      </c>
      <c r="K433">
        <f>IF($N433=1,MOD($J433-$I433,24),0)</f>
        <v/>
      </c>
      <c r="L433">
        <f>IF($N433=1,$E433*24+$I433,"")</f>
        <v/>
      </c>
      <c r="M433">
        <f>IF($N433=1,$L433+$K433,"")</f>
        <v/>
      </c>
      <c r="N433">
        <f>IF(ISNUMBER(SEARCH(" - ",$H433&amp;"")),1,0)</f>
        <v/>
      </c>
      <c r="O433">
        <f>IF(UPPER($H433&amp;"")="LEAVE",1,0)</f>
        <v/>
      </c>
      <c r="P433">
        <f>IF($N433=1,$K433,0)</f>
        <v/>
      </c>
      <c r="Q433">
        <f>IF($N433=0,"",IFERROR($L433-LOOKUP(2,1/(($B$2:$B432=$B433)*($N$2:$N432=1)),$M$2:$M432),""))</f>
        <v/>
      </c>
    </row>
    <row r="434">
      <c r="A434" t="n">
        <v>433</v>
      </c>
      <c r="B434">
        <f>Schedule!$A$64</f>
        <v/>
      </c>
      <c r="C434">
        <f>Schedule!$D$64</f>
        <v/>
      </c>
      <c r="D434">
        <f>Schedule!$F$64</f>
        <v/>
      </c>
      <c r="E434" t="n">
        <v>5</v>
      </c>
      <c r="F434">
        <f>Schedule!$L$1</f>
        <v/>
      </c>
      <c r="G434">
        <f>Schedule!$L$2</f>
        <v/>
      </c>
      <c r="H434">
        <f>Schedule!$L$64</f>
        <v/>
      </c>
      <c r="I434">
        <f>IF($N434=1,VALUE(LEFT($H434,2)),"")</f>
        <v/>
      </c>
      <c r="J434">
        <f>IF($N434=1,VALUE(MID($H434,9,2)),"")</f>
        <v/>
      </c>
      <c r="K434">
        <f>IF($N434=1,MOD($J434-$I434,24),0)</f>
        <v/>
      </c>
      <c r="L434">
        <f>IF($N434=1,$E434*24+$I434,"")</f>
        <v/>
      </c>
      <c r="M434">
        <f>IF($N434=1,$L434+$K434,"")</f>
        <v/>
      </c>
      <c r="N434">
        <f>IF(ISNUMBER(SEARCH(" - ",$H434&amp;"")),1,0)</f>
        <v/>
      </c>
      <c r="O434">
        <f>IF(UPPER($H434&amp;"")="LEAVE",1,0)</f>
        <v/>
      </c>
      <c r="P434">
        <f>IF($N434=1,$K434,0)</f>
        <v/>
      </c>
      <c r="Q434">
        <f>IF($N434=0,"",IFERROR($L434-LOOKUP(2,1/(($B$2:$B433=$B434)*($N$2:$N433=1)),$M$2:$M433),""))</f>
        <v/>
      </c>
    </row>
    <row r="435">
      <c r="A435" t="n">
        <v>434</v>
      </c>
      <c r="B435">
        <f>Schedule!$A$64</f>
        <v/>
      </c>
      <c r="C435">
        <f>Schedule!$D$64</f>
        <v/>
      </c>
      <c r="D435">
        <f>Schedule!$F$64</f>
        <v/>
      </c>
      <c r="E435" t="n">
        <v>6</v>
      </c>
      <c r="F435">
        <f>Schedule!$M$1</f>
        <v/>
      </c>
      <c r="G435">
        <f>Schedule!$M$2</f>
        <v/>
      </c>
      <c r="H435">
        <f>Schedule!$M$64</f>
        <v/>
      </c>
      <c r="I435">
        <f>IF($N435=1,VALUE(LEFT($H435,2)),"")</f>
        <v/>
      </c>
      <c r="J435">
        <f>IF($N435=1,VALUE(MID($H435,9,2)),"")</f>
        <v/>
      </c>
      <c r="K435">
        <f>IF($N435=1,MOD($J435-$I435,24),0)</f>
        <v/>
      </c>
      <c r="L435">
        <f>IF($N435=1,$E435*24+$I435,"")</f>
        <v/>
      </c>
      <c r="M435">
        <f>IF($N435=1,$L435+$K435,"")</f>
        <v/>
      </c>
      <c r="N435">
        <f>IF(ISNUMBER(SEARCH(" - ",$H435&amp;"")),1,0)</f>
        <v/>
      </c>
      <c r="O435">
        <f>IF(UPPER($H435&amp;"")="LEAVE",1,0)</f>
        <v/>
      </c>
      <c r="P435">
        <f>IF($N435=1,$K435,0)</f>
        <v/>
      </c>
      <c r="Q435">
        <f>IF($N435=0,"",IFERROR($L435-LOOKUP(2,1/(($B$2:$B434=$B435)*($N$2:$N434=1)),$M$2:$M434),""))</f>
        <v/>
      </c>
    </row>
    <row r="436">
      <c r="A436" t="n">
        <v>435</v>
      </c>
      <c r="B436">
        <f>Schedule!$A$65</f>
        <v/>
      </c>
      <c r="C436">
        <f>Schedule!$D$65</f>
        <v/>
      </c>
      <c r="D436">
        <f>Schedule!$F$65</f>
        <v/>
      </c>
      <c r="E436" t="n">
        <v>0</v>
      </c>
      <c r="F436">
        <f>Schedule!$G$1</f>
        <v/>
      </c>
      <c r="G436">
        <f>Schedule!$G$2</f>
        <v/>
      </c>
      <c r="H436">
        <f>Schedule!$G$65</f>
        <v/>
      </c>
      <c r="I436">
        <f>IF($N436=1,VALUE(LEFT($H436,2)),"")</f>
        <v/>
      </c>
      <c r="J436">
        <f>IF($N436=1,VALUE(MID($H436,9,2)),"")</f>
        <v/>
      </c>
      <c r="K436">
        <f>IF($N436=1,MOD($J436-$I436,24),0)</f>
        <v/>
      </c>
      <c r="L436">
        <f>IF($N436=1,$E436*24+$I436,"")</f>
        <v/>
      </c>
      <c r="M436">
        <f>IF($N436=1,$L436+$K436,"")</f>
        <v/>
      </c>
      <c r="N436">
        <f>IF(ISNUMBER(SEARCH(" - ",$H436&amp;"")),1,0)</f>
        <v/>
      </c>
      <c r="O436">
        <f>IF(UPPER($H436&amp;"")="LEAVE",1,0)</f>
        <v/>
      </c>
      <c r="P436">
        <f>IF($N436=1,$K436,0)</f>
        <v/>
      </c>
      <c r="Q436">
        <f>IF($N436=0,"",IFERROR($L436-'Previous Engine'!$M$64,""))</f>
        <v/>
      </c>
    </row>
    <row r="437">
      <c r="A437" t="n">
        <v>436</v>
      </c>
      <c r="B437">
        <f>Schedule!$A$65</f>
        <v/>
      </c>
      <c r="C437">
        <f>Schedule!$D$65</f>
        <v/>
      </c>
      <c r="D437">
        <f>Schedule!$F$65</f>
        <v/>
      </c>
      <c r="E437" t="n">
        <v>1</v>
      </c>
      <c r="F437">
        <f>Schedule!$H$1</f>
        <v/>
      </c>
      <c r="G437">
        <f>Schedule!$H$2</f>
        <v/>
      </c>
      <c r="H437">
        <f>Schedule!$H$65</f>
        <v/>
      </c>
      <c r="I437">
        <f>IF($N437=1,VALUE(LEFT($H437,2)),"")</f>
        <v/>
      </c>
      <c r="J437">
        <f>IF($N437=1,VALUE(MID($H437,9,2)),"")</f>
        <v/>
      </c>
      <c r="K437">
        <f>IF($N437=1,MOD($J437-$I437,24),0)</f>
        <v/>
      </c>
      <c r="L437">
        <f>IF($N437=1,$E437*24+$I437,"")</f>
        <v/>
      </c>
      <c r="M437">
        <f>IF($N437=1,$L437+$K437,"")</f>
        <v/>
      </c>
      <c r="N437">
        <f>IF(ISNUMBER(SEARCH(" - ",$H437&amp;"")),1,0)</f>
        <v/>
      </c>
      <c r="O437">
        <f>IF(UPPER($H437&amp;"")="LEAVE",1,0)</f>
        <v/>
      </c>
      <c r="P437">
        <f>IF($N437=1,$K437,0)</f>
        <v/>
      </c>
      <c r="Q437">
        <f>IF($N437=0,"",IFERROR($L437-LOOKUP(2,1/(($B$2:$B436=$B437)*($N$2:$N436=1)),$M$2:$M436),""))</f>
        <v/>
      </c>
    </row>
    <row r="438">
      <c r="A438" t="n">
        <v>437</v>
      </c>
      <c r="B438">
        <f>Schedule!$A$65</f>
        <v/>
      </c>
      <c r="C438">
        <f>Schedule!$D$65</f>
        <v/>
      </c>
      <c r="D438">
        <f>Schedule!$F$65</f>
        <v/>
      </c>
      <c r="E438" t="n">
        <v>2</v>
      </c>
      <c r="F438">
        <f>Schedule!$I$1</f>
        <v/>
      </c>
      <c r="G438">
        <f>Schedule!$I$2</f>
        <v/>
      </c>
      <c r="H438">
        <f>Schedule!$I$65</f>
        <v/>
      </c>
      <c r="I438">
        <f>IF($N438=1,VALUE(LEFT($H438,2)),"")</f>
        <v/>
      </c>
      <c r="J438">
        <f>IF($N438=1,VALUE(MID($H438,9,2)),"")</f>
        <v/>
      </c>
      <c r="K438">
        <f>IF($N438=1,MOD($J438-$I438,24),0)</f>
        <v/>
      </c>
      <c r="L438">
        <f>IF($N438=1,$E438*24+$I438,"")</f>
        <v/>
      </c>
      <c r="M438">
        <f>IF($N438=1,$L438+$K438,"")</f>
        <v/>
      </c>
      <c r="N438">
        <f>IF(ISNUMBER(SEARCH(" - ",$H438&amp;"")),1,0)</f>
        <v/>
      </c>
      <c r="O438">
        <f>IF(UPPER($H438&amp;"")="LEAVE",1,0)</f>
        <v/>
      </c>
      <c r="P438">
        <f>IF($N438=1,$K438,0)</f>
        <v/>
      </c>
      <c r="Q438">
        <f>IF($N438=0,"",IFERROR($L438-LOOKUP(2,1/(($B$2:$B437=$B438)*($N$2:$N437=1)),$M$2:$M437),""))</f>
        <v/>
      </c>
    </row>
    <row r="439">
      <c r="A439" t="n">
        <v>438</v>
      </c>
      <c r="B439">
        <f>Schedule!$A$65</f>
        <v/>
      </c>
      <c r="C439">
        <f>Schedule!$D$65</f>
        <v/>
      </c>
      <c r="D439">
        <f>Schedule!$F$65</f>
        <v/>
      </c>
      <c r="E439" t="n">
        <v>3</v>
      </c>
      <c r="F439">
        <f>Schedule!$J$1</f>
        <v/>
      </c>
      <c r="G439">
        <f>Schedule!$J$2</f>
        <v/>
      </c>
      <c r="H439">
        <f>Schedule!$J$65</f>
        <v/>
      </c>
      <c r="I439">
        <f>IF($N439=1,VALUE(LEFT($H439,2)),"")</f>
        <v/>
      </c>
      <c r="J439">
        <f>IF($N439=1,VALUE(MID($H439,9,2)),"")</f>
        <v/>
      </c>
      <c r="K439">
        <f>IF($N439=1,MOD($J439-$I439,24),0)</f>
        <v/>
      </c>
      <c r="L439">
        <f>IF($N439=1,$E439*24+$I439,"")</f>
        <v/>
      </c>
      <c r="M439">
        <f>IF($N439=1,$L439+$K439,"")</f>
        <v/>
      </c>
      <c r="N439">
        <f>IF(ISNUMBER(SEARCH(" - ",$H439&amp;"")),1,0)</f>
        <v/>
      </c>
      <c r="O439">
        <f>IF(UPPER($H439&amp;"")="LEAVE",1,0)</f>
        <v/>
      </c>
      <c r="P439">
        <f>IF($N439=1,$K439,0)</f>
        <v/>
      </c>
      <c r="Q439">
        <f>IF($N439=0,"",IFERROR($L439-LOOKUP(2,1/(($B$2:$B438=$B439)*($N$2:$N438=1)),$M$2:$M438),""))</f>
        <v/>
      </c>
    </row>
    <row r="440">
      <c r="A440" t="n">
        <v>439</v>
      </c>
      <c r="B440">
        <f>Schedule!$A$65</f>
        <v/>
      </c>
      <c r="C440">
        <f>Schedule!$D$65</f>
        <v/>
      </c>
      <c r="D440">
        <f>Schedule!$F$65</f>
        <v/>
      </c>
      <c r="E440" t="n">
        <v>4</v>
      </c>
      <c r="F440">
        <f>Schedule!$K$1</f>
        <v/>
      </c>
      <c r="G440">
        <f>Schedule!$K$2</f>
        <v/>
      </c>
      <c r="H440">
        <f>Schedule!$K$65</f>
        <v/>
      </c>
      <c r="I440">
        <f>IF($N440=1,VALUE(LEFT($H440,2)),"")</f>
        <v/>
      </c>
      <c r="J440">
        <f>IF($N440=1,VALUE(MID($H440,9,2)),"")</f>
        <v/>
      </c>
      <c r="K440">
        <f>IF($N440=1,MOD($J440-$I440,24),0)</f>
        <v/>
      </c>
      <c r="L440">
        <f>IF($N440=1,$E440*24+$I440,"")</f>
        <v/>
      </c>
      <c r="M440">
        <f>IF($N440=1,$L440+$K440,"")</f>
        <v/>
      </c>
      <c r="N440">
        <f>IF(ISNUMBER(SEARCH(" - ",$H440&amp;"")),1,0)</f>
        <v/>
      </c>
      <c r="O440">
        <f>IF(UPPER($H440&amp;"")="LEAVE",1,0)</f>
        <v/>
      </c>
      <c r="P440">
        <f>IF($N440=1,$K440,0)</f>
        <v/>
      </c>
      <c r="Q440">
        <f>IF($N440=0,"",IFERROR($L440-LOOKUP(2,1/(($B$2:$B439=$B440)*($N$2:$N439=1)),$M$2:$M439),""))</f>
        <v/>
      </c>
    </row>
    <row r="441">
      <c r="A441" t="n">
        <v>440</v>
      </c>
      <c r="B441">
        <f>Schedule!$A$65</f>
        <v/>
      </c>
      <c r="C441">
        <f>Schedule!$D$65</f>
        <v/>
      </c>
      <c r="D441">
        <f>Schedule!$F$65</f>
        <v/>
      </c>
      <c r="E441" t="n">
        <v>5</v>
      </c>
      <c r="F441">
        <f>Schedule!$L$1</f>
        <v/>
      </c>
      <c r="G441">
        <f>Schedule!$L$2</f>
        <v/>
      </c>
      <c r="H441">
        <f>Schedule!$L$65</f>
        <v/>
      </c>
      <c r="I441">
        <f>IF($N441=1,VALUE(LEFT($H441,2)),"")</f>
        <v/>
      </c>
      <c r="J441">
        <f>IF($N441=1,VALUE(MID($H441,9,2)),"")</f>
        <v/>
      </c>
      <c r="K441">
        <f>IF($N441=1,MOD($J441-$I441,24),0)</f>
        <v/>
      </c>
      <c r="L441">
        <f>IF($N441=1,$E441*24+$I441,"")</f>
        <v/>
      </c>
      <c r="M441">
        <f>IF($N441=1,$L441+$K441,"")</f>
        <v/>
      </c>
      <c r="N441">
        <f>IF(ISNUMBER(SEARCH(" - ",$H441&amp;"")),1,0)</f>
        <v/>
      </c>
      <c r="O441">
        <f>IF(UPPER($H441&amp;"")="LEAVE",1,0)</f>
        <v/>
      </c>
      <c r="P441">
        <f>IF($N441=1,$K441,0)</f>
        <v/>
      </c>
      <c r="Q441">
        <f>IF($N441=0,"",IFERROR($L441-LOOKUP(2,1/(($B$2:$B440=$B441)*($N$2:$N440=1)),$M$2:$M440),""))</f>
        <v/>
      </c>
    </row>
    <row r="442">
      <c r="A442" t="n">
        <v>441</v>
      </c>
      <c r="B442">
        <f>Schedule!$A$65</f>
        <v/>
      </c>
      <c r="C442">
        <f>Schedule!$D$65</f>
        <v/>
      </c>
      <c r="D442">
        <f>Schedule!$F$65</f>
        <v/>
      </c>
      <c r="E442" t="n">
        <v>6</v>
      </c>
      <c r="F442">
        <f>Schedule!$M$1</f>
        <v/>
      </c>
      <c r="G442">
        <f>Schedule!$M$2</f>
        <v/>
      </c>
      <c r="H442">
        <f>Schedule!$M$65</f>
        <v/>
      </c>
      <c r="I442">
        <f>IF($N442=1,VALUE(LEFT($H442,2)),"")</f>
        <v/>
      </c>
      <c r="J442">
        <f>IF($N442=1,VALUE(MID($H442,9,2)),"")</f>
        <v/>
      </c>
      <c r="K442">
        <f>IF($N442=1,MOD($J442-$I442,24),0)</f>
        <v/>
      </c>
      <c r="L442">
        <f>IF($N442=1,$E442*24+$I442,"")</f>
        <v/>
      </c>
      <c r="M442">
        <f>IF($N442=1,$L442+$K442,"")</f>
        <v/>
      </c>
      <c r="N442">
        <f>IF(ISNUMBER(SEARCH(" - ",$H442&amp;"")),1,0)</f>
        <v/>
      </c>
      <c r="O442">
        <f>IF(UPPER($H442&amp;"")="LEAVE",1,0)</f>
        <v/>
      </c>
      <c r="P442">
        <f>IF($N442=1,$K442,0)</f>
        <v/>
      </c>
      <c r="Q442">
        <f>IF($N442=0,"",IFERROR($L442-LOOKUP(2,1/(($B$2:$B441=$B442)*($N$2:$N441=1)),$M$2:$M441),""))</f>
        <v/>
      </c>
    </row>
    <row r="443">
      <c r="A443" t="n">
        <v>442</v>
      </c>
      <c r="B443">
        <f>Schedule!$A$66</f>
        <v/>
      </c>
      <c r="C443">
        <f>Schedule!$D$66</f>
        <v/>
      </c>
      <c r="D443">
        <f>Schedule!$F$66</f>
        <v/>
      </c>
      <c r="E443" t="n">
        <v>0</v>
      </c>
      <c r="F443">
        <f>Schedule!$G$1</f>
        <v/>
      </c>
      <c r="G443">
        <f>Schedule!$G$2</f>
        <v/>
      </c>
      <c r="H443">
        <f>Schedule!$G$66</f>
        <v/>
      </c>
      <c r="I443">
        <f>IF($N443=1,VALUE(LEFT($H443,2)),"")</f>
        <v/>
      </c>
      <c r="J443">
        <f>IF($N443=1,VALUE(MID($H443,9,2)),"")</f>
        <v/>
      </c>
      <c r="K443">
        <f>IF($N443=1,MOD($J443-$I443,24),0)</f>
        <v/>
      </c>
      <c r="L443">
        <f>IF($N443=1,$E443*24+$I443,"")</f>
        <v/>
      </c>
      <c r="M443">
        <f>IF($N443=1,$L443+$K443,"")</f>
        <v/>
      </c>
      <c r="N443">
        <f>IF(ISNUMBER(SEARCH(" - ",$H443&amp;"")),1,0)</f>
        <v/>
      </c>
      <c r="O443">
        <f>IF(UPPER($H443&amp;"")="LEAVE",1,0)</f>
        <v/>
      </c>
      <c r="P443">
        <f>IF($N443=1,$K443,0)</f>
        <v/>
      </c>
      <c r="Q443">
        <f>IF($N443=0,"",IFERROR($L443-'Previous Engine'!$M$65,""))</f>
        <v/>
      </c>
    </row>
    <row r="444">
      <c r="A444" t="n">
        <v>443</v>
      </c>
      <c r="B444">
        <f>Schedule!$A$66</f>
        <v/>
      </c>
      <c r="C444">
        <f>Schedule!$D$66</f>
        <v/>
      </c>
      <c r="D444">
        <f>Schedule!$F$66</f>
        <v/>
      </c>
      <c r="E444" t="n">
        <v>1</v>
      </c>
      <c r="F444">
        <f>Schedule!$H$1</f>
        <v/>
      </c>
      <c r="G444">
        <f>Schedule!$H$2</f>
        <v/>
      </c>
      <c r="H444">
        <f>Schedule!$H$66</f>
        <v/>
      </c>
      <c r="I444">
        <f>IF($N444=1,VALUE(LEFT($H444,2)),"")</f>
        <v/>
      </c>
      <c r="J444">
        <f>IF($N444=1,VALUE(MID($H444,9,2)),"")</f>
        <v/>
      </c>
      <c r="K444">
        <f>IF($N444=1,MOD($J444-$I444,24),0)</f>
        <v/>
      </c>
      <c r="L444">
        <f>IF($N444=1,$E444*24+$I444,"")</f>
        <v/>
      </c>
      <c r="M444">
        <f>IF($N444=1,$L444+$K444,"")</f>
        <v/>
      </c>
      <c r="N444">
        <f>IF(ISNUMBER(SEARCH(" - ",$H444&amp;"")),1,0)</f>
        <v/>
      </c>
      <c r="O444">
        <f>IF(UPPER($H444&amp;"")="LEAVE",1,0)</f>
        <v/>
      </c>
      <c r="P444">
        <f>IF($N444=1,$K444,0)</f>
        <v/>
      </c>
      <c r="Q444">
        <f>IF($N444=0,"",IFERROR($L444-LOOKUP(2,1/(($B$2:$B443=$B444)*($N$2:$N443=1)),$M$2:$M443),""))</f>
        <v/>
      </c>
    </row>
    <row r="445">
      <c r="A445" t="n">
        <v>444</v>
      </c>
      <c r="B445">
        <f>Schedule!$A$66</f>
        <v/>
      </c>
      <c r="C445">
        <f>Schedule!$D$66</f>
        <v/>
      </c>
      <c r="D445">
        <f>Schedule!$F$66</f>
        <v/>
      </c>
      <c r="E445" t="n">
        <v>2</v>
      </c>
      <c r="F445">
        <f>Schedule!$I$1</f>
        <v/>
      </c>
      <c r="G445">
        <f>Schedule!$I$2</f>
        <v/>
      </c>
      <c r="H445">
        <f>Schedule!$I$66</f>
        <v/>
      </c>
      <c r="I445">
        <f>IF($N445=1,VALUE(LEFT($H445,2)),"")</f>
        <v/>
      </c>
      <c r="J445">
        <f>IF($N445=1,VALUE(MID($H445,9,2)),"")</f>
        <v/>
      </c>
      <c r="K445">
        <f>IF($N445=1,MOD($J445-$I445,24),0)</f>
        <v/>
      </c>
      <c r="L445">
        <f>IF($N445=1,$E445*24+$I445,"")</f>
        <v/>
      </c>
      <c r="M445">
        <f>IF($N445=1,$L445+$K445,"")</f>
        <v/>
      </c>
      <c r="N445">
        <f>IF(ISNUMBER(SEARCH(" - ",$H445&amp;"")),1,0)</f>
        <v/>
      </c>
      <c r="O445">
        <f>IF(UPPER($H445&amp;"")="LEAVE",1,0)</f>
        <v/>
      </c>
      <c r="P445">
        <f>IF($N445=1,$K445,0)</f>
        <v/>
      </c>
      <c r="Q445">
        <f>IF($N445=0,"",IFERROR($L445-LOOKUP(2,1/(($B$2:$B444=$B445)*($N$2:$N444=1)),$M$2:$M444),""))</f>
        <v/>
      </c>
    </row>
    <row r="446">
      <c r="A446" t="n">
        <v>445</v>
      </c>
      <c r="B446">
        <f>Schedule!$A$66</f>
        <v/>
      </c>
      <c r="C446">
        <f>Schedule!$D$66</f>
        <v/>
      </c>
      <c r="D446">
        <f>Schedule!$F$66</f>
        <v/>
      </c>
      <c r="E446" t="n">
        <v>3</v>
      </c>
      <c r="F446">
        <f>Schedule!$J$1</f>
        <v/>
      </c>
      <c r="G446">
        <f>Schedule!$J$2</f>
        <v/>
      </c>
      <c r="H446">
        <f>Schedule!$J$66</f>
        <v/>
      </c>
      <c r="I446">
        <f>IF($N446=1,VALUE(LEFT($H446,2)),"")</f>
        <v/>
      </c>
      <c r="J446">
        <f>IF($N446=1,VALUE(MID($H446,9,2)),"")</f>
        <v/>
      </c>
      <c r="K446">
        <f>IF($N446=1,MOD($J446-$I446,24),0)</f>
        <v/>
      </c>
      <c r="L446">
        <f>IF($N446=1,$E446*24+$I446,"")</f>
        <v/>
      </c>
      <c r="M446">
        <f>IF($N446=1,$L446+$K446,"")</f>
        <v/>
      </c>
      <c r="N446">
        <f>IF(ISNUMBER(SEARCH(" - ",$H446&amp;"")),1,0)</f>
        <v/>
      </c>
      <c r="O446">
        <f>IF(UPPER($H446&amp;"")="LEAVE",1,0)</f>
        <v/>
      </c>
      <c r="P446">
        <f>IF($N446=1,$K446,0)</f>
        <v/>
      </c>
      <c r="Q446">
        <f>IF($N446=0,"",IFERROR($L446-LOOKUP(2,1/(($B$2:$B445=$B446)*($N$2:$N445=1)),$M$2:$M445),""))</f>
        <v/>
      </c>
    </row>
    <row r="447">
      <c r="A447" t="n">
        <v>446</v>
      </c>
      <c r="B447">
        <f>Schedule!$A$66</f>
        <v/>
      </c>
      <c r="C447">
        <f>Schedule!$D$66</f>
        <v/>
      </c>
      <c r="D447">
        <f>Schedule!$F$66</f>
        <v/>
      </c>
      <c r="E447" t="n">
        <v>4</v>
      </c>
      <c r="F447">
        <f>Schedule!$K$1</f>
        <v/>
      </c>
      <c r="G447">
        <f>Schedule!$K$2</f>
        <v/>
      </c>
      <c r="H447">
        <f>Schedule!$K$66</f>
        <v/>
      </c>
      <c r="I447">
        <f>IF($N447=1,VALUE(LEFT($H447,2)),"")</f>
        <v/>
      </c>
      <c r="J447">
        <f>IF($N447=1,VALUE(MID($H447,9,2)),"")</f>
        <v/>
      </c>
      <c r="K447">
        <f>IF($N447=1,MOD($J447-$I447,24),0)</f>
        <v/>
      </c>
      <c r="L447">
        <f>IF($N447=1,$E447*24+$I447,"")</f>
        <v/>
      </c>
      <c r="M447">
        <f>IF($N447=1,$L447+$K447,"")</f>
        <v/>
      </c>
      <c r="N447">
        <f>IF(ISNUMBER(SEARCH(" - ",$H447&amp;"")),1,0)</f>
        <v/>
      </c>
      <c r="O447">
        <f>IF(UPPER($H447&amp;"")="LEAVE",1,0)</f>
        <v/>
      </c>
      <c r="P447">
        <f>IF($N447=1,$K447,0)</f>
        <v/>
      </c>
      <c r="Q447">
        <f>IF($N447=0,"",IFERROR($L447-LOOKUP(2,1/(($B$2:$B446=$B447)*($N$2:$N446=1)),$M$2:$M446),""))</f>
        <v/>
      </c>
    </row>
    <row r="448">
      <c r="A448" t="n">
        <v>447</v>
      </c>
      <c r="B448">
        <f>Schedule!$A$66</f>
        <v/>
      </c>
      <c r="C448">
        <f>Schedule!$D$66</f>
        <v/>
      </c>
      <c r="D448">
        <f>Schedule!$F$66</f>
        <v/>
      </c>
      <c r="E448" t="n">
        <v>5</v>
      </c>
      <c r="F448">
        <f>Schedule!$L$1</f>
        <v/>
      </c>
      <c r="G448">
        <f>Schedule!$L$2</f>
        <v/>
      </c>
      <c r="H448">
        <f>Schedule!$L$66</f>
        <v/>
      </c>
      <c r="I448">
        <f>IF($N448=1,VALUE(LEFT($H448,2)),"")</f>
        <v/>
      </c>
      <c r="J448">
        <f>IF($N448=1,VALUE(MID($H448,9,2)),"")</f>
        <v/>
      </c>
      <c r="K448">
        <f>IF($N448=1,MOD($J448-$I448,24),0)</f>
        <v/>
      </c>
      <c r="L448">
        <f>IF($N448=1,$E448*24+$I448,"")</f>
        <v/>
      </c>
      <c r="M448">
        <f>IF($N448=1,$L448+$K448,"")</f>
        <v/>
      </c>
      <c r="N448">
        <f>IF(ISNUMBER(SEARCH(" - ",$H448&amp;"")),1,0)</f>
        <v/>
      </c>
      <c r="O448">
        <f>IF(UPPER($H448&amp;"")="LEAVE",1,0)</f>
        <v/>
      </c>
      <c r="P448">
        <f>IF($N448=1,$K448,0)</f>
        <v/>
      </c>
      <c r="Q448">
        <f>IF($N448=0,"",IFERROR($L448-LOOKUP(2,1/(($B$2:$B447=$B448)*($N$2:$N447=1)),$M$2:$M447),""))</f>
        <v/>
      </c>
    </row>
    <row r="449">
      <c r="A449" t="n">
        <v>448</v>
      </c>
      <c r="B449">
        <f>Schedule!$A$66</f>
        <v/>
      </c>
      <c r="C449">
        <f>Schedule!$D$66</f>
        <v/>
      </c>
      <c r="D449">
        <f>Schedule!$F$66</f>
        <v/>
      </c>
      <c r="E449" t="n">
        <v>6</v>
      </c>
      <c r="F449">
        <f>Schedule!$M$1</f>
        <v/>
      </c>
      <c r="G449">
        <f>Schedule!$M$2</f>
        <v/>
      </c>
      <c r="H449">
        <f>Schedule!$M$66</f>
        <v/>
      </c>
      <c r="I449">
        <f>IF($N449=1,VALUE(LEFT($H449,2)),"")</f>
        <v/>
      </c>
      <c r="J449">
        <f>IF($N449=1,VALUE(MID($H449,9,2)),"")</f>
        <v/>
      </c>
      <c r="K449">
        <f>IF($N449=1,MOD($J449-$I449,24),0)</f>
        <v/>
      </c>
      <c r="L449">
        <f>IF($N449=1,$E449*24+$I449,"")</f>
        <v/>
      </c>
      <c r="M449">
        <f>IF($N449=1,$L449+$K449,"")</f>
        <v/>
      </c>
      <c r="N449">
        <f>IF(ISNUMBER(SEARCH(" - ",$H449&amp;"")),1,0)</f>
        <v/>
      </c>
      <c r="O449">
        <f>IF(UPPER($H449&amp;"")="LEAVE",1,0)</f>
        <v/>
      </c>
      <c r="P449">
        <f>IF($N449=1,$K449,0)</f>
        <v/>
      </c>
      <c r="Q449">
        <f>IF($N449=0,"",IFERROR($L449-LOOKUP(2,1/(($B$2:$B448=$B449)*($N$2:$N448=1)),$M$2:$M448),""))</f>
        <v/>
      </c>
    </row>
    <row r="450">
      <c r="A450" t="n">
        <v>449</v>
      </c>
      <c r="B450">
        <f>Schedule!$A$67</f>
        <v/>
      </c>
      <c r="C450">
        <f>Schedule!$D$67</f>
        <v/>
      </c>
      <c r="D450">
        <f>Schedule!$F$67</f>
        <v/>
      </c>
      <c r="E450" t="n">
        <v>0</v>
      </c>
      <c r="F450">
        <f>Schedule!$G$1</f>
        <v/>
      </c>
      <c r="G450">
        <f>Schedule!$G$2</f>
        <v/>
      </c>
      <c r="H450">
        <f>Schedule!$G$67</f>
        <v/>
      </c>
      <c r="I450">
        <f>IF($N450=1,VALUE(LEFT($H450,2)),"")</f>
        <v/>
      </c>
      <c r="J450">
        <f>IF($N450=1,VALUE(MID($H450,9,2)),"")</f>
        <v/>
      </c>
      <c r="K450">
        <f>IF($N450=1,MOD($J450-$I450,24),0)</f>
        <v/>
      </c>
      <c r="L450">
        <f>IF($N450=1,$E450*24+$I450,"")</f>
        <v/>
      </c>
      <c r="M450">
        <f>IF($N450=1,$L450+$K450,"")</f>
        <v/>
      </c>
      <c r="N450">
        <f>IF(ISNUMBER(SEARCH(" - ",$H450&amp;"")),1,0)</f>
        <v/>
      </c>
      <c r="O450">
        <f>IF(UPPER($H450&amp;"")="LEAVE",1,0)</f>
        <v/>
      </c>
      <c r="P450">
        <f>IF($N450=1,$K450,0)</f>
        <v/>
      </c>
      <c r="Q450">
        <f>IF($N450=0,"",IFERROR($L450-'Previous Engine'!$M$66,""))</f>
        <v/>
      </c>
    </row>
    <row r="451">
      <c r="A451" t="n">
        <v>450</v>
      </c>
      <c r="B451">
        <f>Schedule!$A$67</f>
        <v/>
      </c>
      <c r="C451">
        <f>Schedule!$D$67</f>
        <v/>
      </c>
      <c r="D451">
        <f>Schedule!$F$67</f>
        <v/>
      </c>
      <c r="E451" t="n">
        <v>1</v>
      </c>
      <c r="F451">
        <f>Schedule!$H$1</f>
        <v/>
      </c>
      <c r="G451">
        <f>Schedule!$H$2</f>
        <v/>
      </c>
      <c r="H451">
        <f>Schedule!$H$67</f>
        <v/>
      </c>
      <c r="I451">
        <f>IF($N451=1,VALUE(LEFT($H451,2)),"")</f>
        <v/>
      </c>
      <c r="J451">
        <f>IF($N451=1,VALUE(MID($H451,9,2)),"")</f>
        <v/>
      </c>
      <c r="K451">
        <f>IF($N451=1,MOD($J451-$I451,24),0)</f>
        <v/>
      </c>
      <c r="L451">
        <f>IF($N451=1,$E451*24+$I451,"")</f>
        <v/>
      </c>
      <c r="M451">
        <f>IF($N451=1,$L451+$K451,"")</f>
        <v/>
      </c>
      <c r="N451">
        <f>IF(ISNUMBER(SEARCH(" - ",$H451&amp;"")),1,0)</f>
        <v/>
      </c>
      <c r="O451">
        <f>IF(UPPER($H451&amp;"")="LEAVE",1,0)</f>
        <v/>
      </c>
      <c r="P451">
        <f>IF($N451=1,$K451,0)</f>
        <v/>
      </c>
      <c r="Q451">
        <f>IF($N451=0,"",IFERROR($L451-LOOKUP(2,1/(($B$2:$B450=$B451)*($N$2:$N450=1)),$M$2:$M450),""))</f>
        <v/>
      </c>
    </row>
    <row r="452">
      <c r="A452" t="n">
        <v>451</v>
      </c>
      <c r="B452">
        <f>Schedule!$A$67</f>
        <v/>
      </c>
      <c r="C452">
        <f>Schedule!$D$67</f>
        <v/>
      </c>
      <c r="D452">
        <f>Schedule!$F$67</f>
        <v/>
      </c>
      <c r="E452" t="n">
        <v>2</v>
      </c>
      <c r="F452">
        <f>Schedule!$I$1</f>
        <v/>
      </c>
      <c r="G452">
        <f>Schedule!$I$2</f>
        <v/>
      </c>
      <c r="H452">
        <f>Schedule!$I$67</f>
        <v/>
      </c>
      <c r="I452">
        <f>IF($N452=1,VALUE(LEFT($H452,2)),"")</f>
        <v/>
      </c>
      <c r="J452">
        <f>IF($N452=1,VALUE(MID($H452,9,2)),"")</f>
        <v/>
      </c>
      <c r="K452">
        <f>IF($N452=1,MOD($J452-$I452,24),0)</f>
        <v/>
      </c>
      <c r="L452">
        <f>IF($N452=1,$E452*24+$I452,"")</f>
        <v/>
      </c>
      <c r="M452">
        <f>IF($N452=1,$L452+$K452,"")</f>
        <v/>
      </c>
      <c r="N452">
        <f>IF(ISNUMBER(SEARCH(" - ",$H452&amp;"")),1,0)</f>
        <v/>
      </c>
      <c r="O452">
        <f>IF(UPPER($H452&amp;"")="LEAVE",1,0)</f>
        <v/>
      </c>
      <c r="P452">
        <f>IF($N452=1,$K452,0)</f>
        <v/>
      </c>
      <c r="Q452">
        <f>IF($N452=0,"",IFERROR($L452-LOOKUP(2,1/(($B$2:$B451=$B452)*($N$2:$N451=1)),$M$2:$M451),""))</f>
        <v/>
      </c>
    </row>
    <row r="453">
      <c r="A453" t="n">
        <v>452</v>
      </c>
      <c r="B453">
        <f>Schedule!$A$67</f>
        <v/>
      </c>
      <c r="C453">
        <f>Schedule!$D$67</f>
        <v/>
      </c>
      <c r="D453">
        <f>Schedule!$F$67</f>
        <v/>
      </c>
      <c r="E453" t="n">
        <v>3</v>
      </c>
      <c r="F453">
        <f>Schedule!$J$1</f>
        <v/>
      </c>
      <c r="G453">
        <f>Schedule!$J$2</f>
        <v/>
      </c>
      <c r="H453">
        <f>Schedule!$J$67</f>
        <v/>
      </c>
      <c r="I453">
        <f>IF($N453=1,VALUE(LEFT($H453,2)),"")</f>
        <v/>
      </c>
      <c r="J453">
        <f>IF($N453=1,VALUE(MID($H453,9,2)),"")</f>
        <v/>
      </c>
      <c r="K453">
        <f>IF($N453=1,MOD($J453-$I453,24),0)</f>
        <v/>
      </c>
      <c r="L453">
        <f>IF($N453=1,$E453*24+$I453,"")</f>
        <v/>
      </c>
      <c r="M453">
        <f>IF($N453=1,$L453+$K453,"")</f>
        <v/>
      </c>
      <c r="N453">
        <f>IF(ISNUMBER(SEARCH(" - ",$H453&amp;"")),1,0)</f>
        <v/>
      </c>
      <c r="O453">
        <f>IF(UPPER($H453&amp;"")="LEAVE",1,0)</f>
        <v/>
      </c>
      <c r="P453">
        <f>IF($N453=1,$K453,0)</f>
        <v/>
      </c>
      <c r="Q453">
        <f>IF($N453=0,"",IFERROR($L453-LOOKUP(2,1/(($B$2:$B452=$B453)*($N$2:$N452=1)),$M$2:$M452),""))</f>
        <v/>
      </c>
    </row>
    <row r="454">
      <c r="A454" t="n">
        <v>453</v>
      </c>
      <c r="B454">
        <f>Schedule!$A$67</f>
        <v/>
      </c>
      <c r="C454">
        <f>Schedule!$D$67</f>
        <v/>
      </c>
      <c r="D454">
        <f>Schedule!$F$67</f>
        <v/>
      </c>
      <c r="E454" t="n">
        <v>4</v>
      </c>
      <c r="F454">
        <f>Schedule!$K$1</f>
        <v/>
      </c>
      <c r="G454">
        <f>Schedule!$K$2</f>
        <v/>
      </c>
      <c r="H454">
        <f>Schedule!$K$67</f>
        <v/>
      </c>
      <c r="I454">
        <f>IF($N454=1,VALUE(LEFT($H454,2)),"")</f>
        <v/>
      </c>
      <c r="J454">
        <f>IF($N454=1,VALUE(MID($H454,9,2)),"")</f>
        <v/>
      </c>
      <c r="K454">
        <f>IF($N454=1,MOD($J454-$I454,24),0)</f>
        <v/>
      </c>
      <c r="L454">
        <f>IF($N454=1,$E454*24+$I454,"")</f>
        <v/>
      </c>
      <c r="M454">
        <f>IF($N454=1,$L454+$K454,"")</f>
        <v/>
      </c>
      <c r="N454">
        <f>IF(ISNUMBER(SEARCH(" - ",$H454&amp;"")),1,0)</f>
        <v/>
      </c>
      <c r="O454">
        <f>IF(UPPER($H454&amp;"")="LEAVE",1,0)</f>
        <v/>
      </c>
      <c r="P454">
        <f>IF($N454=1,$K454,0)</f>
        <v/>
      </c>
      <c r="Q454">
        <f>IF($N454=0,"",IFERROR($L454-LOOKUP(2,1/(($B$2:$B453=$B454)*($N$2:$N453=1)),$M$2:$M453),""))</f>
        <v/>
      </c>
    </row>
    <row r="455">
      <c r="A455" t="n">
        <v>454</v>
      </c>
      <c r="B455">
        <f>Schedule!$A$67</f>
        <v/>
      </c>
      <c r="C455">
        <f>Schedule!$D$67</f>
        <v/>
      </c>
      <c r="D455">
        <f>Schedule!$F$67</f>
        <v/>
      </c>
      <c r="E455" t="n">
        <v>5</v>
      </c>
      <c r="F455">
        <f>Schedule!$L$1</f>
        <v/>
      </c>
      <c r="G455">
        <f>Schedule!$L$2</f>
        <v/>
      </c>
      <c r="H455">
        <f>Schedule!$L$67</f>
        <v/>
      </c>
      <c r="I455">
        <f>IF($N455=1,VALUE(LEFT($H455,2)),"")</f>
        <v/>
      </c>
      <c r="J455">
        <f>IF($N455=1,VALUE(MID($H455,9,2)),"")</f>
        <v/>
      </c>
      <c r="K455">
        <f>IF($N455=1,MOD($J455-$I455,24),0)</f>
        <v/>
      </c>
      <c r="L455">
        <f>IF($N455=1,$E455*24+$I455,"")</f>
        <v/>
      </c>
      <c r="M455">
        <f>IF($N455=1,$L455+$K455,"")</f>
        <v/>
      </c>
      <c r="N455">
        <f>IF(ISNUMBER(SEARCH(" - ",$H455&amp;"")),1,0)</f>
        <v/>
      </c>
      <c r="O455">
        <f>IF(UPPER($H455&amp;"")="LEAVE",1,0)</f>
        <v/>
      </c>
      <c r="P455">
        <f>IF($N455=1,$K455,0)</f>
        <v/>
      </c>
      <c r="Q455">
        <f>IF($N455=0,"",IFERROR($L455-LOOKUP(2,1/(($B$2:$B454=$B455)*($N$2:$N454=1)),$M$2:$M454),""))</f>
        <v/>
      </c>
    </row>
    <row r="456">
      <c r="A456" t="n">
        <v>455</v>
      </c>
      <c r="B456">
        <f>Schedule!$A$67</f>
        <v/>
      </c>
      <c r="C456">
        <f>Schedule!$D$67</f>
        <v/>
      </c>
      <c r="D456">
        <f>Schedule!$F$67</f>
        <v/>
      </c>
      <c r="E456" t="n">
        <v>6</v>
      </c>
      <c r="F456">
        <f>Schedule!$M$1</f>
        <v/>
      </c>
      <c r="G456">
        <f>Schedule!$M$2</f>
        <v/>
      </c>
      <c r="H456">
        <f>Schedule!$M$67</f>
        <v/>
      </c>
      <c r="I456">
        <f>IF($N456=1,VALUE(LEFT($H456,2)),"")</f>
        <v/>
      </c>
      <c r="J456">
        <f>IF($N456=1,VALUE(MID($H456,9,2)),"")</f>
        <v/>
      </c>
      <c r="K456">
        <f>IF($N456=1,MOD($J456-$I456,24),0)</f>
        <v/>
      </c>
      <c r="L456">
        <f>IF($N456=1,$E456*24+$I456,"")</f>
        <v/>
      </c>
      <c r="M456">
        <f>IF($N456=1,$L456+$K456,"")</f>
        <v/>
      </c>
      <c r="N456">
        <f>IF(ISNUMBER(SEARCH(" - ",$H456&amp;"")),1,0)</f>
        <v/>
      </c>
      <c r="O456">
        <f>IF(UPPER($H456&amp;"")="LEAVE",1,0)</f>
        <v/>
      </c>
      <c r="P456">
        <f>IF($N456=1,$K456,0)</f>
        <v/>
      </c>
      <c r="Q456">
        <f>IF($N456=0,"",IFERROR($L456-LOOKUP(2,1/(($B$2:$B455=$B456)*($N$2:$N455=1)),$M$2:$M455),""))</f>
        <v/>
      </c>
    </row>
    <row r="457">
      <c r="A457" t="n">
        <v>456</v>
      </c>
      <c r="B457">
        <f>Schedule!$A$68</f>
        <v/>
      </c>
      <c r="C457">
        <f>Schedule!$D$68</f>
        <v/>
      </c>
      <c r="D457">
        <f>Schedule!$F$68</f>
        <v/>
      </c>
      <c r="E457" t="n">
        <v>0</v>
      </c>
      <c r="F457">
        <f>Schedule!$G$1</f>
        <v/>
      </c>
      <c r="G457">
        <f>Schedule!$G$2</f>
        <v/>
      </c>
      <c r="H457">
        <f>Schedule!$G$68</f>
        <v/>
      </c>
      <c r="I457">
        <f>IF($N457=1,VALUE(LEFT($H457,2)),"")</f>
        <v/>
      </c>
      <c r="J457">
        <f>IF($N457=1,VALUE(MID($H457,9,2)),"")</f>
        <v/>
      </c>
      <c r="K457">
        <f>IF($N457=1,MOD($J457-$I457,24),0)</f>
        <v/>
      </c>
      <c r="L457">
        <f>IF($N457=1,$E457*24+$I457,"")</f>
        <v/>
      </c>
      <c r="M457">
        <f>IF($N457=1,$L457+$K457,"")</f>
        <v/>
      </c>
      <c r="N457">
        <f>IF(ISNUMBER(SEARCH(" - ",$H457&amp;"")),1,0)</f>
        <v/>
      </c>
      <c r="O457">
        <f>IF(UPPER($H457&amp;"")="LEAVE",1,0)</f>
        <v/>
      </c>
      <c r="P457">
        <f>IF($N457=1,$K457,0)</f>
        <v/>
      </c>
      <c r="Q457">
        <f>IF($N457=0,"",IFERROR($L457-'Previous Engine'!$M$67,""))</f>
        <v/>
      </c>
    </row>
    <row r="458">
      <c r="A458" t="n">
        <v>457</v>
      </c>
      <c r="B458">
        <f>Schedule!$A$68</f>
        <v/>
      </c>
      <c r="C458">
        <f>Schedule!$D$68</f>
        <v/>
      </c>
      <c r="D458">
        <f>Schedule!$F$68</f>
        <v/>
      </c>
      <c r="E458" t="n">
        <v>1</v>
      </c>
      <c r="F458">
        <f>Schedule!$H$1</f>
        <v/>
      </c>
      <c r="G458">
        <f>Schedule!$H$2</f>
        <v/>
      </c>
      <c r="H458">
        <f>Schedule!$H$68</f>
        <v/>
      </c>
      <c r="I458">
        <f>IF($N458=1,VALUE(LEFT($H458,2)),"")</f>
        <v/>
      </c>
      <c r="J458">
        <f>IF($N458=1,VALUE(MID($H458,9,2)),"")</f>
        <v/>
      </c>
      <c r="K458">
        <f>IF($N458=1,MOD($J458-$I458,24),0)</f>
        <v/>
      </c>
      <c r="L458">
        <f>IF($N458=1,$E458*24+$I458,"")</f>
        <v/>
      </c>
      <c r="M458">
        <f>IF($N458=1,$L458+$K458,"")</f>
        <v/>
      </c>
      <c r="N458">
        <f>IF(ISNUMBER(SEARCH(" - ",$H458&amp;"")),1,0)</f>
        <v/>
      </c>
      <c r="O458">
        <f>IF(UPPER($H458&amp;"")="LEAVE",1,0)</f>
        <v/>
      </c>
      <c r="P458">
        <f>IF($N458=1,$K458,0)</f>
        <v/>
      </c>
      <c r="Q458">
        <f>IF($N458=0,"",IFERROR($L458-LOOKUP(2,1/(($B$2:$B457=$B458)*($N$2:$N457=1)),$M$2:$M457),""))</f>
        <v/>
      </c>
    </row>
    <row r="459">
      <c r="A459" t="n">
        <v>458</v>
      </c>
      <c r="B459">
        <f>Schedule!$A$68</f>
        <v/>
      </c>
      <c r="C459">
        <f>Schedule!$D$68</f>
        <v/>
      </c>
      <c r="D459">
        <f>Schedule!$F$68</f>
        <v/>
      </c>
      <c r="E459" t="n">
        <v>2</v>
      </c>
      <c r="F459">
        <f>Schedule!$I$1</f>
        <v/>
      </c>
      <c r="G459">
        <f>Schedule!$I$2</f>
        <v/>
      </c>
      <c r="H459">
        <f>Schedule!$I$68</f>
        <v/>
      </c>
      <c r="I459">
        <f>IF($N459=1,VALUE(LEFT($H459,2)),"")</f>
        <v/>
      </c>
      <c r="J459">
        <f>IF($N459=1,VALUE(MID($H459,9,2)),"")</f>
        <v/>
      </c>
      <c r="K459">
        <f>IF($N459=1,MOD($J459-$I459,24),0)</f>
        <v/>
      </c>
      <c r="L459">
        <f>IF($N459=1,$E459*24+$I459,"")</f>
        <v/>
      </c>
      <c r="M459">
        <f>IF($N459=1,$L459+$K459,"")</f>
        <v/>
      </c>
      <c r="N459">
        <f>IF(ISNUMBER(SEARCH(" - ",$H459&amp;"")),1,0)</f>
        <v/>
      </c>
      <c r="O459">
        <f>IF(UPPER($H459&amp;"")="LEAVE",1,0)</f>
        <v/>
      </c>
      <c r="P459">
        <f>IF($N459=1,$K459,0)</f>
        <v/>
      </c>
      <c r="Q459">
        <f>IF($N459=0,"",IFERROR($L459-LOOKUP(2,1/(($B$2:$B458=$B459)*($N$2:$N458=1)),$M$2:$M458),""))</f>
        <v/>
      </c>
    </row>
    <row r="460">
      <c r="A460" t="n">
        <v>459</v>
      </c>
      <c r="B460">
        <f>Schedule!$A$68</f>
        <v/>
      </c>
      <c r="C460">
        <f>Schedule!$D$68</f>
        <v/>
      </c>
      <c r="D460">
        <f>Schedule!$F$68</f>
        <v/>
      </c>
      <c r="E460" t="n">
        <v>3</v>
      </c>
      <c r="F460">
        <f>Schedule!$J$1</f>
        <v/>
      </c>
      <c r="G460">
        <f>Schedule!$J$2</f>
        <v/>
      </c>
      <c r="H460">
        <f>Schedule!$J$68</f>
        <v/>
      </c>
      <c r="I460">
        <f>IF($N460=1,VALUE(LEFT($H460,2)),"")</f>
        <v/>
      </c>
      <c r="J460">
        <f>IF($N460=1,VALUE(MID($H460,9,2)),"")</f>
        <v/>
      </c>
      <c r="K460">
        <f>IF($N460=1,MOD($J460-$I460,24),0)</f>
        <v/>
      </c>
      <c r="L460">
        <f>IF($N460=1,$E460*24+$I460,"")</f>
        <v/>
      </c>
      <c r="M460">
        <f>IF($N460=1,$L460+$K460,"")</f>
        <v/>
      </c>
      <c r="N460">
        <f>IF(ISNUMBER(SEARCH(" - ",$H460&amp;"")),1,0)</f>
        <v/>
      </c>
      <c r="O460">
        <f>IF(UPPER($H460&amp;"")="LEAVE",1,0)</f>
        <v/>
      </c>
      <c r="P460">
        <f>IF($N460=1,$K460,0)</f>
        <v/>
      </c>
      <c r="Q460">
        <f>IF($N460=0,"",IFERROR($L460-LOOKUP(2,1/(($B$2:$B459=$B460)*($N$2:$N459=1)),$M$2:$M459),""))</f>
        <v/>
      </c>
    </row>
    <row r="461">
      <c r="A461" t="n">
        <v>460</v>
      </c>
      <c r="B461">
        <f>Schedule!$A$68</f>
        <v/>
      </c>
      <c r="C461">
        <f>Schedule!$D$68</f>
        <v/>
      </c>
      <c r="D461">
        <f>Schedule!$F$68</f>
        <v/>
      </c>
      <c r="E461" t="n">
        <v>4</v>
      </c>
      <c r="F461">
        <f>Schedule!$K$1</f>
        <v/>
      </c>
      <c r="G461">
        <f>Schedule!$K$2</f>
        <v/>
      </c>
      <c r="H461">
        <f>Schedule!$K$68</f>
        <v/>
      </c>
      <c r="I461">
        <f>IF($N461=1,VALUE(LEFT($H461,2)),"")</f>
        <v/>
      </c>
      <c r="J461">
        <f>IF($N461=1,VALUE(MID($H461,9,2)),"")</f>
        <v/>
      </c>
      <c r="K461">
        <f>IF($N461=1,MOD($J461-$I461,24),0)</f>
        <v/>
      </c>
      <c r="L461">
        <f>IF($N461=1,$E461*24+$I461,"")</f>
        <v/>
      </c>
      <c r="M461">
        <f>IF($N461=1,$L461+$K461,"")</f>
        <v/>
      </c>
      <c r="N461">
        <f>IF(ISNUMBER(SEARCH(" - ",$H461&amp;"")),1,0)</f>
        <v/>
      </c>
      <c r="O461">
        <f>IF(UPPER($H461&amp;"")="LEAVE",1,0)</f>
        <v/>
      </c>
      <c r="P461">
        <f>IF($N461=1,$K461,0)</f>
        <v/>
      </c>
      <c r="Q461">
        <f>IF($N461=0,"",IFERROR($L461-LOOKUP(2,1/(($B$2:$B460=$B461)*($N$2:$N460=1)),$M$2:$M460),""))</f>
        <v/>
      </c>
    </row>
    <row r="462">
      <c r="A462" t="n">
        <v>461</v>
      </c>
      <c r="B462">
        <f>Schedule!$A$68</f>
        <v/>
      </c>
      <c r="C462">
        <f>Schedule!$D$68</f>
        <v/>
      </c>
      <c r="D462">
        <f>Schedule!$F$68</f>
        <v/>
      </c>
      <c r="E462" t="n">
        <v>5</v>
      </c>
      <c r="F462">
        <f>Schedule!$L$1</f>
        <v/>
      </c>
      <c r="G462">
        <f>Schedule!$L$2</f>
        <v/>
      </c>
      <c r="H462">
        <f>Schedule!$L$68</f>
        <v/>
      </c>
      <c r="I462">
        <f>IF($N462=1,VALUE(LEFT($H462,2)),"")</f>
        <v/>
      </c>
      <c r="J462">
        <f>IF($N462=1,VALUE(MID($H462,9,2)),"")</f>
        <v/>
      </c>
      <c r="K462">
        <f>IF($N462=1,MOD($J462-$I462,24),0)</f>
        <v/>
      </c>
      <c r="L462">
        <f>IF($N462=1,$E462*24+$I462,"")</f>
        <v/>
      </c>
      <c r="M462">
        <f>IF($N462=1,$L462+$K462,"")</f>
        <v/>
      </c>
      <c r="N462">
        <f>IF(ISNUMBER(SEARCH(" - ",$H462&amp;"")),1,0)</f>
        <v/>
      </c>
      <c r="O462">
        <f>IF(UPPER($H462&amp;"")="LEAVE",1,0)</f>
        <v/>
      </c>
      <c r="P462">
        <f>IF($N462=1,$K462,0)</f>
        <v/>
      </c>
      <c r="Q462">
        <f>IF($N462=0,"",IFERROR($L462-LOOKUP(2,1/(($B$2:$B461=$B462)*($N$2:$N461=1)),$M$2:$M461),""))</f>
        <v/>
      </c>
    </row>
    <row r="463">
      <c r="A463" t="n">
        <v>462</v>
      </c>
      <c r="B463">
        <f>Schedule!$A$68</f>
        <v/>
      </c>
      <c r="C463">
        <f>Schedule!$D$68</f>
        <v/>
      </c>
      <c r="D463">
        <f>Schedule!$F$68</f>
        <v/>
      </c>
      <c r="E463" t="n">
        <v>6</v>
      </c>
      <c r="F463">
        <f>Schedule!$M$1</f>
        <v/>
      </c>
      <c r="G463">
        <f>Schedule!$M$2</f>
        <v/>
      </c>
      <c r="H463">
        <f>Schedule!$M$68</f>
        <v/>
      </c>
      <c r="I463">
        <f>IF($N463=1,VALUE(LEFT($H463,2)),"")</f>
        <v/>
      </c>
      <c r="J463">
        <f>IF($N463=1,VALUE(MID($H463,9,2)),"")</f>
        <v/>
      </c>
      <c r="K463">
        <f>IF($N463=1,MOD($J463-$I463,24),0)</f>
        <v/>
      </c>
      <c r="L463">
        <f>IF($N463=1,$E463*24+$I463,"")</f>
        <v/>
      </c>
      <c r="M463">
        <f>IF($N463=1,$L463+$K463,"")</f>
        <v/>
      </c>
      <c r="N463">
        <f>IF(ISNUMBER(SEARCH(" - ",$H463&amp;"")),1,0)</f>
        <v/>
      </c>
      <c r="O463">
        <f>IF(UPPER($H463&amp;"")="LEAVE",1,0)</f>
        <v/>
      </c>
      <c r="P463">
        <f>IF($N463=1,$K463,0)</f>
        <v/>
      </c>
      <c r="Q463">
        <f>IF($N463=0,"",IFERROR($L463-LOOKUP(2,1/(($B$2:$B462=$B463)*($N$2:$N462=1)),$M$2:$M462),""))</f>
        <v/>
      </c>
    </row>
    <row r="464">
      <c r="A464" t="n">
        <v>463</v>
      </c>
      <c r="B464">
        <f>Schedule!$A$69</f>
        <v/>
      </c>
      <c r="C464">
        <f>Schedule!$D$69</f>
        <v/>
      </c>
      <c r="D464">
        <f>Schedule!$F$69</f>
        <v/>
      </c>
      <c r="E464" t="n">
        <v>0</v>
      </c>
      <c r="F464">
        <f>Schedule!$G$1</f>
        <v/>
      </c>
      <c r="G464">
        <f>Schedule!$G$2</f>
        <v/>
      </c>
      <c r="H464">
        <f>Schedule!$G$69</f>
        <v/>
      </c>
      <c r="I464">
        <f>IF($N464=1,VALUE(LEFT($H464,2)),"")</f>
        <v/>
      </c>
      <c r="J464">
        <f>IF($N464=1,VALUE(MID($H464,9,2)),"")</f>
        <v/>
      </c>
      <c r="K464">
        <f>IF($N464=1,MOD($J464-$I464,24),0)</f>
        <v/>
      </c>
      <c r="L464">
        <f>IF($N464=1,$E464*24+$I464,"")</f>
        <v/>
      </c>
      <c r="M464">
        <f>IF($N464=1,$L464+$K464,"")</f>
        <v/>
      </c>
      <c r="N464">
        <f>IF(ISNUMBER(SEARCH(" - ",$H464&amp;"")),1,0)</f>
        <v/>
      </c>
      <c r="O464">
        <f>IF(UPPER($H464&amp;"")="LEAVE",1,0)</f>
        <v/>
      </c>
      <c r="P464">
        <f>IF($N464=1,$K464,0)</f>
        <v/>
      </c>
      <c r="Q464">
        <f>IF($N464=0,"",IFERROR($L464-'Previous Engine'!$M$68,""))</f>
        <v/>
      </c>
    </row>
    <row r="465">
      <c r="A465" t="n">
        <v>464</v>
      </c>
      <c r="B465">
        <f>Schedule!$A$69</f>
        <v/>
      </c>
      <c r="C465">
        <f>Schedule!$D$69</f>
        <v/>
      </c>
      <c r="D465">
        <f>Schedule!$F$69</f>
        <v/>
      </c>
      <c r="E465" t="n">
        <v>1</v>
      </c>
      <c r="F465">
        <f>Schedule!$H$1</f>
        <v/>
      </c>
      <c r="G465">
        <f>Schedule!$H$2</f>
        <v/>
      </c>
      <c r="H465">
        <f>Schedule!$H$69</f>
        <v/>
      </c>
      <c r="I465">
        <f>IF($N465=1,VALUE(LEFT($H465,2)),"")</f>
        <v/>
      </c>
      <c r="J465">
        <f>IF($N465=1,VALUE(MID($H465,9,2)),"")</f>
        <v/>
      </c>
      <c r="K465">
        <f>IF($N465=1,MOD($J465-$I465,24),0)</f>
        <v/>
      </c>
      <c r="L465">
        <f>IF($N465=1,$E465*24+$I465,"")</f>
        <v/>
      </c>
      <c r="M465">
        <f>IF($N465=1,$L465+$K465,"")</f>
        <v/>
      </c>
      <c r="N465">
        <f>IF(ISNUMBER(SEARCH(" - ",$H465&amp;"")),1,0)</f>
        <v/>
      </c>
      <c r="O465">
        <f>IF(UPPER($H465&amp;"")="LEAVE",1,0)</f>
        <v/>
      </c>
      <c r="P465">
        <f>IF($N465=1,$K465,0)</f>
        <v/>
      </c>
      <c r="Q465">
        <f>IF($N465=0,"",IFERROR($L465-LOOKUP(2,1/(($B$2:$B464=$B465)*($N$2:$N464=1)),$M$2:$M464),""))</f>
        <v/>
      </c>
    </row>
    <row r="466">
      <c r="A466" t="n">
        <v>465</v>
      </c>
      <c r="B466">
        <f>Schedule!$A$69</f>
        <v/>
      </c>
      <c r="C466">
        <f>Schedule!$D$69</f>
        <v/>
      </c>
      <c r="D466">
        <f>Schedule!$F$69</f>
        <v/>
      </c>
      <c r="E466" t="n">
        <v>2</v>
      </c>
      <c r="F466">
        <f>Schedule!$I$1</f>
        <v/>
      </c>
      <c r="G466">
        <f>Schedule!$I$2</f>
        <v/>
      </c>
      <c r="H466">
        <f>Schedule!$I$69</f>
        <v/>
      </c>
      <c r="I466">
        <f>IF($N466=1,VALUE(LEFT($H466,2)),"")</f>
        <v/>
      </c>
      <c r="J466">
        <f>IF($N466=1,VALUE(MID($H466,9,2)),"")</f>
        <v/>
      </c>
      <c r="K466">
        <f>IF($N466=1,MOD($J466-$I466,24),0)</f>
        <v/>
      </c>
      <c r="L466">
        <f>IF($N466=1,$E466*24+$I466,"")</f>
        <v/>
      </c>
      <c r="M466">
        <f>IF($N466=1,$L466+$K466,"")</f>
        <v/>
      </c>
      <c r="N466">
        <f>IF(ISNUMBER(SEARCH(" - ",$H466&amp;"")),1,0)</f>
        <v/>
      </c>
      <c r="O466">
        <f>IF(UPPER($H466&amp;"")="LEAVE",1,0)</f>
        <v/>
      </c>
      <c r="P466">
        <f>IF($N466=1,$K466,0)</f>
        <v/>
      </c>
      <c r="Q466">
        <f>IF($N466=0,"",IFERROR($L466-LOOKUP(2,1/(($B$2:$B465=$B466)*($N$2:$N465=1)),$M$2:$M465),""))</f>
        <v/>
      </c>
    </row>
    <row r="467">
      <c r="A467" t="n">
        <v>466</v>
      </c>
      <c r="B467">
        <f>Schedule!$A$69</f>
        <v/>
      </c>
      <c r="C467">
        <f>Schedule!$D$69</f>
        <v/>
      </c>
      <c r="D467">
        <f>Schedule!$F$69</f>
        <v/>
      </c>
      <c r="E467" t="n">
        <v>3</v>
      </c>
      <c r="F467">
        <f>Schedule!$J$1</f>
        <v/>
      </c>
      <c r="G467">
        <f>Schedule!$J$2</f>
        <v/>
      </c>
      <c r="H467">
        <f>Schedule!$J$69</f>
        <v/>
      </c>
      <c r="I467">
        <f>IF($N467=1,VALUE(LEFT($H467,2)),"")</f>
        <v/>
      </c>
      <c r="J467">
        <f>IF($N467=1,VALUE(MID($H467,9,2)),"")</f>
        <v/>
      </c>
      <c r="K467">
        <f>IF($N467=1,MOD($J467-$I467,24),0)</f>
        <v/>
      </c>
      <c r="L467">
        <f>IF($N467=1,$E467*24+$I467,"")</f>
        <v/>
      </c>
      <c r="M467">
        <f>IF($N467=1,$L467+$K467,"")</f>
        <v/>
      </c>
      <c r="N467">
        <f>IF(ISNUMBER(SEARCH(" - ",$H467&amp;"")),1,0)</f>
        <v/>
      </c>
      <c r="O467">
        <f>IF(UPPER($H467&amp;"")="LEAVE",1,0)</f>
        <v/>
      </c>
      <c r="P467">
        <f>IF($N467=1,$K467,0)</f>
        <v/>
      </c>
      <c r="Q467">
        <f>IF($N467=0,"",IFERROR($L467-LOOKUP(2,1/(($B$2:$B466=$B467)*($N$2:$N466=1)),$M$2:$M466),""))</f>
        <v/>
      </c>
    </row>
    <row r="468">
      <c r="A468" t="n">
        <v>467</v>
      </c>
      <c r="B468">
        <f>Schedule!$A$69</f>
        <v/>
      </c>
      <c r="C468">
        <f>Schedule!$D$69</f>
        <v/>
      </c>
      <c r="D468">
        <f>Schedule!$F$69</f>
        <v/>
      </c>
      <c r="E468" t="n">
        <v>4</v>
      </c>
      <c r="F468">
        <f>Schedule!$K$1</f>
        <v/>
      </c>
      <c r="G468">
        <f>Schedule!$K$2</f>
        <v/>
      </c>
      <c r="H468">
        <f>Schedule!$K$69</f>
        <v/>
      </c>
      <c r="I468">
        <f>IF($N468=1,VALUE(LEFT($H468,2)),"")</f>
        <v/>
      </c>
      <c r="J468">
        <f>IF($N468=1,VALUE(MID($H468,9,2)),"")</f>
        <v/>
      </c>
      <c r="K468">
        <f>IF($N468=1,MOD($J468-$I468,24),0)</f>
        <v/>
      </c>
      <c r="L468">
        <f>IF($N468=1,$E468*24+$I468,"")</f>
        <v/>
      </c>
      <c r="M468">
        <f>IF($N468=1,$L468+$K468,"")</f>
        <v/>
      </c>
      <c r="N468">
        <f>IF(ISNUMBER(SEARCH(" - ",$H468&amp;"")),1,0)</f>
        <v/>
      </c>
      <c r="O468">
        <f>IF(UPPER($H468&amp;"")="LEAVE",1,0)</f>
        <v/>
      </c>
      <c r="P468">
        <f>IF($N468=1,$K468,0)</f>
        <v/>
      </c>
      <c r="Q468">
        <f>IF($N468=0,"",IFERROR($L468-LOOKUP(2,1/(($B$2:$B467=$B468)*($N$2:$N467=1)),$M$2:$M467),""))</f>
        <v/>
      </c>
    </row>
    <row r="469">
      <c r="A469" t="n">
        <v>468</v>
      </c>
      <c r="B469">
        <f>Schedule!$A$69</f>
        <v/>
      </c>
      <c r="C469">
        <f>Schedule!$D$69</f>
        <v/>
      </c>
      <c r="D469">
        <f>Schedule!$F$69</f>
        <v/>
      </c>
      <c r="E469" t="n">
        <v>5</v>
      </c>
      <c r="F469">
        <f>Schedule!$L$1</f>
        <v/>
      </c>
      <c r="G469">
        <f>Schedule!$L$2</f>
        <v/>
      </c>
      <c r="H469">
        <f>Schedule!$L$69</f>
        <v/>
      </c>
      <c r="I469">
        <f>IF($N469=1,VALUE(LEFT($H469,2)),"")</f>
        <v/>
      </c>
      <c r="J469">
        <f>IF($N469=1,VALUE(MID($H469,9,2)),"")</f>
        <v/>
      </c>
      <c r="K469">
        <f>IF($N469=1,MOD($J469-$I469,24),0)</f>
        <v/>
      </c>
      <c r="L469">
        <f>IF($N469=1,$E469*24+$I469,"")</f>
        <v/>
      </c>
      <c r="M469">
        <f>IF($N469=1,$L469+$K469,"")</f>
        <v/>
      </c>
      <c r="N469">
        <f>IF(ISNUMBER(SEARCH(" - ",$H469&amp;"")),1,0)</f>
        <v/>
      </c>
      <c r="O469">
        <f>IF(UPPER($H469&amp;"")="LEAVE",1,0)</f>
        <v/>
      </c>
      <c r="P469">
        <f>IF($N469=1,$K469,0)</f>
        <v/>
      </c>
      <c r="Q469">
        <f>IF($N469=0,"",IFERROR($L469-LOOKUP(2,1/(($B$2:$B468=$B469)*($N$2:$N468=1)),$M$2:$M468),""))</f>
        <v/>
      </c>
    </row>
    <row r="470">
      <c r="A470" t="n">
        <v>469</v>
      </c>
      <c r="B470">
        <f>Schedule!$A$69</f>
        <v/>
      </c>
      <c r="C470">
        <f>Schedule!$D$69</f>
        <v/>
      </c>
      <c r="D470">
        <f>Schedule!$F$69</f>
        <v/>
      </c>
      <c r="E470" t="n">
        <v>6</v>
      </c>
      <c r="F470">
        <f>Schedule!$M$1</f>
        <v/>
      </c>
      <c r="G470">
        <f>Schedule!$M$2</f>
        <v/>
      </c>
      <c r="H470">
        <f>Schedule!$M$69</f>
        <v/>
      </c>
      <c r="I470">
        <f>IF($N470=1,VALUE(LEFT($H470,2)),"")</f>
        <v/>
      </c>
      <c r="J470">
        <f>IF($N470=1,VALUE(MID($H470,9,2)),"")</f>
        <v/>
      </c>
      <c r="K470">
        <f>IF($N470=1,MOD($J470-$I470,24),0)</f>
        <v/>
      </c>
      <c r="L470">
        <f>IF($N470=1,$E470*24+$I470,"")</f>
        <v/>
      </c>
      <c r="M470">
        <f>IF($N470=1,$L470+$K470,"")</f>
        <v/>
      </c>
      <c r="N470">
        <f>IF(ISNUMBER(SEARCH(" - ",$H470&amp;"")),1,0)</f>
        <v/>
      </c>
      <c r="O470">
        <f>IF(UPPER($H470&amp;"")="LEAVE",1,0)</f>
        <v/>
      </c>
      <c r="P470">
        <f>IF($N470=1,$K470,0)</f>
        <v/>
      </c>
      <c r="Q470">
        <f>IF($N470=0,"",IFERROR($L470-LOOKUP(2,1/(($B$2:$B469=$B470)*($N$2:$N469=1)),$M$2:$M469),""))</f>
        <v/>
      </c>
    </row>
    <row r="471">
      <c r="A471" t="n">
        <v>470</v>
      </c>
      <c r="B471">
        <f>Schedule!$A$70</f>
        <v/>
      </c>
      <c r="C471">
        <f>Schedule!$D$70</f>
        <v/>
      </c>
      <c r="D471">
        <f>Schedule!$F$70</f>
        <v/>
      </c>
      <c r="E471" t="n">
        <v>0</v>
      </c>
      <c r="F471">
        <f>Schedule!$G$1</f>
        <v/>
      </c>
      <c r="G471">
        <f>Schedule!$G$2</f>
        <v/>
      </c>
      <c r="H471">
        <f>Schedule!$G$70</f>
        <v/>
      </c>
      <c r="I471">
        <f>IF($N471=1,VALUE(LEFT($H471,2)),"")</f>
        <v/>
      </c>
      <c r="J471">
        <f>IF($N471=1,VALUE(MID($H471,9,2)),"")</f>
        <v/>
      </c>
      <c r="K471">
        <f>IF($N471=1,MOD($J471-$I471,24),0)</f>
        <v/>
      </c>
      <c r="L471">
        <f>IF($N471=1,$E471*24+$I471,"")</f>
        <v/>
      </c>
      <c r="M471">
        <f>IF($N471=1,$L471+$K471,"")</f>
        <v/>
      </c>
      <c r="N471">
        <f>IF(ISNUMBER(SEARCH(" - ",$H471&amp;"")),1,0)</f>
        <v/>
      </c>
      <c r="O471">
        <f>IF(UPPER($H471&amp;"")="LEAVE",1,0)</f>
        <v/>
      </c>
      <c r="P471">
        <f>IF($N471=1,$K471,0)</f>
        <v/>
      </c>
      <c r="Q471">
        <f>IF($N471=0,"",IFERROR($L471-'Previous Engine'!$M$69,""))</f>
        <v/>
      </c>
    </row>
    <row r="472">
      <c r="A472" t="n">
        <v>471</v>
      </c>
      <c r="B472">
        <f>Schedule!$A$70</f>
        <v/>
      </c>
      <c r="C472">
        <f>Schedule!$D$70</f>
        <v/>
      </c>
      <c r="D472">
        <f>Schedule!$F$70</f>
        <v/>
      </c>
      <c r="E472" t="n">
        <v>1</v>
      </c>
      <c r="F472">
        <f>Schedule!$H$1</f>
        <v/>
      </c>
      <c r="G472">
        <f>Schedule!$H$2</f>
        <v/>
      </c>
      <c r="H472">
        <f>Schedule!$H$70</f>
        <v/>
      </c>
      <c r="I472">
        <f>IF($N472=1,VALUE(LEFT($H472,2)),"")</f>
        <v/>
      </c>
      <c r="J472">
        <f>IF($N472=1,VALUE(MID($H472,9,2)),"")</f>
        <v/>
      </c>
      <c r="K472">
        <f>IF($N472=1,MOD($J472-$I472,24),0)</f>
        <v/>
      </c>
      <c r="L472">
        <f>IF($N472=1,$E472*24+$I472,"")</f>
        <v/>
      </c>
      <c r="M472">
        <f>IF($N472=1,$L472+$K472,"")</f>
        <v/>
      </c>
      <c r="N472">
        <f>IF(ISNUMBER(SEARCH(" - ",$H472&amp;"")),1,0)</f>
        <v/>
      </c>
      <c r="O472">
        <f>IF(UPPER($H472&amp;"")="LEAVE",1,0)</f>
        <v/>
      </c>
      <c r="P472">
        <f>IF($N472=1,$K472,0)</f>
        <v/>
      </c>
      <c r="Q472">
        <f>IF($N472=0,"",IFERROR($L472-LOOKUP(2,1/(($B$2:$B471=$B472)*($N$2:$N471=1)),$M$2:$M471),""))</f>
        <v/>
      </c>
    </row>
    <row r="473">
      <c r="A473" t="n">
        <v>472</v>
      </c>
      <c r="B473">
        <f>Schedule!$A$70</f>
        <v/>
      </c>
      <c r="C473">
        <f>Schedule!$D$70</f>
        <v/>
      </c>
      <c r="D473">
        <f>Schedule!$F$70</f>
        <v/>
      </c>
      <c r="E473" t="n">
        <v>2</v>
      </c>
      <c r="F473">
        <f>Schedule!$I$1</f>
        <v/>
      </c>
      <c r="G473">
        <f>Schedule!$I$2</f>
        <v/>
      </c>
      <c r="H473">
        <f>Schedule!$I$70</f>
        <v/>
      </c>
      <c r="I473">
        <f>IF($N473=1,VALUE(LEFT($H473,2)),"")</f>
        <v/>
      </c>
      <c r="J473">
        <f>IF($N473=1,VALUE(MID($H473,9,2)),"")</f>
        <v/>
      </c>
      <c r="K473">
        <f>IF($N473=1,MOD($J473-$I473,24),0)</f>
        <v/>
      </c>
      <c r="L473">
        <f>IF($N473=1,$E473*24+$I473,"")</f>
        <v/>
      </c>
      <c r="M473">
        <f>IF($N473=1,$L473+$K473,"")</f>
        <v/>
      </c>
      <c r="N473">
        <f>IF(ISNUMBER(SEARCH(" - ",$H473&amp;"")),1,0)</f>
        <v/>
      </c>
      <c r="O473">
        <f>IF(UPPER($H473&amp;"")="LEAVE",1,0)</f>
        <v/>
      </c>
      <c r="P473">
        <f>IF($N473=1,$K473,0)</f>
        <v/>
      </c>
      <c r="Q473">
        <f>IF($N473=0,"",IFERROR($L473-LOOKUP(2,1/(($B$2:$B472=$B473)*($N$2:$N472=1)),$M$2:$M472),""))</f>
        <v/>
      </c>
    </row>
    <row r="474">
      <c r="A474" t="n">
        <v>473</v>
      </c>
      <c r="B474">
        <f>Schedule!$A$70</f>
        <v/>
      </c>
      <c r="C474">
        <f>Schedule!$D$70</f>
        <v/>
      </c>
      <c r="D474">
        <f>Schedule!$F$70</f>
        <v/>
      </c>
      <c r="E474" t="n">
        <v>3</v>
      </c>
      <c r="F474">
        <f>Schedule!$J$1</f>
        <v/>
      </c>
      <c r="G474">
        <f>Schedule!$J$2</f>
        <v/>
      </c>
      <c r="H474">
        <f>Schedule!$J$70</f>
        <v/>
      </c>
      <c r="I474">
        <f>IF($N474=1,VALUE(LEFT($H474,2)),"")</f>
        <v/>
      </c>
      <c r="J474">
        <f>IF($N474=1,VALUE(MID($H474,9,2)),"")</f>
        <v/>
      </c>
      <c r="K474">
        <f>IF($N474=1,MOD($J474-$I474,24),0)</f>
        <v/>
      </c>
      <c r="L474">
        <f>IF($N474=1,$E474*24+$I474,"")</f>
        <v/>
      </c>
      <c r="M474">
        <f>IF($N474=1,$L474+$K474,"")</f>
        <v/>
      </c>
      <c r="N474">
        <f>IF(ISNUMBER(SEARCH(" - ",$H474&amp;"")),1,0)</f>
        <v/>
      </c>
      <c r="O474">
        <f>IF(UPPER($H474&amp;"")="LEAVE",1,0)</f>
        <v/>
      </c>
      <c r="P474">
        <f>IF($N474=1,$K474,0)</f>
        <v/>
      </c>
      <c r="Q474">
        <f>IF($N474=0,"",IFERROR($L474-LOOKUP(2,1/(($B$2:$B473=$B474)*($N$2:$N473=1)),$M$2:$M473),""))</f>
        <v/>
      </c>
    </row>
    <row r="475">
      <c r="A475" t="n">
        <v>474</v>
      </c>
      <c r="B475">
        <f>Schedule!$A$70</f>
        <v/>
      </c>
      <c r="C475">
        <f>Schedule!$D$70</f>
        <v/>
      </c>
      <c r="D475">
        <f>Schedule!$F$70</f>
        <v/>
      </c>
      <c r="E475" t="n">
        <v>4</v>
      </c>
      <c r="F475">
        <f>Schedule!$K$1</f>
        <v/>
      </c>
      <c r="G475">
        <f>Schedule!$K$2</f>
        <v/>
      </c>
      <c r="H475">
        <f>Schedule!$K$70</f>
        <v/>
      </c>
      <c r="I475">
        <f>IF($N475=1,VALUE(LEFT($H475,2)),"")</f>
        <v/>
      </c>
      <c r="J475">
        <f>IF($N475=1,VALUE(MID($H475,9,2)),"")</f>
        <v/>
      </c>
      <c r="K475">
        <f>IF($N475=1,MOD($J475-$I475,24),0)</f>
        <v/>
      </c>
      <c r="L475">
        <f>IF($N475=1,$E475*24+$I475,"")</f>
        <v/>
      </c>
      <c r="M475">
        <f>IF($N475=1,$L475+$K475,"")</f>
        <v/>
      </c>
      <c r="N475">
        <f>IF(ISNUMBER(SEARCH(" - ",$H475&amp;"")),1,0)</f>
        <v/>
      </c>
      <c r="O475">
        <f>IF(UPPER($H475&amp;"")="LEAVE",1,0)</f>
        <v/>
      </c>
      <c r="P475">
        <f>IF($N475=1,$K475,0)</f>
        <v/>
      </c>
      <c r="Q475">
        <f>IF($N475=0,"",IFERROR($L475-LOOKUP(2,1/(($B$2:$B474=$B475)*($N$2:$N474=1)),$M$2:$M474),""))</f>
        <v/>
      </c>
    </row>
    <row r="476">
      <c r="A476" t="n">
        <v>475</v>
      </c>
      <c r="B476">
        <f>Schedule!$A$70</f>
        <v/>
      </c>
      <c r="C476">
        <f>Schedule!$D$70</f>
        <v/>
      </c>
      <c r="D476">
        <f>Schedule!$F$70</f>
        <v/>
      </c>
      <c r="E476" t="n">
        <v>5</v>
      </c>
      <c r="F476">
        <f>Schedule!$L$1</f>
        <v/>
      </c>
      <c r="G476">
        <f>Schedule!$L$2</f>
        <v/>
      </c>
      <c r="H476">
        <f>Schedule!$L$70</f>
        <v/>
      </c>
      <c r="I476">
        <f>IF($N476=1,VALUE(LEFT($H476,2)),"")</f>
        <v/>
      </c>
      <c r="J476">
        <f>IF($N476=1,VALUE(MID($H476,9,2)),"")</f>
        <v/>
      </c>
      <c r="K476">
        <f>IF($N476=1,MOD($J476-$I476,24),0)</f>
        <v/>
      </c>
      <c r="L476">
        <f>IF($N476=1,$E476*24+$I476,"")</f>
        <v/>
      </c>
      <c r="M476">
        <f>IF($N476=1,$L476+$K476,"")</f>
        <v/>
      </c>
      <c r="N476">
        <f>IF(ISNUMBER(SEARCH(" - ",$H476&amp;"")),1,0)</f>
        <v/>
      </c>
      <c r="O476">
        <f>IF(UPPER($H476&amp;"")="LEAVE",1,0)</f>
        <v/>
      </c>
      <c r="P476">
        <f>IF($N476=1,$K476,0)</f>
        <v/>
      </c>
      <c r="Q476">
        <f>IF($N476=0,"",IFERROR($L476-LOOKUP(2,1/(($B$2:$B475=$B476)*($N$2:$N475=1)),$M$2:$M475),""))</f>
        <v/>
      </c>
    </row>
    <row r="477">
      <c r="A477" t="n">
        <v>476</v>
      </c>
      <c r="B477">
        <f>Schedule!$A$70</f>
        <v/>
      </c>
      <c r="C477">
        <f>Schedule!$D$70</f>
        <v/>
      </c>
      <c r="D477">
        <f>Schedule!$F$70</f>
        <v/>
      </c>
      <c r="E477" t="n">
        <v>6</v>
      </c>
      <c r="F477">
        <f>Schedule!$M$1</f>
        <v/>
      </c>
      <c r="G477">
        <f>Schedule!$M$2</f>
        <v/>
      </c>
      <c r="H477">
        <f>Schedule!$M$70</f>
        <v/>
      </c>
      <c r="I477">
        <f>IF($N477=1,VALUE(LEFT($H477,2)),"")</f>
        <v/>
      </c>
      <c r="J477">
        <f>IF($N477=1,VALUE(MID($H477,9,2)),"")</f>
        <v/>
      </c>
      <c r="K477">
        <f>IF($N477=1,MOD($J477-$I477,24),0)</f>
        <v/>
      </c>
      <c r="L477">
        <f>IF($N477=1,$E477*24+$I477,"")</f>
        <v/>
      </c>
      <c r="M477">
        <f>IF($N477=1,$L477+$K477,"")</f>
        <v/>
      </c>
      <c r="N477">
        <f>IF(ISNUMBER(SEARCH(" - ",$H477&amp;"")),1,0)</f>
        <v/>
      </c>
      <c r="O477">
        <f>IF(UPPER($H477&amp;"")="LEAVE",1,0)</f>
        <v/>
      </c>
      <c r="P477">
        <f>IF($N477=1,$K477,0)</f>
        <v/>
      </c>
      <c r="Q477">
        <f>IF($N477=0,"",IFERROR($L477-LOOKUP(2,1/(($B$2:$B476=$B477)*($N$2:$N476=1)),$M$2:$M476),""))</f>
        <v/>
      </c>
    </row>
    <row r="478">
      <c r="A478" t="n">
        <v>477</v>
      </c>
      <c r="B478">
        <f>Schedule!$A$71</f>
        <v/>
      </c>
      <c r="C478">
        <f>Schedule!$D$71</f>
        <v/>
      </c>
      <c r="D478">
        <f>Schedule!$F$71</f>
        <v/>
      </c>
      <c r="E478" t="n">
        <v>0</v>
      </c>
      <c r="F478">
        <f>Schedule!$G$1</f>
        <v/>
      </c>
      <c r="G478">
        <f>Schedule!$G$2</f>
        <v/>
      </c>
      <c r="H478">
        <f>Schedule!$G$71</f>
        <v/>
      </c>
      <c r="I478">
        <f>IF($N478=1,VALUE(LEFT($H478,2)),"")</f>
        <v/>
      </c>
      <c r="J478">
        <f>IF($N478=1,VALUE(MID($H478,9,2)),"")</f>
        <v/>
      </c>
      <c r="K478">
        <f>IF($N478=1,MOD($J478-$I478,24),0)</f>
        <v/>
      </c>
      <c r="L478">
        <f>IF($N478=1,$E478*24+$I478,"")</f>
        <v/>
      </c>
      <c r="M478">
        <f>IF($N478=1,$L478+$K478,"")</f>
        <v/>
      </c>
      <c r="N478">
        <f>IF(ISNUMBER(SEARCH(" - ",$H478&amp;"")),1,0)</f>
        <v/>
      </c>
      <c r="O478">
        <f>IF(UPPER($H478&amp;"")="LEAVE",1,0)</f>
        <v/>
      </c>
      <c r="P478">
        <f>IF($N478=1,$K478,0)</f>
        <v/>
      </c>
      <c r="Q478">
        <f>IF($N478=0,"",IFERROR($L478-'Previous Engine'!$M$70,""))</f>
        <v/>
      </c>
    </row>
    <row r="479">
      <c r="A479" t="n">
        <v>478</v>
      </c>
      <c r="B479">
        <f>Schedule!$A$71</f>
        <v/>
      </c>
      <c r="C479">
        <f>Schedule!$D$71</f>
        <v/>
      </c>
      <c r="D479">
        <f>Schedule!$F$71</f>
        <v/>
      </c>
      <c r="E479" t="n">
        <v>1</v>
      </c>
      <c r="F479">
        <f>Schedule!$H$1</f>
        <v/>
      </c>
      <c r="G479">
        <f>Schedule!$H$2</f>
        <v/>
      </c>
      <c r="H479">
        <f>Schedule!$H$71</f>
        <v/>
      </c>
      <c r="I479">
        <f>IF($N479=1,VALUE(LEFT($H479,2)),"")</f>
        <v/>
      </c>
      <c r="J479">
        <f>IF($N479=1,VALUE(MID($H479,9,2)),"")</f>
        <v/>
      </c>
      <c r="K479">
        <f>IF($N479=1,MOD($J479-$I479,24),0)</f>
        <v/>
      </c>
      <c r="L479">
        <f>IF($N479=1,$E479*24+$I479,"")</f>
        <v/>
      </c>
      <c r="M479">
        <f>IF($N479=1,$L479+$K479,"")</f>
        <v/>
      </c>
      <c r="N479">
        <f>IF(ISNUMBER(SEARCH(" - ",$H479&amp;"")),1,0)</f>
        <v/>
      </c>
      <c r="O479">
        <f>IF(UPPER($H479&amp;"")="LEAVE",1,0)</f>
        <v/>
      </c>
      <c r="P479">
        <f>IF($N479=1,$K479,0)</f>
        <v/>
      </c>
      <c r="Q479">
        <f>IF($N479=0,"",IFERROR($L479-LOOKUP(2,1/(($B$2:$B478=$B479)*($N$2:$N478=1)),$M$2:$M478),""))</f>
        <v/>
      </c>
    </row>
    <row r="480">
      <c r="A480" t="n">
        <v>479</v>
      </c>
      <c r="B480">
        <f>Schedule!$A$71</f>
        <v/>
      </c>
      <c r="C480">
        <f>Schedule!$D$71</f>
        <v/>
      </c>
      <c r="D480">
        <f>Schedule!$F$71</f>
        <v/>
      </c>
      <c r="E480" t="n">
        <v>2</v>
      </c>
      <c r="F480">
        <f>Schedule!$I$1</f>
        <v/>
      </c>
      <c r="G480">
        <f>Schedule!$I$2</f>
        <v/>
      </c>
      <c r="H480">
        <f>Schedule!$I$71</f>
        <v/>
      </c>
      <c r="I480">
        <f>IF($N480=1,VALUE(LEFT($H480,2)),"")</f>
        <v/>
      </c>
      <c r="J480">
        <f>IF($N480=1,VALUE(MID($H480,9,2)),"")</f>
        <v/>
      </c>
      <c r="K480">
        <f>IF($N480=1,MOD($J480-$I480,24),0)</f>
        <v/>
      </c>
      <c r="L480">
        <f>IF($N480=1,$E480*24+$I480,"")</f>
        <v/>
      </c>
      <c r="M480">
        <f>IF($N480=1,$L480+$K480,"")</f>
        <v/>
      </c>
      <c r="N480">
        <f>IF(ISNUMBER(SEARCH(" - ",$H480&amp;"")),1,0)</f>
        <v/>
      </c>
      <c r="O480">
        <f>IF(UPPER($H480&amp;"")="LEAVE",1,0)</f>
        <v/>
      </c>
      <c r="P480">
        <f>IF($N480=1,$K480,0)</f>
        <v/>
      </c>
      <c r="Q480">
        <f>IF($N480=0,"",IFERROR($L480-LOOKUP(2,1/(($B$2:$B479=$B480)*($N$2:$N479=1)),$M$2:$M479),""))</f>
        <v/>
      </c>
    </row>
    <row r="481">
      <c r="A481" t="n">
        <v>480</v>
      </c>
      <c r="B481">
        <f>Schedule!$A$71</f>
        <v/>
      </c>
      <c r="C481">
        <f>Schedule!$D$71</f>
        <v/>
      </c>
      <c r="D481">
        <f>Schedule!$F$71</f>
        <v/>
      </c>
      <c r="E481" t="n">
        <v>3</v>
      </c>
      <c r="F481">
        <f>Schedule!$J$1</f>
        <v/>
      </c>
      <c r="G481">
        <f>Schedule!$J$2</f>
        <v/>
      </c>
      <c r="H481">
        <f>Schedule!$J$71</f>
        <v/>
      </c>
      <c r="I481">
        <f>IF($N481=1,VALUE(LEFT($H481,2)),"")</f>
        <v/>
      </c>
      <c r="J481">
        <f>IF($N481=1,VALUE(MID($H481,9,2)),"")</f>
        <v/>
      </c>
      <c r="K481">
        <f>IF($N481=1,MOD($J481-$I481,24),0)</f>
        <v/>
      </c>
      <c r="L481">
        <f>IF($N481=1,$E481*24+$I481,"")</f>
        <v/>
      </c>
      <c r="M481">
        <f>IF($N481=1,$L481+$K481,"")</f>
        <v/>
      </c>
      <c r="N481">
        <f>IF(ISNUMBER(SEARCH(" - ",$H481&amp;"")),1,0)</f>
        <v/>
      </c>
      <c r="O481">
        <f>IF(UPPER($H481&amp;"")="LEAVE",1,0)</f>
        <v/>
      </c>
      <c r="P481">
        <f>IF($N481=1,$K481,0)</f>
        <v/>
      </c>
      <c r="Q481">
        <f>IF($N481=0,"",IFERROR($L481-LOOKUP(2,1/(($B$2:$B480=$B481)*($N$2:$N480=1)),$M$2:$M480),""))</f>
        <v/>
      </c>
    </row>
    <row r="482">
      <c r="A482" t="n">
        <v>481</v>
      </c>
      <c r="B482">
        <f>Schedule!$A$71</f>
        <v/>
      </c>
      <c r="C482">
        <f>Schedule!$D$71</f>
        <v/>
      </c>
      <c r="D482">
        <f>Schedule!$F$71</f>
        <v/>
      </c>
      <c r="E482" t="n">
        <v>4</v>
      </c>
      <c r="F482">
        <f>Schedule!$K$1</f>
        <v/>
      </c>
      <c r="G482">
        <f>Schedule!$K$2</f>
        <v/>
      </c>
      <c r="H482">
        <f>Schedule!$K$71</f>
        <v/>
      </c>
      <c r="I482">
        <f>IF($N482=1,VALUE(LEFT($H482,2)),"")</f>
        <v/>
      </c>
      <c r="J482">
        <f>IF($N482=1,VALUE(MID($H482,9,2)),"")</f>
        <v/>
      </c>
      <c r="K482">
        <f>IF($N482=1,MOD($J482-$I482,24),0)</f>
        <v/>
      </c>
      <c r="L482">
        <f>IF($N482=1,$E482*24+$I482,"")</f>
        <v/>
      </c>
      <c r="M482">
        <f>IF($N482=1,$L482+$K482,"")</f>
        <v/>
      </c>
      <c r="N482">
        <f>IF(ISNUMBER(SEARCH(" - ",$H482&amp;"")),1,0)</f>
        <v/>
      </c>
      <c r="O482">
        <f>IF(UPPER($H482&amp;"")="LEAVE",1,0)</f>
        <v/>
      </c>
      <c r="P482">
        <f>IF($N482=1,$K482,0)</f>
        <v/>
      </c>
      <c r="Q482">
        <f>IF($N482=0,"",IFERROR($L482-LOOKUP(2,1/(($B$2:$B481=$B482)*($N$2:$N481=1)),$M$2:$M481),""))</f>
        <v/>
      </c>
    </row>
    <row r="483">
      <c r="A483" t="n">
        <v>482</v>
      </c>
      <c r="B483">
        <f>Schedule!$A$71</f>
        <v/>
      </c>
      <c r="C483">
        <f>Schedule!$D$71</f>
        <v/>
      </c>
      <c r="D483">
        <f>Schedule!$F$71</f>
        <v/>
      </c>
      <c r="E483" t="n">
        <v>5</v>
      </c>
      <c r="F483">
        <f>Schedule!$L$1</f>
        <v/>
      </c>
      <c r="G483">
        <f>Schedule!$L$2</f>
        <v/>
      </c>
      <c r="H483">
        <f>Schedule!$L$71</f>
        <v/>
      </c>
      <c r="I483">
        <f>IF($N483=1,VALUE(LEFT($H483,2)),"")</f>
        <v/>
      </c>
      <c r="J483">
        <f>IF($N483=1,VALUE(MID($H483,9,2)),"")</f>
        <v/>
      </c>
      <c r="K483">
        <f>IF($N483=1,MOD($J483-$I483,24),0)</f>
        <v/>
      </c>
      <c r="L483">
        <f>IF($N483=1,$E483*24+$I483,"")</f>
        <v/>
      </c>
      <c r="M483">
        <f>IF($N483=1,$L483+$K483,"")</f>
        <v/>
      </c>
      <c r="N483">
        <f>IF(ISNUMBER(SEARCH(" - ",$H483&amp;"")),1,0)</f>
        <v/>
      </c>
      <c r="O483">
        <f>IF(UPPER($H483&amp;"")="LEAVE",1,0)</f>
        <v/>
      </c>
      <c r="P483">
        <f>IF($N483=1,$K483,0)</f>
        <v/>
      </c>
      <c r="Q483">
        <f>IF($N483=0,"",IFERROR($L483-LOOKUP(2,1/(($B$2:$B482=$B483)*($N$2:$N482=1)),$M$2:$M482),""))</f>
        <v/>
      </c>
    </row>
    <row r="484">
      <c r="A484" t="n">
        <v>483</v>
      </c>
      <c r="B484">
        <f>Schedule!$A$71</f>
        <v/>
      </c>
      <c r="C484">
        <f>Schedule!$D$71</f>
        <v/>
      </c>
      <c r="D484">
        <f>Schedule!$F$71</f>
        <v/>
      </c>
      <c r="E484" t="n">
        <v>6</v>
      </c>
      <c r="F484">
        <f>Schedule!$M$1</f>
        <v/>
      </c>
      <c r="G484">
        <f>Schedule!$M$2</f>
        <v/>
      </c>
      <c r="H484">
        <f>Schedule!$M$71</f>
        <v/>
      </c>
      <c r="I484">
        <f>IF($N484=1,VALUE(LEFT($H484,2)),"")</f>
        <v/>
      </c>
      <c r="J484">
        <f>IF($N484=1,VALUE(MID($H484,9,2)),"")</f>
        <v/>
      </c>
      <c r="K484">
        <f>IF($N484=1,MOD($J484-$I484,24),0)</f>
        <v/>
      </c>
      <c r="L484">
        <f>IF($N484=1,$E484*24+$I484,"")</f>
        <v/>
      </c>
      <c r="M484">
        <f>IF($N484=1,$L484+$K484,"")</f>
        <v/>
      </c>
      <c r="N484">
        <f>IF(ISNUMBER(SEARCH(" - ",$H484&amp;"")),1,0)</f>
        <v/>
      </c>
      <c r="O484">
        <f>IF(UPPER($H484&amp;"")="LEAVE",1,0)</f>
        <v/>
      </c>
      <c r="P484">
        <f>IF($N484=1,$K484,0)</f>
        <v/>
      </c>
      <c r="Q484">
        <f>IF($N484=0,"",IFERROR($L484-LOOKUP(2,1/(($B$2:$B483=$B484)*($N$2:$N483=1)),$M$2:$M483),""))</f>
        <v/>
      </c>
    </row>
    <row r="485">
      <c r="A485" t="n">
        <v>484</v>
      </c>
      <c r="B485">
        <f>Schedule!$A$72</f>
        <v/>
      </c>
      <c r="C485">
        <f>Schedule!$D$72</f>
        <v/>
      </c>
      <c r="D485">
        <f>Schedule!$F$72</f>
        <v/>
      </c>
      <c r="E485" t="n">
        <v>0</v>
      </c>
      <c r="F485">
        <f>Schedule!$G$1</f>
        <v/>
      </c>
      <c r="G485">
        <f>Schedule!$G$2</f>
        <v/>
      </c>
      <c r="H485">
        <f>Schedule!$G$72</f>
        <v/>
      </c>
      <c r="I485">
        <f>IF($N485=1,VALUE(LEFT($H485,2)),"")</f>
        <v/>
      </c>
      <c r="J485">
        <f>IF($N485=1,VALUE(MID($H485,9,2)),"")</f>
        <v/>
      </c>
      <c r="K485">
        <f>IF($N485=1,MOD($J485-$I485,24),0)</f>
        <v/>
      </c>
      <c r="L485">
        <f>IF($N485=1,$E485*24+$I485,"")</f>
        <v/>
      </c>
      <c r="M485">
        <f>IF($N485=1,$L485+$K485,"")</f>
        <v/>
      </c>
      <c r="N485">
        <f>IF(ISNUMBER(SEARCH(" - ",$H485&amp;"")),1,0)</f>
        <v/>
      </c>
      <c r="O485">
        <f>IF(UPPER($H485&amp;"")="LEAVE",1,0)</f>
        <v/>
      </c>
      <c r="P485">
        <f>IF($N485=1,$K485,0)</f>
        <v/>
      </c>
      <c r="Q485">
        <f>IF($N485=0,"",IFERROR($L485-'Previous Engine'!$M$71,""))</f>
        <v/>
      </c>
    </row>
    <row r="486">
      <c r="A486" t="n">
        <v>485</v>
      </c>
      <c r="B486">
        <f>Schedule!$A$72</f>
        <v/>
      </c>
      <c r="C486">
        <f>Schedule!$D$72</f>
        <v/>
      </c>
      <c r="D486">
        <f>Schedule!$F$72</f>
        <v/>
      </c>
      <c r="E486" t="n">
        <v>1</v>
      </c>
      <c r="F486">
        <f>Schedule!$H$1</f>
        <v/>
      </c>
      <c r="G486">
        <f>Schedule!$H$2</f>
        <v/>
      </c>
      <c r="H486">
        <f>Schedule!$H$72</f>
        <v/>
      </c>
      <c r="I486">
        <f>IF($N486=1,VALUE(LEFT($H486,2)),"")</f>
        <v/>
      </c>
      <c r="J486">
        <f>IF($N486=1,VALUE(MID($H486,9,2)),"")</f>
        <v/>
      </c>
      <c r="K486">
        <f>IF($N486=1,MOD($J486-$I486,24),0)</f>
        <v/>
      </c>
      <c r="L486">
        <f>IF($N486=1,$E486*24+$I486,"")</f>
        <v/>
      </c>
      <c r="M486">
        <f>IF($N486=1,$L486+$K486,"")</f>
        <v/>
      </c>
      <c r="N486">
        <f>IF(ISNUMBER(SEARCH(" - ",$H486&amp;"")),1,0)</f>
        <v/>
      </c>
      <c r="O486">
        <f>IF(UPPER($H486&amp;"")="LEAVE",1,0)</f>
        <v/>
      </c>
      <c r="P486">
        <f>IF($N486=1,$K486,0)</f>
        <v/>
      </c>
      <c r="Q486">
        <f>IF($N486=0,"",IFERROR($L486-LOOKUP(2,1/(($B$2:$B485=$B486)*($N$2:$N485=1)),$M$2:$M485),""))</f>
        <v/>
      </c>
    </row>
    <row r="487">
      <c r="A487" t="n">
        <v>486</v>
      </c>
      <c r="B487">
        <f>Schedule!$A$72</f>
        <v/>
      </c>
      <c r="C487">
        <f>Schedule!$D$72</f>
        <v/>
      </c>
      <c r="D487">
        <f>Schedule!$F$72</f>
        <v/>
      </c>
      <c r="E487" t="n">
        <v>2</v>
      </c>
      <c r="F487">
        <f>Schedule!$I$1</f>
        <v/>
      </c>
      <c r="G487">
        <f>Schedule!$I$2</f>
        <v/>
      </c>
      <c r="H487">
        <f>Schedule!$I$72</f>
        <v/>
      </c>
      <c r="I487">
        <f>IF($N487=1,VALUE(LEFT($H487,2)),"")</f>
        <v/>
      </c>
      <c r="J487">
        <f>IF($N487=1,VALUE(MID($H487,9,2)),"")</f>
        <v/>
      </c>
      <c r="K487">
        <f>IF($N487=1,MOD($J487-$I487,24),0)</f>
        <v/>
      </c>
      <c r="L487">
        <f>IF($N487=1,$E487*24+$I487,"")</f>
        <v/>
      </c>
      <c r="M487">
        <f>IF($N487=1,$L487+$K487,"")</f>
        <v/>
      </c>
      <c r="N487">
        <f>IF(ISNUMBER(SEARCH(" - ",$H487&amp;"")),1,0)</f>
        <v/>
      </c>
      <c r="O487">
        <f>IF(UPPER($H487&amp;"")="LEAVE",1,0)</f>
        <v/>
      </c>
      <c r="P487">
        <f>IF($N487=1,$K487,0)</f>
        <v/>
      </c>
      <c r="Q487">
        <f>IF($N487=0,"",IFERROR($L487-LOOKUP(2,1/(($B$2:$B486=$B487)*($N$2:$N486=1)),$M$2:$M486),""))</f>
        <v/>
      </c>
    </row>
    <row r="488">
      <c r="A488" t="n">
        <v>487</v>
      </c>
      <c r="B488">
        <f>Schedule!$A$72</f>
        <v/>
      </c>
      <c r="C488">
        <f>Schedule!$D$72</f>
        <v/>
      </c>
      <c r="D488">
        <f>Schedule!$F$72</f>
        <v/>
      </c>
      <c r="E488" t="n">
        <v>3</v>
      </c>
      <c r="F488">
        <f>Schedule!$J$1</f>
        <v/>
      </c>
      <c r="G488">
        <f>Schedule!$J$2</f>
        <v/>
      </c>
      <c r="H488">
        <f>Schedule!$J$72</f>
        <v/>
      </c>
      <c r="I488">
        <f>IF($N488=1,VALUE(LEFT($H488,2)),"")</f>
        <v/>
      </c>
      <c r="J488">
        <f>IF($N488=1,VALUE(MID($H488,9,2)),"")</f>
        <v/>
      </c>
      <c r="K488">
        <f>IF($N488=1,MOD($J488-$I488,24),0)</f>
        <v/>
      </c>
      <c r="L488">
        <f>IF($N488=1,$E488*24+$I488,"")</f>
        <v/>
      </c>
      <c r="M488">
        <f>IF($N488=1,$L488+$K488,"")</f>
        <v/>
      </c>
      <c r="N488">
        <f>IF(ISNUMBER(SEARCH(" - ",$H488&amp;"")),1,0)</f>
        <v/>
      </c>
      <c r="O488">
        <f>IF(UPPER($H488&amp;"")="LEAVE",1,0)</f>
        <v/>
      </c>
      <c r="P488">
        <f>IF($N488=1,$K488,0)</f>
        <v/>
      </c>
      <c r="Q488">
        <f>IF($N488=0,"",IFERROR($L488-LOOKUP(2,1/(($B$2:$B487=$B488)*($N$2:$N487=1)),$M$2:$M487),""))</f>
        <v/>
      </c>
    </row>
    <row r="489">
      <c r="A489" t="n">
        <v>488</v>
      </c>
      <c r="B489">
        <f>Schedule!$A$72</f>
        <v/>
      </c>
      <c r="C489">
        <f>Schedule!$D$72</f>
        <v/>
      </c>
      <c r="D489">
        <f>Schedule!$F$72</f>
        <v/>
      </c>
      <c r="E489" t="n">
        <v>4</v>
      </c>
      <c r="F489">
        <f>Schedule!$K$1</f>
        <v/>
      </c>
      <c r="G489">
        <f>Schedule!$K$2</f>
        <v/>
      </c>
      <c r="H489">
        <f>Schedule!$K$72</f>
        <v/>
      </c>
      <c r="I489">
        <f>IF($N489=1,VALUE(LEFT($H489,2)),"")</f>
        <v/>
      </c>
      <c r="J489">
        <f>IF($N489=1,VALUE(MID($H489,9,2)),"")</f>
        <v/>
      </c>
      <c r="K489">
        <f>IF($N489=1,MOD($J489-$I489,24),0)</f>
        <v/>
      </c>
      <c r="L489">
        <f>IF($N489=1,$E489*24+$I489,"")</f>
        <v/>
      </c>
      <c r="M489">
        <f>IF($N489=1,$L489+$K489,"")</f>
        <v/>
      </c>
      <c r="N489">
        <f>IF(ISNUMBER(SEARCH(" - ",$H489&amp;"")),1,0)</f>
        <v/>
      </c>
      <c r="O489">
        <f>IF(UPPER($H489&amp;"")="LEAVE",1,0)</f>
        <v/>
      </c>
      <c r="P489">
        <f>IF($N489=1,$K489,0)</f>
        <v/>
      </c>
      <c r="Q489">
        <f>IF($N489=0,"",IFERROR($L489-LOOKUP(2,1/(($B$2:$B488=$B489)*($N$2:$N488=1)),$M$2:$M488),""))</f>
        <v/>
      </c>
    </row>
    <row r="490">
      <c r="A490" t="n">
        <v>489</v>
      </c>
      <c r="B490">
        <f>Schedule!$A$72</f>
        <v/>
      </c>
      <c r="C490">
        <f>Schedule!$D$72</f>
        <v/>
      </c>
      <c r="D490">
        <f>Schedule!$F$72</f>
        <v/>
      </c>
      <c r="E490" t="n">
        <v>5</v>
      </c>
      <c r="F490">
        <f>Schedule!$L$1</f>
        <v/>
      </c>
      <c r="G490">
        <f>Schedule!$L$2</f>
        <v/>
      </c>
      <c r="H490">
        <f>Schedule!$L$72</f>
        <v/>
      </c>
      <c r="I490">
        <f>IF($N490=1,VALUE(LEFT($H490,2)),"")</f>
        <v/>
      </c>
      <c r="J490">
        <f>IF($N490=1,VALUE(MID($H490,9,2)),"")</f>
        <v/>
      </c>
      <c r="K490">
        <f>IF($N490=1,MOD($J490-$I490,24),0)</f>
        <v/>
      </c>
      <c r="L490">
        <f>IF($N490=1,$E490*24+$I490,"")</f>
        <v/>
      </c>
      <c r="M490">
        <f>IF($N490=1,$L490+$K490,"")</f>
        <v/>
      </c>
      <c r="N490">
        <f>IF(ISNUMBER(SEARCH(" - ",$H490&amp;"")),1,0)</f>
        <v/>
      </c>
      <c r="O490">
        <f>IF(UPPER($H490&amp;"")="LEAVE",1,0)</f>
        <v/>
      </c>
      <c r="P490">
        <f>IF($N490=1,$K490,0)</f>
        <v/>
      </c>
      <c r="Q490">
        <f>IF($N490=0,"",IFERROR($L490-LOOKUP(2,1/(($B$2:$B489=$B490)*($N$2:$N489=1)),$M$2:$M489),""))</f>
        <v/>
      </c>
    </row>
    <row r="491">
      <c r="A491" t="n">
        <v>490</v>
      </c>
      <c r="B491">
        <f>Schedule!$A$72</f>
        <v/>
      </c>
      <c r="C491">
        <f>Schedule!$D$72</f>
        <v/>
      </c>
      <c r="D491">
        <f>Schedule!$F$72</f>
        <v/>
      </c>
      <c r="E491" t="n">
        <v>6</v>
      </c>
      <c r="F491">
        <f>Schedule!$M$1</f>
        <v/>
      </c>
      <c r="G491">
        <f>Schedule!$M$2</f>
        <v/>
      </c>
      <c r="H491">
        <f>Schedule!$M$72</f>
        <v/>
      </c>
      <c r="I491">
        <f>IF($N491=1,VALUE(LEFT($H491,2)),"")</f>
        <v/>
      </c>
      <c r="J491">
        <f>IF($N491=1,VALUE(MID($H491,9,2)),"")</f>
        <v/>
      </c>
      <c r="K491">
        <f>IF($N491=1,MOD($J491-$I491,24),0)</f>
        <v/>
      </c>
      <c r="L491">
        <f>IF($N491=1,$E491*24+$I491,"")</f>
        <v/>
      </c>
      <c r="M491">
        <f>IF($N491=1,$L491+$K491,"")</f>
        <v/>
      </c>
      <c r="N491">
        <f>IF(ISNUMBER(SEARCH(" - ",$H491&amp;"")),1,0)</f>
        <v/>
      </c>
      <c r="O491">
        <f>IF(UPPER($H491&amp;"")="LEAVE",1,0)</f>
        <v/>
      </c>
      <c r="P491">
        <f>IF($N491=1,$K491,0)</f>
        <v/>
      </c>
      <c r="Q491">
        <f>IF($N491=0,"",IFERROR($L491-LOOKUP(2,1/(($B$2:$B490=$B491)*($N$2:$N490=1)),$M$2:$M490),""))</f>
        <v/>
      </c>
    </row>
    <row r="492">
      <c r="A492" t="n">
        <v>491</v>
      </c>
      <c r="B492">
        <f>Schedule!$A$73</f>
        <v/>
      </c>
      <c r="C492">
        <f>Schedule!$D$73</f>
        <v/>
      </c>
      <c r="D492">
        <f>Schedule!$F$73</f>
        <v/>
      </c>
      <c r="E492" t="n">
        <v>0</v>
      </c>
      <c r="F492">
        <f>Schedule!$G$1</f>
        <v/>
      </c>
      <c r="G492">
        <f>Schedule!$G$2</f>
        <v/>
      </c>
      <c r="H492">
        <f>Schedule!$G$73</f>
        <v/>
      </c>
      <c r="I492">
        <f>IF($N492=1,VALUE(LEFT($H492,2)),"")</f>
        <v/>
      </c>
      <c r="J492">
        <f>IF($N492=1,VALUE(MID($H492,9,2)),"")</f>
        <v/>
      </c>
      <c r="K492">
        <f>IF($N492=1,MOD($J492-$I492,24),0)</f>
        <v/>
      </c>
      <c r="L492">
        <f>IF($N492=1,$E492*24+$I492,"")</f>
        <v/>
      </c>
      <c r="M492">
        <f>IF($N492=1,$L492+$K492,"")</f>
        <v/>
      </c>
      <c r="N492">
        <f>IF(ISNUMBER(SEARCH(" - ",$H492&amp;"")),1,0)</f>
        <v/>
      </c>
      <c r="O492">
        <f>IF(UPPER($H492&amp;"")="LEAVE",1,0)</f>
        <v/>
      </c>
      <c r="P492">
        <f>IF($N492=1,$K492,0)</f>
        <v/>
      </c>
      <c r="Q492">
        <f>IF($N492=0,"",IFERROR($L492-'Previous Engine'!$M$72,""))</f>
        <v/>
      </c>
    </row>
    <row r="493">
      <c r="A493" t="n">
        <v>492</v>
      </c>
      <c r="B493">
        <f>Schedule!$A$73</f>
        <v/>
      </c>
      <c r="C493">
        <f>Schedule!$D$73</f>
        <v/>
      </c>
      <c r="D493">
        <f>Schedule!$F$73</f>
        <v/>
      </c>
      <c r="E493" t="n">
        <v>1</v>
      </c>
      <c r="F493">
        <f>Schedule!$H$1</f>
        <v/>
      </c>
      <c r="G493">
        <f>Schedule!$H$2</f>
        <v/>
      </c>
      <c r="H493">
        <f>Schedule!$H$73</f>
        <v/>
      </c>
      <c r="I493">
        <f>IF($N493=1,VALUE(LEFT($H493,2)),"")</f>
        <v/>
      </c>
      <c r="J493">
        <f>IF($N493=1,VALUE(MID($H493,9,2)),"")</f>
        <v/>
      </c>
      <c r="K493">
        <f>IF($N493=1,MOD($J493-$I493,24),0)</f>
        <v/>
      </c>
      <c r="L493">
        <f>IF($N493=1,$E493*24+$I493,"")</f>
        <v/>
      </c>
      <c r="M493">
        <f>IF($N493=1,$L493+$K493,"")</f>
        <v/>
      </c>
      <c r="N493">
        <f>IF(ISNUMBER(SEARCH(" - ",$H493&amp;"")),1,0)</f>
        <v/>
      </c>
      <c r="O493">
        <f>IF(UPPER($H493&amp;"")="LEAVE",1,0)</f>
        <v/>
      </c>
      <c r="P493">
        <f>IF($N493=1,$K493,0)</f>
        <v/>
      </c>
      <c r="Q493">
        <f>IF($N493=0,"",IFERROR($L493-LOOKUP(2,1/(($B$2:$B492=$B493)*($N$2:$N492=1)),$M$2:$M492),""))</f>
        <v/>
      </c>
    </row>
    <row r="494">
      <c r="A494" t="n">
        <v>493</v>
      </c>
      <c r="B494">
        <f>Schedule!$A$73</f>
        <v/>
      </c>
      <c r="C494">
        <f>Schedule!$D$73</f>
        <v/>
      </c>
      <c r="D494">
        <f>Schedule!$F$73</f>
        <v/>
      </c>
      <c r="E494" t="n">
        <v>2</v>
      </c>
      <c r="F494">
        <f>Schedule!$I$1</f>
        <v/>
      </c>
      <c r="G494">
        <f>Schedule!$I$2</f>
        <v/>
      </c>
      <c r="H494">
        <f>Schedule!$I$73</f>
        <v/>
      </c>
      <c r="I494">
        <f>IF($N494=1,VALUE(LEFT($H494,2)),"")</f>
        <v/>
      </c>
      <c r="J494">
        <f>IF($N494=1,VALUE(MID($H494,9,2)),"")</f>
        <v/>
      </c>
      <c r="K494">
        <f>IF($N494=1,MOD($J494-$I494,24),0)</f>
        <v/>
      </c>
      <c r="L494">
        <f>IF($N494=1,$E494*24+$I494,"")</f>
        <v/>
      </c>
      <c r="M494">
        <f>IF($N494=1,$L494+$K494,"")</f>
        <v/>
      </c>
      <c r="N494">
        <f>IF(ISNUMBER(SEARCH(" - ",$H494&amp;"")),1,0)</f>
        <v/>
      </c>
      <c r="O494">
        <f>IF(UPPER($H494&amp;"")="LEAVE",1,0)</f>
        <v/>
      </c>
      <c r="P494">
        <f>IF($N494=1,$K494,0)</f>
        <v/>
      </c>
      <c r="Q494">
        <f>IF($N494=0,"",IFERROR($L494-LOOKUP(2,1/(($B$2:$B493=$B494)*($N$2:$N493=1)),$M$2:$M493),""))</f>
        <v/>
      </c>
    </row>
    <row r="495">
      <c r="A495" t="n">
        <v>494</v>
      </c>
      <c r="B495">
        <f>Schedule!$A$73</f>
        <v/>
      </c>
      <c r="C495">
        <f>Schedule!$D$73</f>
        <v/>
      </c>
      <c r="D495">
        <f>Schedule!$F$73</f>
        <v/>
      </c>
      <c r="E495" t="n">
        <v>3</v>
      </c>
      <c r="F495">
        <f>Schedule!$J$1</f>
        <v/>
      </c>
      <c r="G495">
        <f>Schedule!$J$2</f>
        <v/>
      </c>
      <c r="H495">
        <f>Schedule!$J$73</f>
        <v/>
      </c>
      <c r="I495">
        <f>IF($N495=1,VALUE(LEFT($H495,2)),"")</f>
        <v/>
      </c>
      <c r="J495">
        <f>IF($N495=1,VALUE(MID($H495,9,2)),"")</f>
        <v/>
      </c>
      <c r="K495">
        <f>IF($N495=1,MOD($J495-$I495,24),0)</f>
        <v/>
      </c>
      <c r="L495">
        <f>IF($N495=1,$E495*24+$I495,"")</f>
        <v/>
      </c>
      <c r="M495">
        <f>IF($N495=1,$L495+$K495,"")</f>
        <v/>
      </c>
      <c r="N495">
        <f>IF(ISNUMBER(SEARCH(" - ",$H495&amp;"")),1,0)</f>
        <v/>
      </c>
      <c r="O495">
        <f>IF(UPPER($H495&amp;"")="LEAVE",1,0)</f>
        <v/>
      </c>
      <c r="P495">
        <f>IF($N495=1,$K495,0)</f>
        <v/>
      </c>
      <c r="Q495">
        <f>IF($N495=0,"",IFERROR($L495-LOOKUP(2,1/(($B$2:$B494=$B495)*($N$2:$N494=1)),$M$2:$M494),""))</f>
        <v/>
      </c>
    </row>
    <row r="496">
      <c r="A496" t="n">
        <v>495</v>
      </c>
      <c r="B496">
        <f>Schedule!$A$73</f>
        <v/>
      </c>
      <c r="C496">
        <f>Schedule!$D$73</f>
        <v/>
      </c>
      <c r="D496">
        <f>Schedule!$F$73</f>
        <v/>
      </c>
      <c r="E496" t="n">
        <v>4</v>
      </c>
      <c r="F496">
        <f>Schedule!$K$1</f>
        <v/>
      </c>
      <c r="G496">
        <f>Schedule!$K$2</f>
        <v/>
      </c>
      <c r="H496">
        <f>Schedule!$K$73</f>
        <v/>
      </c>
      <c r="I496">
        <f>IF($N496=1,VALUE(LEFT($H496,2)),"")</f>
        <v/>
      </c>
      <c r="J496">
        <f>IF($N496=1,VALUE(MID($H496,9,2)),"")</f>
        <v/>
      </c>
      <c r="K496">
        <f>IF($N496=1,MOD($J496-$I496,24),0)</f>
        <v/>
      </c>
      <c r="L496">
        <f>IF($N496=1,$E496*24+$I496,"")</f>
        <v/>
      </c>
      <c r="M496">
        <f>IF($N496=1,$L496+$K496,"")</f>
        <v/>
      </c>
      <c r="N496">
        <f>IF(ISNUMBER(SEARCH(" - ",$H496&amp;"")),1,0)</f>
        <v/>
      </c>
      <c r="O496">
        <f>IF(UPPER($H496&amp;"")="LEAVE",1,0)</f>
        <v/>
      </c>
      <c r="P496">
        <f>IF($N496=1,$K496,0)</f>
        <v/>
      </c>
      <c r="Q496">
        <f>IF($N496=0,"",IFERROR($L496-LOOKUP(2,1/(($B$2:$B495=$B496)*($N$2:$N495=1)),$M$2:$M495),""))</f>
        <v/>
      </c>
    </row>
    <row r="497">
      <c r="A497" t="n">
        <v>496</v>
      </c>
      <c r="B497">
        <f>Schedule!$A$73</f>
        <v/>
      </c>
      <c r="C497">
        <f>Schedule!$D$73</f>
        <v/>
      </c>
      <c r="D497">
        <f>Schedule!$F$73</f>
        <v/>
      </c>
      <c r="E497" t="n">
        <v>5</v>
      </c>
      <c r="F497">
        <f>Schedule!$L$1</f>
        <v/>
      </c>
      <c r="G497">
        <f>Schedule!$L$2</f>
        <v/>
      </c>
      <c r="H497">
        <f>Schedule!$L$73</f>
        <v/>
      </c>
      <c r="I497">
        <f>IF($N497=1,VALUE(LEFT($H497,2)),"")</f>
        <v/>
      </c>
      <c r="J497">
        <f>IF($N497=1,VALUE(MID($H497,9,2)),"")</f>
        <v/>
      </c>
      <c r="K497">
        <f>IF($N497=1,MOD($J497-$I497,24),0)</f>
        <v/>
      </c>
      <c r="L497">
        <f>IF($N497=1,$E497*24+$I497,"")</f>
        <v/>
      </c>
      <c r="M497">
        <f>IF($N497=1,$L497+$K497,"")</f>
        <v/>
      </c>
      <c r="N497">
        <f>IF(ISNUMBER(SEARCH(" - ",$H497&amp;"")),1,0)</f>
        <v/>
      </c>
      <c r="O497">
        <f>IF(UPPER($H497&amp;"")="LEAVE",1,0)</f>
        <v/>
      </c>
      <c r="P497">
        <f>IF($N497=1,$K497,0)</f>
        <v/>
      </c>
      <c r="Q497">
        <f>IF($N497=0,"",IFERROR($L497-LOOKUP(2,1/(($B$2:$B496=$B497)*($N$2:$N496=1)),$M$2:$M496),""))</f>
        <v/>
      </c>
    </row>
    <row r="498">
      <c r="A498" t="n">
        <v>497</v>
      </c>
      <c r="B498">
        <f>Schedule!$A$73</f>
        <v/>
      </c>
      <c r="C498">
        <f>Schedule!$D$73</f>
        <v/>
      </c>
      <c r="D498">
        <f>Schedule!$F$73</f>
        <v/>
      </c>
      <c r="E498" t="n">
        <v>6</v>
      </c>
      <c r="F498">
        <f>Schedule!$M$1</f>
        <v/>
      </c>
      <c r="G498">
        <f>Schedule!$M$2</f>
        <v/>
      </c>
      <c r="H498">
        <f>Schedule!$M$73</f>
        <v/>
      </c>
      <c r="I498">
        <f>IF($N498=1,VALUE(LEFT($H498,2)),"")</f>
        <v/>
      </c>
      <c r="J498">
        <f>IF($N498=1,VALUE(MID($H498,9,2)),"")</f>
        <v/>
      </c>
      <c r="K498">
        <f>IF($N498=1,MOD($J498-$I498,24),0)</f>
        <v/>
      </c>
      <c r="L498">
        <f>IF($N498=1,$E498*24+$I498,"")</f>
        <v/>
      </c>
      <c r="M498">
        <f>IF($N498=1,$L498+$K498,"")</f>
        <v/>
      </c>
      <c r="N498">
        <f>IF(ISNUMBER(SEARCH(" - ",$H498&amp;"")),1,0)</f>
        <v/>
      </c>
      <c r="O498">
        <f>IF(UPPER($H498&amp;"")="LEAVE",1,0)</f>
        <v/>
      </c>
      <c r="P498">
        <f>IF($N498=1,$K498,0)</f>
        <v/>
      </c>
      <c r="Q498">
        <f>IF($N498=0,"",IFERROR($L498-LOOKUP(2,1/(($B$2:$B497=$B498)*($N$2:$N497=1)),$M$2:$M497),""))</f>
        <v/>
      </c>
    </row>
    <row r="499">
      <c r="A499" t="n">
        <v>498</v>
      </c>
      <c r="B499">
        <f>Schedule!$A$74</f>
        <v/>
      </c>
      <c r="C499">
        <f>Schedule!$D$74</f>
        <v/>
      </c>
      <c r="D499">
        <f>Schedule!$F$74</f>
        <v/>
      </c>
      <c r="E499" t="n">
        <v>0</v>
      </c>
      <c r="F499">
        <f>Schedule!$G$1</f>
        <v/>
      </c>
      <c r="G499">
        <f>Schedule!$G$2</f>
        <v/>
      </c>
      <c r="H499">
        <f>Schedule!$G$74</f>
        <v/>
      </c>
      <c r="I499">
        <f>IF($N499=1,VALUE(LEFT($H499,2)),"")</f>
        <v/>
      </c>
      <c r="J499">
        <f>IF($N499=1,VALUE(MID($H499,9,2)),"")</f>
        <v/>
      </c>
      <c r="K499">
        <f>IF($N499=1,MOD($J499-$I499,24),0)</f>
        <v/>
      </c>
      <c r="L499">
        <f>IF($N499=1,$E499*24+$I499,"")</f>
        <v/>
      </c>
      <c r="M499">
        <f>IF($N499=1,$L499+$K499,"")</f>
        <v/>
      </c>
      <c r="N499">
        <f>IF(ISNUMBER(SEARCH(" - ",$H499&amp;"")),1,0)</f>
        <v/>
      </c>
      <c r="O499">
        <f>IF(UPPER($H499&amp;"")="LEAVE",1,0)</f>
        <v/>
      </c>
      <c r="P499">
        <f>IF($N499=1,$K499,0)</f>
        <v/>
      </c>
      <c r="Q499">
        <f>IF($N499=0,"",IFERROR($L499-'Previous Engine'!$M$73,""))</f>
        <v/>
      </c>
    </row>
    <row r="500">
      <c r="A500" t="n">
        <v>499</v>
      </c>
      <c r="B500">
        <f>Schedule!$A$74</f>
        <v/>
      </c>
      <c r="C500">
        <f>Schedule!$D$74</f>
        <v/>
      </c>
      <c r="D500">
        <f>Schedule!$F$74</f>
        <v/>
      </c>
      <c r="E500" t="n">
        <v>1</v>
      </c>
      <c r="F500">
        <f>Schedule!$H$1</f>
        <v/>
      </c>
      <c r="G500">
        <f>Schedule!$H$2</f>
        <v/>
      </c>
      <c r="H500">
        <f>Schedule!$H$74</f>
        <v/>
      </c>
      <c r="I500">
        <f>IF($N500=1,VALUE(LEFT($H500,2)),"")</f>
        <v/>
      </c>
      <c r="J500">
        <f>IF($N500=1,VALUE(MID($H500,9,2)),"")</f>
        <v/>
      </c>
      <c r="K500">
        <f>IF($N500=1,MOD($J500-$I500,24),0)</f>
        <v/>
      </c>
      <c r="L500">
        <f>IF($N500=1,$E500*24+$I500,"")</f>
        <v/>
      </c>
      <c r="M500">
        <f>IF($N500=1,$L500+$K500,"")</f>
        <v/>
      </c>
      <c r="N500">
        <f>IF(ISNUMBER(SEARCH(" - ",$H500&amp;"")),1,0)</f>
        <v/>
      </c>
      <c r="O500">
        <f>IF(UPPER($H500&amp;"")="LEAVE",1,0)</f>
        <v/>
      </c>
      <c r="P500">
        <f>IF($N500=1,$K500,0)</f>
        <v/>
      </c>
      <c r="Q500">
        <f>IF($N500=0,"",IFERROR($L500-LOOKUP(2,1/(($B$2:$B499=$B500)*($N$2:$N499=1)),$M$2:$M499),""))</f>
        <v/>
      </c>
    </row>
    <row r="501">
      <c r="A501" t="n">
        <v>500</v>
      </c>
      <c r="B501">
        <f>Schedule!$A$74</f>
        <v/>
      </c>
      <c r="C501">
        <f>Schedule!$D$74</f>
        <v/>
      </c>
      <c r="D501">
        <f>Schedule!$F$74</f>
        <v/>
      </c>
      <c r="E501" t="n">
        <v>2</v>
      </c>
      <c r="F501">
        <f>Schedule!$I$1</f>
        <v/>
      </c>
      <c r="G501">
        <f>Schedule!$I$2</f>
        <v/>
      </c>
      <c r="H501">
        <f>Schedule!$I$74</f>
        <v/>
      </c>
      <c r="I501">
        <f>IF($N501=1,VALUE(LEFT($H501,2)),"")</f>
        <v/>
      </c>
      <c r="J501">
        <f>IF($N501=1,VALUE(MID($H501,9,2)),"")</f>
        <v/>
      </c>
      <c r="K501">
        <f>IF($N501=1,MOD($J501-$I501,24),0)</f>
        <v/>
      </c>
      <c r="L501">
        <f>IF($N501=1,$E501*24+$I501,"")</f>
        <v/>
      </c>
      <c r="M501">
        <f>IF($N501=1,$L501+$K501,"")</f>
        <v/>
      </c>
      <c r="N501">
        <f>IF(ISNUMBER(SEARCH(" - ",$H501&amp;"")),1,0)</f>
        <v/>
      </c>
      <c r="O501">
        <f>IF(UPPER($H501&amp;"")="LEAVE",1,0)</f>
        <v/>
      </c>
      <c r="P501">
        <f>IF($N501=1,$K501,0)</f>
        <v/>
      </c>
      <c r="Q501">
        <f>IF($N501=0,"",IFERROR($L501-LOOKUP(2,1/(($B$2:$B500=$B501)*($N$2:$N500=1)),$M$2:$M500),""))</f>
        <v/>
      </c>
    </row>
    <row r="502">
      <c r="A502" t="n">
        <v>501</v>
      </c>
      <c r="B502">
        <f>Schedule!$A$74</f>
        <v/>
      </c>
      <c r="C502">
        <f>Schedule!$D$74</f>
        <v/>
      </c>
      <c r="D502">
        <f>Schedule!$F$74</f>
        <v/>
      </c>
      <c r="E502" t="n">
        <v>3</v>
      </c>
      <c r="F502">
        <f>Schedule!$J$1</f>
        <v/>
      </c>
      <c r="G502">
        <f>Schedule!$J$2</f>
        <v/>
      </c>
      <c r="H502">
        <f>Schedule!$J$74</f>
        <v/>
      </c>
      <c r="I502">
        <f>IF($N502=1,VALUE(LEFT($H502,2)),"")</f>
        <v/>
      </c>
      <c r="J502">
        <f>IF($N502=1,VALUE(MID($H502,9,2)),"")</f>
        <v/>
      </c>
      <c r="K502">
        <f>IF($N502=1,MOD($J502-$I502,24),0)</f>
        <v/>
      </c>
      <c r="L502">
        <f>IF($N502=1,$E502*24+$I502,"")</f>
        <v/>
      </c>
      <c r="M502">
        <f>IF($N502=1,$L502+$K502,"")</f>
        <v/>
      </c>
      <c r="N502">
        <f>IF(ISNUMBER(SEARCH(" - ",$H502&amp;"")),1,0)</f>
        <v/>
      </c>
      <c r="O502">
        <f>IF(UPPER($H502&amp;"")="LEAVE",1,0)</f>
        <v/>
      </c>
      <c r="P502">
        <f>IF($N502=1,$K502,0)</f>
        <v/>
      </c>
      <c r="Q502">
        <f>IF($N502=0,"",IFERROR($L502-LOOKUP(2,1/(($B$2:$B501=$B502)*($N$2:$N501=1)),$M$2:$M501),""))</f>
        <v/>
      </c>
    </row>
    <row r="503">
      <c r="A503" t="n">
        <v>502</v>
      </c>
      <c r="B503">
        <f>Schedule!$A$74</f>
        <v/>
      </c>
      <c r="C503">
        <f>Schedule!$D$74</f>
        <v/>
      </c>
      <c r="D503">
        <f>Schedule!$F$74</f>
        <v/>
      </c>
      <c r="E503" t="n">
        <v>4</v>
      </c>
      <c r="F503">
        <f>Schedule!$K$1</f>
        <v/>
      </c>
      <c r="G503">
        <f>Schedule!$K$2</f>
        <v/>
      </c>
      <c r="H503">
        <f>Schedule!$K$74</f>
        <v/>
      </c>
      <c r="I503">
        <f>IF($N503=1,VALUE(LEFT($H503,2)),"")</f>
        <v/>
      </c>
      <c r="J503">
        <f>IF($N503=1,VALUE(MID($H503,9,2)),"")</f>
        <v/>
      </c>
      <c r="K503">
        <f>IF($N503=1,MOD($J503-$I503,24),0)</f>
        <v/>
      </c>
      <c r="L503">
        <f>IF($N503=1,$E503*24+$I503,"")</f>
        <v/>
      </c>
      <c r="M503">
        <f>IF($N503=1,$L503+$K503,"")</f>
        <v/>
      </c>
      <c r="N503">
        <f>IF(ISNUMBER(SEARCH(" - ",$H503&amp;"")),1,0)</f>
        <v/>
      </c>
      <c r="O503">
        <f>IF(UPPER($H503&amp;"")="LEAVE",1,0)</f>
        <v/>
      </c>
      <c r="P503">
        <f>IF($N503=1,$K503,0)</f>
        <v/>
      </c>
      <c r="Q503">
        <f>IF($N503=0,"",IFERROR($L503-LOOKUP(2,1/(($B$2:$B502=$B503)*($N$2:$N502=1)),$M$2:$M502),""))</f>
        <v/>
      </c>
    </row>
    <row r="504">
      <c r="A504" t="n">
        <v>503</v>
      </c>
      <c r="B504">
        <f>Schedule!$A$74</f>
        <v/>
      </c>
      <c r="C504">
        <f>Schedule!$D$74</f>
        <v/>
      </c>
      <c r="D504">
        <f>Schedule!$F$74</f>
        <v/>
      </c>
      <c r="E504" t="n">
        <v>5</v>
      </c>
      <c r="F504">
        <f>Schedule!$L$1</f>
        <v/>
      </c>
      <c r="G504">
        <f>Schedule!$L$2</f>
        <v/>
      </c>
      <c r="H504">
        <f>Schedule!$L$74</f>
        <v/>
      </c>
      <c r="I504">
        <f>IF($N504=1,VALUE(LEFT($H504,2)),"")</f>
        <v/>
      </c>
      <c r="J504">
        <f>IF($N504=1,VALUE(MID($H504,9,2)),"")</f>
        <v/>
      </c>
      <c r="K504">
        <f>IF($N504=1,MOD($J504-$I504,24),0)</f>
        <v/>
      </c>
      <c r="L504">
        <f>IF($N504=1,$E504*24+$I504,"")</f>
        <v/>
      </c>
      <c r="M504">
        <f>IF($N504=1,$L504+$K504,"")</f>
        <v/>
      </c>
      <c r="N504">
        <f>IF(ISNUMBER(SEARCH(" - ",$H504&amp;"")),1,0)</f>
        <v/>
      </c>
      <c r="O504">
        <f>IF(UPPER($H504&amp;"")="LEAVE",1,0)</f>
        <v/>
      </c>
      <c r="P504">
        <f>IF($N504=1,$K504,0)</f>
        <v/>
      </c>
      <c r="Q504">
        <f>IF($N504=0,"",IFERROR($L504-LOOKUP(2,1/(($B$2:$B503=$B504)*($N$2:$N503=1)),$M$2:$M503),""))</f>
        <v/>
      </c>
    </row>
    <row r="505">
      <c r="A505" t="n">
        <v>504</v>
      </c>
      <c r="B505">
        <f>Schedule!$A$74</f>
        <v/>
      </c>
      <c r="C505">
        <f>Schedule!$D$74</f>
        <v/>
      </c>
      <c r="D505">
        <f>Schedule!$F$74</f>
        <v/>
      </c>
      <c r="E505" t="n">
        <v>6</v>
      </c>
      <c r="F505">
        <f>Schedule!$M$1</f>
        <v/>
      </c>
      <c r="G505">
        <f>Schedule!$M$2</f>
        <v/>
      </c>
      <c r="H505">
        <f>Schedule!$M$74</f>
        <v/>
      </c>
      <c r="I505">
        <f>IF($N505=1,VALUE(LEFT($H505,2)),"")</f>
        <v/>
      </c>
      <c r="J505">
        <f>IF($N505=1,VALUE(MID($H505,9,2)),"")</f>
        <v/>
      </c>
      <c r="K505">
        <f>IF($N505=1,MOD($J505-$I505,24),0)</f>
        <v/>
      </c>
      <c r="L505">
        <f>IF($N505=1,$E505*24+$I505,"")</f>
        <v/>
      </c>
      <c r="M505">
        <f>IF($N505=1,$L505+$K505,"")</f>
        <v/>
      </c>
      <c r="N505">
        <f>IF(ISNUMBER(SEARCH(" - ",$H505&amp;"")),1,0)</f>
        <v/>
      </c>
      <c r="O505">
        <f>IF(UPPER($H505&amp;"")="LEAVE",1,0)</f>
        <v/>
      </c>
      <c r="P505">
        <f>IF($N505=1,$K505,0)</f>
        <v/>
      </c>
      <c r="Q505">
        <f>IF($N505=0,"",IFERROR($L505-LOOKUP(2,1/(($B$2:$B504=$B505)*($N$2:$N504=1)),$M$2:$M504),""))</f>
        <v/>
      </c>
    </row>
    <row r="506">
      <c r="A506" t="n">
        <v>505</v>
      </c>
      <c r="B506">
        <f>Schedule!$A$75</f>
        <v/>
      </c>
      <c r="C506">
        <f>Schedule!$D$75</f>
        <v/>
      </c>
      <c r="D506">
        <f>Schedule!$F$75</f>
        <v/>
      </c>
      <c r="E506" t="n">
        <v>0</v>
      </c>
      <c r="F506">
        <f>Schedule!$G$1</f>
        <v/>
      </c>
      <c r="G506">
        <f>Schedule!$G$2</f>
        <v/>
      </c>
      <c r="H506">
        <f>Schedule!$G$75</f>
        <v/>
      </c>
      <c r="I506">
        <f>IF($N506=1,VALUE(LEFT($H506,2)),"")</f>
        <v/>
      </c>
      <c r="J506">
        <f>IF($N506=1,VALUE(MID($H506,9,2)),"")</f>
        <v/>
      </c>
      <c r="K506">
        <f>IF($N506=1,MOD($J506-$I506,24),0)</f>
        <v/>
      </c>
      <c r="L506">
        <f>IF($N506=1,$E506*24+$I506,"")</f>
        <v/>
      </c>
      <c r="M506">
        <f>IF($N506=1,$L506+$K506,"")</f>
        <v/>
      </c>
      <c r="N506">
        <f>IF(ISNUMBER(SEARCH(" - ",$H506&amp;"")),1,0)</f>
        <v/>
      </c>
      <c r="O506">
        <f>IF(UPPER($H506&amp;"")="LEAVE",1,0)</f>
        <v/>
      </c>
      <c r="P506">
        <f>IF($N506=1,$K506,0)</f>
        <v/>
      </c>
      <c r="Q506">
        <f>IF($N506=0,"",IFERROR($L506-'Previous Engine'!$M$74,""))</f>
        <v/>
      </c>
    </row>
    <row r="507">
      <c r="A507" t="n">
        <v>506</v>
      </c>
      <c r="B507">
        <f>Schedule!$A$75</f>
        <v/>
      </c>
      <c r="C507">
        <f>Schedule!$D$75</f>
        <v/>
      </c>
      <c r="D507">
        <f>Schedule!$F$75</f>
        <v/>
      </c>
      <c r="E507" t="n">
        <v>1</v>
      </c>
      <c r="F507">
        <f>Schedule!$H$1</f>
        <v/>
      </c>
      <c r="G507">
        <f>Schedule!$H$2</f>
        <v/>
      </c>
      <c r="H507">
        <f>Schedule!$H$75</f>
        <v/>
      </c>
      <c r="I507">
        <f>IF($N507=1,VALUE(LEFT($H507,2)),"")</f>
        <v/>
      </c>
      <c r="J507">
        <f>IF($N507=1,VALUE(MID($H507,9,2)),"")</f>
        <v/>
      </c>
      <c r="K507">
        <f>IF($N507=1,MOD($J507-$I507,24),0)</f>
        <v/>
      </c>
      <c r="L507">
        <f>IF($N507=1,$E507*24+$I507,"")</f>
        <v/>
      </c>
      <c r="M507">
        <f>IF($N507=1,$L507+$K507,"")</f>
        <v/>
      </c>
      <c r="N507">
        <f>IF(ISNUMBER(SEARCH(" - ",$H507&amp;"")),1,0)</f>
        <v/>
      </c>
      <c r="O507">
        <f>IF(UPPER($H507&amp;"")="LEAVE",1,0)</f>
        <v/>
      </c>
      <c r="P507">
        <f>IF($N507=1,$K507,0)</f>
        <v/>
      </c>
      <c r="Q507">
        <f>IF($N507=0,"",IFERROR($L507-LOOKUP(2,1/(($B$2:$B506=$B507)*($N$2:$N506=1)),$M$2:$M506),""))</f>
        <v/>
      </c>
    </row>
    <row r="508">
      <c r="A508" t="n">
        <v>507</v>
      </c>
      <c r="B508">
        <f>Schedule!$A$75</f>
        <v/>
      </c>
      <c r="C508">
        <f>Schedule!$D$75</f>
        <v/>
      </c>
      <c r="D508">
        <f>Schedule!$F$75</f>
        <v/>
      </c>
      <c r="E508" t="n">
        <v>2</v>
      </c>
      <c r="F508">
        <f>Schedule!$I$1</f>
        <v/>
      </c>
      <c r="G508">
        <f>Schedule!$I$2</f>
        <v/>
      </c>
      <c r="H508">
        <f>Schedule!$I$75</f>
        <v/>
      </c>
      <c r="I508">
        <f>IF($N508=1,VALUE(LEFT($H508,2)),"")</f>
        <v/>
      </c>
      <c r="J508">
        <f>IF($N508=1,VALUE(MID($H508,9,2)),"")</f>
        <v/>
      </c>
      <c r="K508">
        <f>IF($N508=1,MOD($J508-$I508,24),0)</f>
        <v/>
      </c>
      <c r="L508">
        <f>IF($N508=1,$E508*24+$I508,"")</f>
        <v/>
      </c>
      <c r="M508">
        <f>IF($N508=1,$L508+$K508,"")</f>
        <v/>
      </c>
      <c r="N508">
        <f>IF(ISNUMBER(SEARCH(" - ",$H508&amp;"")),1,0)</f>
        <v/>
      </c>
      <c r="O508">
        <f>IF(UPPER($H508&amp;"")="LEAVE",1,0)</f>
        <v/>
      </c>
      <c r="P508">
        <f>IF($N508=1,$K508,0)</f>
        <v/>
      </c>
      <c r="Q508">
        <f>IF($N508=0,"",IFERROR($L508-LOOKUP(2,1/(($B$2:$B507=$B508)*($N$2:$N507=1)),$M$2:$M507),""))</f>
        <v/>
      </c>
    </row>
    <row r="509">
      <c r="A509" t="n">
        <v>508</v>
      </c>
      <c r="B509">
        <f>Schedule!$A$75</f>
        <v/>
      </c>
      <c r="C509">
        <f>Schedule!$D$75</f>
        <v/>
      </c>
      <c r="D509">
        <f>Schedule!$F$75</f>
        <v/>
      </c>
      <c r="E509" t="n">
        <v>3</v>
      </c>
      <c r="F509">
        <f>Schedule!$J$1</f>
        <v/>
      </c>
      <c r="G509">
        <f>Schedule!$J$2</f>
        <v/>
      </c>
      <c r="H509">
        <f>Schedule!$J$75</f>
        <v/>
      </c>
      <c r="I509">
        <f>IF($N509=1,VALUE(LEFT($H509,2)),"")</f>
        <v/>
      </c>
      <c r="J509">
        <f>IF($N509=1,VALUE(MID($H509,9,2)),"")</f>
        <v/>
      </c>
      <c r="K509">
        <f>IF($N509=1,MOD($J509-$I509,24),0)</f>
        <v/>
      </c>
      <c r="L509">
        <f>IF($N509=1,$E509*24+$I509,"")</f>
        <v/>
      </c>
      <c r="M509">
        <f>IF($N509=1,$L509+$K509,"")</f>
        <v/>
      </c>
      <c r="N509">
        <f>IF(ISNUMBER(SEARCH(" - ",$H509&amp;"")),1,0)</f>
        <v/>
      </c>
      <c r="O509">
        <f>IF(UPPER($H509&amp;"")="LEAVE",1,0)</f>
        <v/>
      </c>
      <c r="P509">
        <f>IF($N509=1,$K509,0)</f>
        <v/>
      </c>
      <c r="Q509">
        <f>IF($N509=0,"",IFERROR($L509-LOOKUP(2,1/(($B$2:$B508=$B509)*($N$2:$N508=1)),$M$2:$M508),""))</f>
        <v/>
      </c>
    </row>
    <row r="510">
      <c r="A510" t="n">
        <v>509</v>
      </c>
      <c r="B510">
        <f>Schedule!$A$75</f>
        <v/>
      </c>
      <c r="C510">
        <f>Schedule!$D$75</f>
        <v/>
      </c>
      <c r="D510">
        <f>Schedule!$F$75</f>
        <v/>
      </c>
      <c r="E510" t="n">
        <v>4</v>
      </c>
      <c r="F510">
        <f>Schedule!$K$1</f>
        <v/>
      </c>
      <c r="G510">
        <f>Schedule!$K$2</f>
        <v/>
      </c>
      <c r="H510">
        <f>Schedule!$K$75</f>
        <v/>
      </c>
      <c r="I510">
        <f>IF($N510=1,VALUE(LEFT($H510,2)),"")</f>
        <v/>
      </c>
      <c r="J510">
        <f>IF($N510=1,VALUE(MID($H510,9,2)),"")</f>
        <v/>
      </c>
      <c r="K510">
        <f>IF($N510=1,MOD($J510-$I510,24),0)</f>
        <v/>
      </c>
      <c r="L510">
        <f>IF($N510=1,$E510*24+$I510,"")</f>
        <v/>
      </c>
      <c r="M510">
        <f>IF($N510=1,$L510+$K510,"")</f>
        <v/>
      </c>
      <c r="N510">
        <f>IF(ISNUMBER(SEARCH(" - ",$H510&amp;"")),1,0)</f>
        <v/>
      </c>
      <c r="O510">
        <f>IF(UPPER($H510&amp;"")="LEAVE",1,0)</f>
        <v/>
      </c>
      <c r="P510">
        <f>IF($N510=1,$K510,0)</f>
        <v/>
      </c>
      <c r="Q510">
        <f>IF($N510=0,"",IFERROR($L510-LOOKUP(2,1/(($B$2:$B509=$B510)*($N$2:$N509=1)),$M$2:$M509),""))</f>
        <v/>
      </c>
    </row>
    <row r="511">
      <c r="A511" t="n">
        <v>510</v>
      </c>
      <c r="B511">
        <f>Schedule!$A$75</f>
        <v/>
      </c>
      <c r="C511">
        <f>Schedule!$D$75</f>
        <v/>
      </c>
      <c r="D511">
        <f>Schedule!$F$75</f>
        <v/>
      </c>
      <c r="E511" t="n">
        <v>5</v>
      </c>
      <c r="F511">
        <f>Schedule!$L$1</f>
        <v/>
      </c>
      <c r="G511">
        <f>Schedule!$L$2</f>
        <v/>
      </c>
      <c r="H511">
        <f>Schedule!$L$75</f>
        <v/>
      </c>
      <c r="I511">
        <f>IF($N511=1,VALUE(LEFT($H511,2)),"")</f>
        <v/>
      </c>
      <c r="J511">
        <f>IF($N511=1,VALUE(MID($H511,9,2)),"")</f>
        <v/>
      </c>
      <c r="K511">
        <f>IF($N511=1,MOD($J511-$I511,24),0)</f>
        <v/>
      </c>
      <c r="L511">
        <f>IF($N511=1,$E511*24+$I511,"")</f>
        <v/>
      </c>
      <c r="M511">
        <f>IF($N511=1,$L511+$K511,"")</f>
        <v/>
      </c>
      <c r="N511">
        <f>IF(ISNUMBER(SEARCH(" - ",$H511&amp;"")),1,0)</f>
        <v/>
      </c>
      <c r="O511">
        <f>IF(UPPER($H511&amp;"")="LEAVE",1,0)</f>
        <v/>
      </c>
      <c r="P511">
        <f>IF($N511=1,$K511,0)</f>
        <v/>
      </c>
      <c r="Q511">
        <f>IF($N511=0,"",IFERROR($L511-LOOKUP(2,1/(($B$2:$B510=$B511)*($N$2:$N510=1)),$M$2:$M510),""))</f>
        <v/>
      </c>
    </row>
    <row r="512">
      <c r="A512" t="n">
        <v>511</v>
      </c>
      <c r="B512">
        <f>Schedule!$A$75</f>
        <v/>
      </c>
      <c r="C512">
        <f>Schedule!$D$75</f>
        <v/>
      </c>
      <c r="D512">
        <f>Schedule!$F$75</f>
        <v/>
      </c>
      <c r="E512" t="n">
        <v>6</v>
      </c>
      <c r="F512">
        <f>Schedule!$M$1</f>
        <v/>
      </c>
      <c r="G512">
        <f>Schedule!$M$2</f>
        <v/>
      </c>
      <c r="H512">
        <f>Schedule!$M$75</f>
        <v/>
      </c>
      <c r="I512">
        <f>IF($N512=1,VALUE(LEFT($H512,2)),"")</f>
        <v/>
      </c>
      <c r="J512">
        <f>IF($N512=1,VALUE(MID($H512,9,2)),"")</f>
        <v/>
      </c>
      <c r="K512">
        <f>IF($N512=1,MOD($J512-$I512,24),0)</f>
        <v/>
      </c>
      <c r="L512">
        <f>IF($N512=1,$E512*24+$I512,"")</f>
        <v/>
      </c>
      <c r="M512">
        <f>IF($N512=1,$L512+$K512,"")</f>
        <v/>
      </c>
      <c r="N512">
        <f>IF(ISNUMBER(SEARCH(" - ",$H512&amp;"")),1,0)</f>
        <v/>
      </c>
      <c r="O512">
        <f>IF(UPPER($H512&amp;"")="LEAVE",1,0)</f>
        <v/>
      </c>
      <c r="P512">
        <f>IF($N512=1,$K512,0)</f>
        <v/>
      </c>
      <c r="Q512">
        <f>IF($N512=0,"",IFERROR($L512-LOOKUP(2,1/(($B$2:$B511=$B512)*($N$2:$N511=1)),$M$2:$M511),""))</f>
        <v/>
      </c>
    </row>
    <row r="513">
      <c r="A513" t="n">
        <v>512</v>
      </c>
      <c r="B513">
        <f>Schedule!$A$76</f>
        <v/>
      </c>
      <c r="C513">
        <f>Schedule!$D$76</f>
        <v/>
      </c>
      <c r="D513">
        <f>Schedule!$F$76</f>
        <v/>
      </c>
      <c r="E513" t="n">
        <v>0</v>
      </c>
      <c r="F513">
        <f>Schedule!$G$1</f>
        <v/>
      </c>
      <c r="G513">
        <f>Schedule!$G$2</f>
        <v/>
      </c>
      <c r="H513">
        <f>Schedule!$G$76</f>
        <v/>
      </c>
      <c r="I513">
        <f>IF($N513=1,VALUE(LEFT($H513,2)),"")</f>
        <v/>
      </c>
      <c r="J513">
        <f>IF($N513=1,VALUE(MID($H513,9,2)),"")</f>
        <v/>
      </c>
      <c r="K513">
        <f>IF($N513=1,MOD($J513-$I513,24),0)</f>
        <v/>
      </c>
      <c r="L513">
        <f>IF($N513=1,$E513*24+$I513,"")</f>
        <v/>
      </c>
      <c r="M513">
        <f>IF($N513=1,$L513+$K513,"")</f>
        <v/>
      </c>
      <c r="N513">
        <f>IF(ISNUMBER(SEARCH(" - ",$H513&amp;"")),1,0)</f>
        <v/>
      </c>
      <c r="O513">
        <f>IF(UPPER($H513&amp;"")="LEAVE",1,0)</f>
        <v/>
      </c>
      <c r="P513">
        <f>IF($N513=1,$K513,0)</f>
        <v/>
      </c>
      <c r="Q513">
        <f>IF($N513=0,"",IFERROR($L513-'Previous Engine'!$M$75,""))</f>
        <v/>
      </c>
    </row>
    <row r="514">
      <c r="A514" t="n">
        <v>513</v>
      </c>
      <c r="B514">
        <f>Schedule!$A$76</f>
        <v/>
      </c>
      <c r="C514">
        <f>Schedule!$D$76</f>
        <v/>
      </c>
      <c r="D514">
        <f>Schedule!$F$76</f>
        <v/>
      </c>
      <c r="E514" t="n">
        <v>1</v>
      </c>
      <c r="F514">
        <f>Schedule!$H$1</f>
        <v/>
      </c>
      <c r="G514">
        <f>Schedule!$H$2</f>
        <v/>
      </c>
      <c r="H514">
        <f>Schedule!$H$76</f>
        <v/>
      </c>
      <c r="I514">
        <f>IF($N514=1,VALUE(LEFT($H514,2)),"")</f>
        <v/>
      </c>
      <c r="J514">
        <f>IF($N514=1,VALUE(MID($H514,9,2)),"")</f>
        <v/>
      </c>
      <c r="K514">
        <f>IF($N514=1,MOD($J514-$I514,24),0)</f>
        <v/>
      </c>
      <c r="L514">
        <f>IF($N514=1,$E514*24+$I514,"")</f>
        <v/>
      </c>
      <c r="M514">
        <f>IF($N514=1,$L514+$K514,"")</f>
        <v/>
      </c>
      <c r="N514">
        <f>IF(ISNUMBER(SEARCH(" - ",$H514&amp;"")),1,0)</f>
        <v/>
      </c>
      <c r="O514">
        <f>IF(UPPER($H514&amp;"")="LEAVE",1,0)</f>
        <v/>
      </c>
      <c r="P514">
        <f>IF($N514=1,$K514,0)</f>
        <v/>
      </c>
      <c r="Q514">
        <f>IF($N514=0,"",IFERROR($L514-LOOKUP(2,1/(($B$2:$B513=$B514)*($N$2:$N513=1)),$M$2:$M513),""))</f>
        <v/>
      </c>
    </row>
    <row r="515">
      <c r="A515" t="n">
        <v>514</v>
      </c>
      <c r="B515">
        <f>Schedule!$A$76</f>
        <v/>
      </c>
      <c r="C515">
        <f>Schedule!$D$76</f>
        <v/>
      </c>
      <c r="D515">
        <f>Schedule!$F$76</f>
        <v/>
      </c>
      <c r="E515" t="n">
        <v>2</v>
      </c>
      <c r="F515">
        <f>Schedule!$I$1</f>
        <v/>
      </c>
      <c r="G515">
        <f>Schedule!$I$2</f>
        <v/>
      </c>
      <c r="H515">
        <f>Schedule!$I$76</f>
        <v/>
      </c>
      <c r="I515">
        <f>IF($N515=1,VALUE(LEFT($H515,2)),"")</f>
        <v/>
      </c>
      <c r="J515">
        <f>IF($N515=1,VALUE(MID($H515,9,2)),"")</f>
        <v/>
      </c>
      <c r="K515">
        <f>IF($N515=1,MOD($J515-$I515,24),0)</f>
        <v/>
      </c>
      <c r="L515">
        <f>IF($N515=1,$E515*24+$I515,"")</f>
        <v/>
      </c>
      <c r="M515">
        <f>IF($N515=1,$L515+$K515,"")</f>
        <v/>
      </c>
      <c r="N515">
        <f>IF(ISNUMBER(SEARCH(" - ",$H515&amp;"")),1,0)</f>
        <v/>
      </c>
      <c r="O515">
        <f>IF(UPPER($H515&amp;"")="LEAVE",1,0)</f>
        <v/>
      </c>
      <c r="P515">
        <f>IF($N515=1,$K515,0)</f>
        <v/>
      </c>
      <c r="Q515">
        <f>IF($N515=0,"",IFERROR($L515-LOOKUP(2,1/(($B$2:$B514=$B515)*($N$2:$N514=1)),$M$2:$M514),""))</f>
        <v/>
      </c>
    </row>
    <row r="516">
      <c r="A516" t="n">
        <v>515</v>
      </c>
      <c r="B516">
        <f>Schedule!$A$76</f>
        <v/>
      </c>
      <c r="C516">
        <f>Schedule!$D$76</f>
        <v/>
      </c>
      <c r="D516">
        <f>Schedule!$F$76</f>
        <v/>
      </c>
      <c r="E516" t="n">
        <v>3</v>
      </c>
      <c r="F516">
        <f>Schedule!$J$1</f>
        <v/>
      </c>
      <c r="G516">
        <f>Schedule!$J$2</f>
        <v/>
      </c>
      <c r="H516">
        <f>Schedule!$J$76</f>
        <v/>
      </c>
      <c r="I516">
        <f>IF($N516=1,VALUE(LEFT($H516,2)),"")</f>
        <v/>
      </c>
      <c r="J516">
        <f>IF($N516=1,VALUE(MID($H516,9,2)),"")</f>
        <v/>
      </c>
      <c r="K516">
        <f>IF($N516=1,MOD($J516-$I516,24),0)</f>
        <v/>
      </c>
      <c r="L516">
        <f>IF($N516=1,$E516*24+$I516,"")</f>
        <v/>
      </c>
      <c r="M516">
        <f>IF($N516=1,$L516+$K516,"")</f>
        <v/>
      </c>
      <c r="N516">
        <f>IF(ISNUMBER(SEARCH(" - ",$H516&amp;"")),1,0)</f>
        <v/>
      </c>
      <c r="O516">
        <f>IF(UPPER($H516&amp;"")="LEAVE",1,0)</f>
        <v/>
      </c>
      <c r="P516">
        <f>IF($N516=1,$K516,0)</f>
        <v/>
      </c>
      <c r="Q516">
        <f>IF($N516=0,"",IFERROR($L516-LOOKUP(2,1/(($B$2:$B515=$B516)*($N$2:$N515=1)),$M$2:$M515),""))</f>
        <v/>
      </c>
    </row>
    <row r="517">
      <c r="A517" t="n">
        <v>516</v>
      </c>
      <c r="B517">
        <f>Schedule!$A$76</f>
        <v/>
      </c>
      <c r="C517">
        <f>Schedule!$D$76</f>
        <v/>
      </c>
      <c r="D517">
        <f>Schedule!$F$76</f>
        <v/>
      </c>
      <c r="E517" t="n">
        <v>4</v>
      </c>
      <c r="F517">
        <f>Schedule!$K$1</f>
        <v/>
      </c>
      <c r="G517">
        <f>Schedule!$K$2</f>
        <v/>
      </c>
      <c r="H517">
        <f>Schedule!$K$76</f>
        <v/>
      </c>
      <c r="I517">
        <f>IF($N517=1,VALUE(LEFT($H517,2)),"")</f>
        <v/>
      </c>
      <c r="J517">
        <f>IF($N517=1,VALUE(MID($H517,9,2)),"")</f>
        <v/>
      </c>
      <c r="K517">
        <f>IF($N517=1,MOD($J517-$I517,24),0)</f>
        <v/>
      </c>
      <c r="L517">
        <f>IF($N517=1,$E517*24+$I517,"")</f>
        <v/>
      </c>
      <c r="M517">
        <f>IF($N517=1,$L517+$K517,"")</f>
        <v/>
      </c>
      <c r="N517">
        <f>IF(ISNUMBER(SEARCH(" - ",$H517&amp;"")),1,0)</f>
        <v/>
      </c>
      <c r="O517">
        <f>IF(UPPER($H517&amp;"")="LEAVE",1,0)</f>
        <v/>
      </c>
      <c r="P517">
        <f>IF($N517=1,$K517,0)</f>
        <v/>
      </c>
      <c r="Q517">
        <f>IF($N517=0,"",IFERROR($L517-LOOKUP(2,1/(($B$2:$B516=$B517)*($N$2:$N516=1)),$M$2:$M516),""))</f>
        <v/>
      </c>
    </row>
    <row r="518">
      <c r="A518" t="n">
        <v>517</v>
      </c>
      <c r="B518">
        <f>Schedule!$A$76</f>
        <v/>
      </c>
      <c r="C518">
        <f>Schedule!$D$76</f>
        <v/>
      </c>
      <c r="D518">
        <f>Schedule!$F$76</f>
        <v/>
      </c>
      <c r="E518" t="n">
        <v>5</v>
      </c>
      <c r="F518">
        <f>Schedule!$L$1</f>
        <v/>
      </c>
      <c r="G518">
        <f>Schedule!$L$2</f>
        <v/>
      </c>
      <c r="H518">
        <f>Schedule!$L$76</f>
        <v/>
      </c>
      <c r="I518">
        <f>IF($N518=1,VALUE(LEFT($H518,2)),"")</f>
        <v/>
      </c>
      <c r="J518">
        <f>IF($N518=1,VALUE(MID($H518,9,2)),"")</f>
        <v/>
      </c>
      <c r="K518">
        <f>IF($N518=1,MOD($J518-$I518,24),0)</f>
        <v/>
      </c>
      <c r="L518">
        <f>IF($N518=1,$E518*24+$I518,"")</f>
        <v/>
      </c>
      <c r="M518">
        <f>IF($N518=1,$L518+$K518,"")</f>
        <v/>
      </c>
      <c r="N518">
        <f>IF(ISNUMBER(SEARCH(" - ",$H518&amp;"")),1,0)</f>
        <v/>
      </c>
      <c r="O518">
        <f>IF(UPPER($H518&amp;"")="LEAVE",1,0)</f>
        <v/>
      </c>
      <c r="P518">
        <f>IF($N518=1,$K518,0)</f>
        <v/>
      </c>
      <c r="Q518">
        <f>IF($N518=0,"",IFERROR($L518-LOOKUP(2,1/(($B$2:$B517=$B518)*($N$2:$N517=1)),$M$2:$M517),""))</f>
        <v/>
      </c>
    </row>
    <row r="519">
      <c r="A519" t="n">
        <v>518</v>
      </c>
      <c r="B519">
        <f>Schedule!$A$76</f>
        <v/>
      </c>
      <c r="C519">
        <f>Schedule!$D$76</f>
        <v/>
      </c>
      <c r="D519">
        <f>Schedule!$F$76</f>
        <v/>
      </c>
      <c r="E519" t="n">
        <v>6</v>
      </c>
      <c r="F519">
        <f>Schedule!$M$1</f>
        <v/>
      </c>
      <c r="G519">
        <f>Schedule!$M$2</f>
        <v/>
      </c>
      <c r="H519">
        <f>Schedule!$M$76</f>
        <v/>
      </c>
      <c r="I519">
        <f>IF($N519=1,VALUE(LEFT($H519,2)),"")</f>
        <v/>
      </c>
      <c r="J519">
        <f>IF($N519=1,VALUE(MID($H519,9,2)),"")</f>
        <v/>
      </c>
      <c r="K519">
        <f>IF($N519=1,MOD($J519-$I519,24),0)</f>
        <v/>
      </c>
      <c r="L519">
        <f>IF($N519=1,$E519*24+$I519,"")</f>
        <v/>
      </c>
      <c r="M519">
        <f>IF($N519=1,$L519+$K519,"")</f>
        <v/>
      </c>
      <c r="N519">
        <f>IF(ISNUMBER(SEARCH(" - ",$H519&amp;"")),1,0)</f>
        <v/>
      </c>
      <c r="O519">
        <f>IF(UPPER($H519&amp;"")="LEAVE",1,0)</f>
        <v/>
      </c>
      <c r="P519">
        <f>IF($N519=1,$K519,0)</f>
        <v/>
      </c>
      <c r="Q519">
        <f>IF($N519=0,"",IFERROR($L519-LOOKUP(2,1/(($B$2:$B518=$B519)*($N$2:$N518=1)),$M$2:$M518),""))</f>
        <v/>
      </c>
    </row>
    <row r="520">
      <c r="A520" t="n">
        <v>519</v>
      </c>
      <c r="B520">
        <f>Schedule!$A$77</f>
        <v/>
      </c>
      <c r="C520">
        <f>Schedule!$D$77</f>
        <v/>
      </c>
      <c r="D520">
        <f>Schedule!$F$77</f>
        <v/>
      </c>
      <c r="E520" t="n">
        <v>0</v>
      </c>
      <c r="F520">
        <f>Schedule!$G$1</f>
        <v/>
      </c>
      <c r="G520">
        <f>Schedule!$G$2</f>
        <v/>
      </c>
      <c r="H520">
        <f>Schedule!$G$77</f>
        <v/>
      </c>
      <c r="I520">
        <f>IF($N520=1,VALUE(LEFT($H520,2)),"")</f>
        <v/>
      </c>
      <c r="J520">
        <f>IF($N520=1,VALUE(MID($H520,9,2)),"")</f>
        <v/>
      </c>
      <c r="K520">
        <f>IF($N520=1,MOD($J520-$I520,24),0)</f>
        <v/>
      </c>
      <c r="L520">
        <f>IF($N520=1,$E520*24+$I520,"")</f>
        <v/>
      </c>
      <c r="M520">
        <f>IF($N520=1,$L520+$K520,"")</f>
        <v/>
      </c>
      <c r="N520">
        <f>IF(ISNUMBER(SEARCH(" - ",$H520&amp;"")),1,0)</f>
        <v/>
      </c>
      <c r="O520">
        <f>IF(UPPER($H520&amp;"")="LEAVE",1,0)</f>
        <v/>
      </c>
      <c r="P520">
        <f>IF($N520=1,$K520,0)</f>
        <v/>
      </c>
      <c r="Q520">
        <f>IF($N520=0,"",IFERROR($L520-'Previous Engine'!$M$76,""))</f>
        <v/>
      </c>
    </row>
    <row r="521">
      <c r="A521" t="n">
        <v>520</v>
      </c>
      <c r="B521">
        <f>Schedule!$A$77</f>
        <v/>
      </c>
      <c r="C521">
        <f>Schedule!$D$77</f>
        <v/>
      </c>
      <c r="D521">
        <f>Schedule!$F$77</f>
        <v/>
      </c>
      <c r="E521" t="n">
        <v>1</v>
      </c>
      <c r="F521">
        <f>Schedule!$H$1</f>
        <v/>
      </c>
      <c r="G521">
        <f>Schedule!$H$2</f>
        <v/>
      </c>
      <c r="H521">
        <f>Schedule!$H$77</f>
        <v/>
      </c>
      <c r="I521">
        <f>IF($N521=1,VALUE(LEFT($H521,2)),"")</f>
        <v/>
      </c>
      <c r="J521">
        <f>IF($N521=1,VALUE(MID($H521,9,2)),"")</f>
        <v/>
      </c>
      <c r="K521">
        <f>IF($N521=1,MOD($J521-$I521,24),0)</f>
        <v/>
      </c>
      <c r="L521">
        <f>IF($N521=1,$E521*24+$I521,"")</f>
        <v/>
      </c>
      <c r="M521">
        <f>IF($N521=1,$L521+$K521,"")</f>
        <v/>
      </c>
      <c r="N521">
        <f>IF(ISNUMBER(SEARCH(" - ",$H521&amp;"")),1,0)</f>
        <v/>
      </c>
      <c r="O521">
        <f>IF(UPPER($H521&amp;"")="LEAVE",1,0)</f>
        <v/>
      </c>
      <c r="P521">
        <f>IF($N521=1,$K521,0)</f>
        <v/>
      </c>
      <c r="Q521">
        <f>IF($N521=0,"",IFERROR($L521-LOOKUP(2,1/(($B$2:$B520=$B521)*($N$2:$N520=1)),$M$2:$M520),""))</f>
        <v/>
      </c>
    </row>
    <row r="522">
      <c r="A522" t="n">
        <v>521</v>
      </c>
      <c r="B522">
        <f>Schedule!$A$77</f>
        <v/>
      </c>
      <c r="C522">
        <f>Schedule!$D$77</f>
        <v/>
      </c>
      <c r="D522">
        <f>Schedule!$F$77</f>
        <v/>
      </c>
      <c r="E522" t="n">
        <v>2</v>
      </c>
      <c r="F522">
        <f>Schedule!$I$1</f>
        <v/>
      </c>
      <c r="G522">
        <f>Schedule!$I$2</f>
        <v/>
      </c>
      <c r="H522">
        <f>Schedule!$I$77</f>
        <v/>
      </c>
      <c r="I522">
        <f>IF($N522=1,VALUE(LEFT($H522,2)),"")</f>
        <v/>
      </c>
      <c r="J522">
        <f>IF($N522=1,VALUE(MID($H522,9,2)),"")</f>
        <v/>
      </c>
      <c r="K522">
        <f>IF($N522=1,MOD($J522-$I522,24),0)</f>
        <v/>
      </c>
      <c r="L522">
        <f>IF($N522=1,$E522*24+$I522,"")</f>
        <v/>
      </c>
      <c r="M522">
        <f>IF($N522=1,$L522+$K522,"")</f>
        <v/>
      </c>
      <c r="N522">
        <f>IF(ISNUMBER(SEARCH(" - ",$H522&amp;"")),1,0)</f>
        <v/>
      </c>
      <c r="O522">
        <f>IF(UPPER($H522&amp;"")="LEAVE",1,0)</f>
        <v/>
      </c>
      <c r="P522">
        <f>IF($N522=1,$K522,0)</f>
        <v/>
      </c>
      <c r="Q522">
        <f>IF($N522=0,"",IFERROR($L522-LOOKUP(2,1/(($B$2:$B521=$B522)*($N$2:$N521=1)),$M$2:$M521),""))</f>
        <v/>
      </c>
    </row>
    <row r="523">
      <c r="A523" t="n">
        <v>522</v>
      </c>
      <c r="B523">
        <f>Schedule!$A$77</f>
        <v/>
      </c>
      <c r="C523">
        <f>Schedule!$D$77</f>
        <v/>
      </c>
      <c r="D523">
        <f>Schedule!$F$77</f>
        <v/>
      </c>
      <c r="E523" t="n">
        <v>3</v>
      </c>
      <c r="F523">
        <f>Schedule!$J$1</f>
        <v/>
      </c>
      <c r="G523">
        <f>Schedule!$J$2</f>
        <v/>
      </c>
      <c r="H523">
        <f>Schedule!$J$77</f>
        <v/>
      </c>
      <c r="I523">
        <f>IF($N523=1,VALUE(LEFT($H523,2)),"")</f>
        <v/>
      </c>
      <c r="J523">
        <f>IF($N523=1,VALUE(MID($H523,9,2)),"")</f>
        <v/>
      </c>
      <c r="K523">
        <f>IF($N523=1,MOD($J523-$I523,24),0)</f>
        <v/>
      </c>
      <c r="L523">
        <f>IF($N523=1,$E523*24+$I523,"")</f>
        <v/>
      </c>
      <c r="M523">
        <f>IF($N523=1,$L523+$K523,"")</f>
        <v/>
      </c>
      <c r="N523">
        <f>IF(ISNUMBER(SEARCH(" - ",$H523&amp;"")),1,0)</f>
        <v/>
      </c>
      <c r="O523">
        <f>IF(UPPER($H523&amp;"")="LEAVE",1,0)</f>
        <v/>
      </c>
      <c r="P523">
        <f>IF($N523=1,$K523,0)</f>
        <v/>
      </c>
      <c r="Q523">
        <f>IF($N523=0,"",IFERROR($L523-LOOKUP(2,1/(($B$2:$B522=$B523)*($N$2:$N522=1)),$M$2:$M522),""))</f>
        <v/>
      </c>
    </row>
    <row r="524">
      <c r="A524" t="n">
        <v>523</v>
      </c>
      <c r="B524">
        <f>Schedule!$A$77</f>
        <v/>
      </c>
      <c r="C524">
        <f>Schedule!$D$77</f>
        <v/>
      </c>
      <c r="D524">
        <f>Schedule!$F$77</f>
        <v/>
      </c>
      <c r="E524" t="n">
        <v>4</v>
      </c>
      <c r="F524">
        <f>Schedule!$K$1</f>
        <v/>
      </c>
      <c r="G524">
        <f>Schedule!$K$2</f>
        <v/>
      </c>
      <c r="H524">
        <f>Schedule!$K$77</f>
        <v/>
      </c>
      <c r="I524">
        <f>IF($N524=1,VALUE(LEFT($H524,2)),"")</f>
        <v/>
      </c>
      <c r="J524">
        <f>IF($N524=1,VALUE(MID($H524,9,2)),"")</f>
        <v/>
      </c>
      <c r="K524">
        <f>IF($N524=1,MOD($J524-$I524,24),0)</f>
        <v/>
      </c>
      <c r="L524">
        <f>IF($N524=1,$E524*24+$I524,"")</f>
        <v/>
      </c>
      <c r="M524">
        <f>IF($N524=1,$L524+$K524,"")</f>
        <v/>
      </c>
      <c r="N524">
        <f>IF(ISNUMBER(SEARCH(" - ",$H524&amp;"")),1,0)</f>
        <v/>
      </c>
      <c r="O524">
        <f>IF(UPPER($H524&amp;"")="LEAVE",1,0)</f>
        <v/>
      </c>
      <c r="P524">
        <f>IF($N524=1,$K524,0)</f>
        <v/>
      </c>
      <c r="Q524">
        <f>IF($N524=0,"",IFERROR($L524-LOOKUP(2,1/(($B$2:$B523=$B524)*($N$2:$N523=1)),$M$2:$M523),""))</f>
        <v/>
      </c>
    </row>
    <row r="525">
      <c r="A525" t="n">
        <v>524</v>
      </c>
      <c r="B525">
        <f>Schedule!$A$77</f>
        <v/>
      </c>
      <c r="C525">
        <f>Schedule!$D$77</f>
        <v/>
      </c>
      <c r="D525">
        <f>Schedule!$F$77</f>
        <v/>
      </c>
      <c r="E525" t="n">
        <v>5</v>
      </c>
      <c r="F525">
        <f>Schedule!$L$1</f>
        <v/>
      </c>
      <c r="G525">
        <f>Schedule!$L$2</f>
        <v/>
      </c>
      <c r="H525">
        <f>Schedule!$L$77</f>
        <v/>
      </c>
      <c r="I525">
        <f>IF($N525=1,VALUE(LEFT($H525,2)),"")</f>
        <v/>
      </c>
      <c r="J525">
        <f>IF($N525=1,VALUE(MID($H525,9,2)),"")</f>
        <v/>
      </c>
      <c r="K525">
        <f>IF($N525=1,MOD($J525-$I525,24),0)</f>
        <v/>
      </c>
      <c r="L525">
        <f>IF($N525=1,$E525*24+$I525,"")</f>
        <v/>
      </c>
      <c r="M525">
        <f>IF($N525=1,$L525+$K525,"")</f>
        <v/>
      </c>
      <c r="N525">
        <f>IF(ISNUMBER(SEARCH(" - ",$H525&amp;"")),1,0)</f>
        <v/>
      </c>
      <c r="O525">
        <f>IF(UPPER($H525&amp;"")="LEAVE",1,0)</f>
        <v/>
      </c>
      <c r="P525">
        <f>IF($N525=1,$K525,0)</f>
        <v/>
      </c>
      <c r="Q525">
        <f>IF($N525=0,"",IFERROR($L525-LOOKUP(2,1/(($B$2:$B524=$B525)*($N$2:$N524=1)),$M$2:$M524),""))</f>
        <v/>
      </c>
    </row>
    <row r="526">
      <c r="A526" t="n">
        <v>525</v>
      </c>
      <c r="B526">
        <f>Schedule!$A$77</f>
        <v/>
      </c>
      <c r="C526">
        <f>Schedule!$D$77</f>
        <v/>
      </c>
      <c r="D526">
        <f>Schedule!$F$77</f>
        <v/>
      </c>
      <c r="E526" t="n">
        <v>6</v>
      </c>
      <c r="F526">
        <f>Schedule!$M$1</f>
        <v/>
      </c>
      <c r="G526">
        <f>Schedule!$M$2</f>
        <v/>
      </c>
      <c r="H526">
        <f>Schedule!$M$77</f>
        <v/>
      </c>
      <c r="I526">
        <f>IF($N526=1,VALUE(LEFT($H526,2)),"")</f>
        <v/>
      </c>
      <c r="J526">
        <f>IF($N526=1,VALUE(MID($H526,9,2)),"")</f>
        <v/>
      </c>
      <c r="K526">
        <f>IF($N526=1,MOD($J526-$I526,24),0)</f>
        <v/>
      </c>
      <c r="L526">
        <f>IF($N526=1,$E526*24+$I526,"")</f>
        <v/>
      </c>
      <c r="M526">
        <f>IF($N526=1,$L526+$K526,"")</f>
        <v/>
      </c>
      <c r="N526">
        <f>IF(ISNUMBER(SEARCH(" - ",$H526&amp;"")),1,0)</f>
        <v/>
      </c>
      <c r="O526">
        <f>IF(UPPER($H526&amp;"")="LEAVE",1,0)</f>
        <v/>
      </c>
      <c r="P526">
        <f>IF($N526=1,$K526,0)</f>
        <v/>
      </c>
      <c r="Q526">
        <f>IF($N526=0,"",IFERROR($L526-LOOKUP(2,1/(($B$2:$B525=$B526)*($N$2:$N525=1)),$M$2:$M525),""))</f>
        <v/>
      </c>
    </row>
    <row r="527">
      <c r="A527" t="n">
        <v>526</v>
      </c>
      <c r="B527">
        <f>Schedule!$A$78</f>
        <v/>
      </c>
      <c r="C527">
        <f>Schedule!$D$78</f>
        <v/>
      </c>
      <c r="D527">
        <f>Schedule!$F$78</f>
        <v/>
      </c>
      <c r="E527" t="n">
        <v>0</v>
      </c>
      <c r="F527">
        <f>Schedule!$G$1</f>
        <v/>
      </c>
      <c r="G527">
        <f>Schedule!$G$2</f>
        <v/>
      </c>
      <c r="H527">
        <f>Schedule!$G$78</f>
        <v/>
      </c>
      <c r="I527">
        <f>IF($N527=1,VALUE(LEFT($H527,2)),"")</f>
        <v/>
      </c>
      <c r="J527">
        <f>IF($N527=1,VALUE(MID($H527,9,2)),"")</f>
        <v/>
      </c>
      <c r="K527">
        <f>IF($N527=1,MOD($J527-$I527,24),0)</f>
        <v/>
      </c>
      <c r="L527">
        <f>IF($N527=1,$E527*24+$I527,"")</f>
        <v/>
      </c>
      <c r="M527">
        <f>IF($N527=1,$L527+$K527,"")</f>
        <v/>
      </c>
      <c r="N527">
        <f>IF(ISNUMBER(SEARCH(" - ",$H527&amp;"")),1,0)</f>
        <v/>
      </c>
      <c r="O527">
        <f>IF(UPPER($H527&amp;"")="LEAVE",1,0)</f>
        <v/>
      </c>
      <c r="P527">
        <f>IF($N527=1,$K527,0)</f>
        <v/>
      </c>
      <c r="Q527">
        <f>IF($N527=0,"",IFERROR($L527-'Previous Engine'!$M$77,""))</f>
        <v/>
      </c>
    </row>
    <row r="528">
      <c r="A528" t="n">
        <v>527</v>
      </c>
      <c r="B528">
        <f>Schedule!$A$78</f>
        <v/>
      </c>
      <c r="C528">
        <f>Schedule!$D$78</f>
        <v/>
      </c>
      <c r="D528">
        <f>Schedule!$F$78</f>
        <v/>
      </c>
      <c r="E528" t="n">
        <v>1</v>
      </c>
      <c r="F528">
        <f>Schedule!$H$1</f>
        <v/>
      </c>
      <c r="G528">
        <f>Schedule!$H$2</f>
        <v/>
      </c>
      <c r="H528">
        <f>Schedule!$H$78</f>
        <v/>
      </c>
      <c r="I528">
        <f>IF($N528=1,VALUE(LEFT($H528,2)),"")</f>
        <v/>
      </c>
      <c r="J528">
        <f>IF($N528=1,VALUE(MID($H528,9,2)),"")</f>
        <v/>
      </c>
      <c r="K528">
        <f>IF($N528=1,MOD($J528-$I528,24),0)</f>
        <v/>
      </c>
      <c r="L528">
        <f>IF($N528=1,$E528*24+$I528,"")</f>
        <v/>
      </c>
      <c r="M528">
        <f>IF($N528=1,$L528+$K528,"")</f>
        <v/>
      </c>
      <c r="N528">
        <f>IF(ISNUMBER(SEARCH(" - ",$H528&amp;"")),1,0)</f>
        <v/>
      </c>
      <c r="O528">
        <f>IF(UPPER($H528&amp;"")="LEAVE",1,0)</f>
        <v/>
      </c>
      <c r="P528">
        <f>IF($N528=1,$K528,0)</f>
        <v/>
      </c>
      <c r="Q528">
        <f>IF($N528=0,"",IFERROR($L528-LOOKUP(2,1/(($B$2:$B527=$B528)*($N$2:$N527=1)),$M$2:$M527),""))</f>
        <v/>
      </c>
    </row>
    <row r="529">
      <c r="A529" t="n">
        <v>528</v>
      </c>
      <c r="B529">
        <f>Schedule!$A$78</f>
        <v/>
      </c>
      <c r="C529">
        <f>Schedule!$D$78</f>
        <v/>
      </c>
      <c r="D529">
        <f>Schedule!$F$78</f>
        <v/>
      </c>
      <c r="E529" t="n">
        <v>2</v>
      </c>
      <c r="F529">
        <f>Schedule!$I$1</f>
        <v/>
      </c>
      <c r="G529">
        <f>Schedule!$I$2</f>
        <v/>
      </c>
      <c r="H529">
        <f>Schedule!$I$78</f>
        <v/>
      </c>
      <c r="I529">
        <f>IF($N529=1,VALUE(LEFT($H529,2)),"")</f>
        <v/>
      </c>
      <c r="J529">
        <f>IF($N529=1,VALUE(MID($H529,9,2)),"")</f>
        <v/>
      </c>
      <c r="K529">
        <f>IF($N529=1,MOD($J529-$I529,24),0)</f>
        <v/>
      </c>
      <c r="L529">
        <f>IF($N529=1,$E529*24+$I529,"")</f>
        <v/>
      </c>
      <c r="M529">
        <f>IF($N529=1,$L529+$K529,"")</f>
        <v/>
      </c>
      <c r="N529">
        <f>IF(ISNUMBER(SEARCH(" - ",$H529&amp;"")),1,0)</f>
        <v/>
      </c>
      <c r="O529">
        <f>IF(UPPER($H529&amp;"")="LEAVE",1,0)</f>
        <v/>
      </c>
      <c r="P529">
        <f>IF($N529=1,$K529,0)</f>
        <v/>
      </c>
      <c r="Q529">
        <f>IF($N529=0,"",IFERROR($L529-LOOKUP(2,1/(($B$2:$B528=$B529)*($N$2:$N528=1)),$M$2:$M528),""))</f>
        <v/>
      </c>
    </row>
    <row r="530">
      <c r="A530" t="n">
        <v>529</v>
      </c>
      <c r="B530">
        <f>Schedule!$A$78</f>
        <v/>
      </c>
      <c r="C530">
        <f>Schedule!$D$78</f>
        <v/>
      </c>
      <c r="D530">
        <f>Schedule!$F$78</f>
        <v/>
      </c>
      <c r="E530" t="n">
        <v>3</v>
      </c>
      <c r="F530">
        <f>Schedule!$J$1</f>
        <v/>
      </c>
      <c r="G530">
        <f>Schedule!$J$2</f>
        <v/>
      </c>
      <c r="H530">
        <f>Schedule!$J$78</f>
        <v/>
      </c>
      <c r="I530">
        <f>IF($N530=1,VALUE(LEFT($H530,2)),"")</f>
        <v/>
      </c>
      <c r="J530">
        <f>IF($N530=1,VALUE(MID($H530,9,2)),"")</f>
        <v/>
      </c>
      <c r="K530">
        <f>IF($N530=1,MOD($J530-$I530,24),0)</f>
        <v/>
      </c>
      <c r="L530">
        <f>IF($N530=1,$E530*24+$I530,"")</f>
        <v/>
      </c>
      <c r="M530">
        <f>IF($N530=1,$L530+$K530,"")</f>
        <v/>
      </c>
      <c r="N530">
        <f>IF(ISNUMBER(SEARCH(" - ",$H530&amp;"")),1,0)</f>
        <v/>
      </c>
      <c r="O530">
        <f>IF(UPPER($H530&amp;"")="LEAVE",1,0)</f>
        <v/>
      </c>
      <c r="P530">
        <f>IF($N530=1,$K530,0)</f>
        <v/>
      </c>
      <c r="Q530">
        <f>IF($N530=0,"",IFERROR($L530-LOOKUP(2,1/(($B$2:$B529=$B530)*($N$2:$N529=1)),$M$2:$M529),""))</f>
        <v/>
      </c>
    </row>
    <row r="531">
      <c r="A531" t="n">
        <v>530</v>
      </c>
      <c r="B531">
        <f>Schedule!$A$78</f>
        <v/>
      </c>
      <c r="C531">
        <f>Schedule!$D$78</f>
        <v/>
      </c>
      <c r="D531">
        <f>Schedule!$F$78</f>
        <v/>
      </c>
      <c r="E531" t="n">
        <v>4</v>
      </c>
      <c r="F531">
        <f>Schedule!$K$1</f>
        <v/>
      </c>
      <c r="G531">
        <f>Schedule!$K$2</f>
        <v/>
      </c>
      <c r="H531">
        <f>Schedule!$K$78</f>
        <v/>
      </c>
      <c r="I531">
        <f>IF($N531=1,VALUE(LEFT($H531,2)),"")</f>
        <v/>
      </c>
      <c r="J531">
        <f>IF($N531=1,VALUE(MID($H531,9,2)),"")</f>
        <v/>
      </c>
      <c r="K531">
        <f>IF($N531=1,MOD($J531-$I531,24),0)</f>
        <v/>
      </c>
      <c r="L531">
        <f>IF($N531=1,$E531*24+$I531,"")</f>
        <v/>
      </c>
      <c r="M531">
        <f>IF($N531=1,$L531+$K531,"")</f>
        <v/>
      </c>
      <c r="N531">
        <f>IF(ISNUMBER(SEARCH(" - ",$H531&amp;"")),1,0)</f>
        <v/>
      </c>
      <c r="O531">
        <f>IF(UPPER($H531&amp;"")="LEAVE",1,0)</f>
        <v/>
      </c>
      <c r="P531">
        <f>IF($N531=1,$K531,0)</f>
        <v/>
      </c>
      <c r="Q531">
        <f>IF($N531=0,"",IFERROR($L531-LOOKUP(2,1/(($B$2:$B530=$B531)*($N$2:$N530=1)),$M$2:$M530),""))</f>
        <v/>
      </c>
    </row>
    <row r="532">
      <c r="A532" t="n">
        <v>531</v>
      </c>
      <c r="B532">
        <f>Schedule!$A$78</f>
        <v/>
      </c>
      <c r="C532">
        <f>Schedule!$D$78</f>
        <v/>
      </c>
      <c r="D532">
        <f>Schedule!$F$78</f>
        <v/>
      </c>
      <c r="E532" t="n">
        <v>5</v>
      </c>
      <c r="F532">
        <f>Schedule!$L$1</f>
        <v/>
      </c>
      <c r="G532">
        <f>Schedule!$L$2</f>
        <v/>
      </c>
      <c r="H532">
        <f>Schedule!$L$78</f>
        <v/>
      </c>
      <c r="I532">
        <f>IF($N532=1,VALUE(LEFT($H532,2)),"")</f>
        <v/>
      </c>
      <c r="J532">
        <f>IF($N532=1,VALUE(MID($H532,9,2)),"")</f>
        <v/>
      </c>
      <c r="K532">
        <f>IF($N532=1,MOD($J532-$I532,24),0)</f>
        <v/>
      </c>
      <c r="L532">
        <f>IF($N532=1,$E532*24+$I532,"")</f>
        <v/>
      </c>
      <c r="M532">
        <f>IF($N532=1,$L532+$K532,"")</f>
        <v/>
      </c>
      <c r="N532">
        <f>IF(ISNUMBER(SEARCH(" - ",$H532&amp;"")),1,0)</f>
        <v/>
      </c>
      <c r="O532">
        <f>IF(UPPER($H532&amp;"")="LEAVE",1,0)</f>
        <v/>
      </c>
      <c r="P532">
        <f>IF($N532=1,$K532,0)</f>
        <v/>
      </c>
      <c r="Q532">
        <f>IF($N532=0,"",IFERROR($L532-LOOKUP(2,1/(($B$2:$B531=$B532)*($N$2:$N531=1)),$M$2:$M531),""))</f>
        <v/>
      </c>
    </row>
    <row r="533">
      <c r="A533" t="n">
        <v>532</v>
      </c>
      <c r="B533">
        <f>Schedule!$A$78</f>
        <v/>
      </c>
      <c r="C533">
        <f>Schedule!$D$78</f>
        <v/>
      </c>
      <c r="D533">
        <f>Schedule!$F$78</f>
        <v/>
      </c>
      <c r="E533" t="n">
        <v>6</v>
      </c>
      <c r="F533">
        <f>Schedule!$M$1</f>
        <v/>
      </c>
      <c r="G533">
        <f>Schedule!$M$2</f>
        <v/>
      </c>
      <c r="H533">
        <f>Schedule!$M$78</f>
        <v/>
      </c>
      <c r="I533">
        <f>IF($N533=1,VALUE(LEFT($H533,2)),"")</f>
        <v/>
      </c>
      <c r="J533">
        <f>IF($N533=1,VALUE(MID($H533,9,2)),"")</f>
        <v/>
      </c>
      <c r="K533">
        <f>IF($N533=1,MOD($J533-$I533,24),0)</f>
        <v/>
      </c>
      <c r="L533">
        <f>IF($N533=1,$E533*24+$I533,"")</f>
        <v/>
      </c>
      <c r="M533">
        <f>IF($N533=1,$L533+$K533,"")</f>
        <v/>
      </c>
      <c r="N533">
        <f>IF(ISNUMBER(SEARCH(" - ",$H533&amp;"")),1,0)</f>
        <v/>
      </c>
      <c r="O533">
        <f>IF(UPPER($H533&amp;"")="LEAVE",1,0)</f>
        <v/>
      </c>
      <c r="P533">
        <f>IF($N533=1,$K533,0)</f>
        <v/>
      </c>
      <c r="Q533">
        <f>IF($N533=0,"",IFERROR($L533-LOOKUP(2,1/(($B$2:$B532=$B533)*($N$2:$N532=1)),$M$2:$M532),""))</f>
        <v/>
      </c>
    </row>
    <row r="534">
      <c r="A534" t="n">
        <v>533</v>
      </c>
      <c r="B534">
        <f>Schedule!$A$79</f>
        <v/>
      </c>
      <c r="C534">
        <f>Schedule!$D$79</f>
        <v/>
      </c>
      <c r="D534">
        <f>Schedule!$F$79</f>
        <v/>
      </c>
      <c r="E534" t="n">
        <v>0</v>
      </c>
      <c r="F534">
        <f>Schedule!$G$1</f>
        <v/>
      </c>
      <c r="G534">
        <f>Schedule!$G$2</f>
        <v/>
      </c>
      <c r="H534">
        <f>Schedule!$G$79</f>
        <v/>
      </c>
      <c r="I534">
        <f>IF($N534=1,VALUE(LEFT($H534,2)),"")</f>
        <v/>
      </c>
      <c r="J534">
        <f>IF($N534=1,VALUE(MID($H534,9,2)),"")</f>
        <v/>
      </c>
      <c r="K534">
        <f>IF($N534=1,MOD($J534-$I534,24),0)</f>
        <v/>
      </c>
      <c r="L534">
        <f>IF($N534=1,$E534*24+$I534,"")</f>
        <v/>
      </c>
      <c r="M534">
        <f>IF($N534=1,$L534+$K534,"")</f>
        <v/>
      </c>
      <c r="N534">
        <f>IF(ISNUMBER(SEARCH(" - ",$H534&amp;"")),1,0)</f>
        <v/>
      </c>
      <c r="O534">
        <f>IF(UPPER($H534&amp;"")="LEAVE",1,0)</f>
        <v/>
      </c>
      <c r="P534">
        <f>IF($N534=1,$K534,0)</f>
        <v/>
      </c>
      <c r="Q534">
        <f>IF($N534=0,"",IFERROR($L534-'Previous Engine'!$M$78,""))</f>
        <v/>
      </c>
    </row>
    <row r="535">
      <c r="A535" t="n">
        <v>534</v>
      </c>
      <c r="B535">
        <f>Schedule!$A$79</f>
        <v/>
      </c>
      <c r="C535">
        <f>Schedule!$D$79</f>
        <v/>
      </c>
      <c r="D535">
        <f>Schedule!$F$79</f>
        <v/>
      </c>
      <c r="E535" t="n">
        <v>1</v>
      </c>
      <c r="F535">
        <f>Schedule!$H$1</f>
        <v/>
      </c>
      <c r="G535">
        <f>Schedule!$H$2</f>
        <v/>
      </c>
      <c r="H535">
        <f>Schedule!$H$79</f>
        <v/>
      </c>
      <c r="I535">
        <f>IF($N535=1,VALUE(LEFT($H535,2)),"")</f>
        <v/>
      </c>
      <c r="J535">
        <f>IF($N535=1,VALUE(MID($H535,9,2)),"")</f>
        <v/>
      </c>
      <c r="K535">
        <f>IF($N535=1,MOD($J535-$I535,24),0)</f>
        <v/>
      </c>
      <c r="L535">
        <f>IF($N535=1,$E535*24+$I535,"")</f>
        <v/>
      </c>
      <c r="M535">
        <f>IF($N535=1,$L535+$K535,"")</f>
        <v/>
      </c>
      <c r="N535">
        <f>IF(ISNUMBER(SEARCH(" - ",$H535&amp;"")),1,0)</f>
        <v/>
      </c>
      <c r="O535">
        <f>IF(UPPER($H535&amp;"")="LEAVE",1,0)</f>
        <v/>
      </c>
      <c r="P535">
        <f>IF($N535=1,$K535,0)</f>
        <v/>
      </c>
      <c r="Q535">
        <f>IF($N535=0,"",IFERROR($L535-LOOKUP(2,1/(($B$2:$B534=$B535)*($N$2:$N534=1)),$M$2:$M534),""))</f>
        <v/>
      </c>
    </row>
    <row r="536">
      <c r="A536" t="n">
        <v>535</v>
      </c>
      <c r="B536">
        <f>Schedule!$A$79</f>
        <v/>
      </c>
      <c r="C536">
        <f>Schedule!$D$79</f>
        <v/>
      </c>
      <c r="D536">
        <f>Schedule!$F$79</f>
        <v/>
      </c>
      <c r="E536" t="n">
        <v>2</v>
      </c>
      <c r="F536">
        <f>Schedule!$I$1</f>
        <v/>
      </c>
      <c r="G536">
        <f>Schedule!$I$2</f>
        <v/>
      </c>
      <c r="H536">
        <f>Schedule!$I$79</f>
        <v/>
      </c>
      <c r="I536">
        <f>IF($N536=1,VALUE(LEFT($H536,2)),"")</f>
        <v/>
      </c>
      <c r="J536">
        <f>IF($N536=1,VALUE(MID($H536,9,2)),"")</f>
        <v/>
      </c>
      <c r="K536">
        <f>IF($N536=1,MOD($J536-$I536,24),0)</f>
        <v/>
      </c>
      <c r="L536">
        <f>IF($N536=1,$E536*24+$I536,"")</f>
        <v/>
      </c>
      <c r="M536">
        <f>IF($N536=1,$L536+$K536,"")</f>
        <v/>
      </c>
      <c r="N536">
        <f>IF(ISNUMBER(SEARCH(" - ",$H536&amp;"")),1,0)</f>
        <v/>
      </c>
      <c r="O536">
        <f>IF(UPPER($H536&amp;"")="LEAVE",1,0)</f>
        <v/>
      </c>
      <c r="P536">
        <f>IF($N536=1,$K536,0)</f>
        <v/>
      </c>
      <c r="Q536">
        <f>IF($N536=0,"",IFERROR($L536-LOOKUP(2,1/(($B$2:$B535=$B536)*($N$2:$N535=1)),$M$2:$M535),""))</f>
        <v/>
      </c>
    </row>
    <row r="537">
      <c r="A537" t="n">
        <v>536</v>
      </c>
      <c r="B537">
        <f>Schedule!$A$79</f>
        <v/>
      </c>
      <c r="C537">
        <f>Schedule!$D$79</f>
        <v/>
      </c>
      <c r="D537">
        <f>Schedule!$F$79</f>
        <v/>
      </c>
      <c r="E537" t="n">
        <v>3</v>
      </c>
      <c r="F537">
        <f>Schedule!$J$1</f>
        <v/>
      </c>
      <c r="G537">
        <f>Schedule!$J$2</f>
        <v/>
      </c>
      <c r="H537">
        <f>Schedule!$J$79</f>
        <v/>
      </c>
      <c r="I537">
        <f>IF($N537=1,VALUE(LEFT($H537,2)),"")</f>
        <v/>
      </c>
      <c r="J537">
        <f>IF($N537=1,VALUE(MID($H537,9,2)),"")</f>
        <v/>
      </c>
      <c r="K537">
        <f>IF($N537=1,MOD($J537-$I537,24),0)</f>
        <v/>
      </c>
      <c r="L537">
        <f>IF($N537=1,$E537*24+$I537,"")</f>
        <v/>
      </c>
      <c r="M537">
        <f>IF($N537=1,$L537+$K537,"")</f>
        <v/>
      </c>
      <c r="N537">
        <f>IF(ISNUMBER(SEARCH(" - ",$H537&amp;"")),1,0)</f>
        <v/>
      </c>
      <c r="O537">
        <f>IF(UPPER($H537&amp;"")="LEAVE",1,0)</f>
        <v/>
      </c>
      <c r="P537">
        <f>IF($N537=1,$K537,0)</f>
        <v/>
      </c>
      <c r="Q537">
        <f>IF($N537=0,"",IFERROR($L537-LOOKUP(2,1/(($B$2:$B536=$B537)*($N$2:$N536=1)),$M$2:$M536),""))</f>
        <v/>
      </c>
    </row>
    <row r="538">
      <c r="A538" t="n">
        <v>537</v>
      </c>
      <c r="B538">
        <f>Schedule!$A$79</f>
        <v/>
      </c>
      <c r="C538">
        <f>Schedule!$D$79</f>
        <v/>
      </c>
      <c r="D538">
        <f>Schedule!$F$79</f>
        <v/>
      </c>
      <c r="E538" t="n">
        <v>4</v>
      </c>
      <c r="F538">
        <f>Schedule!$K$1</f>
        <v/>
      </c>
      <c r="G538">
        <f>Schedule!$K$2</f>
        <v/>
      </c>
      <c r="H538">
        <f>Schedule!$K$79</f>
        <v/>
      </c>
      <c r="I538">
        <f>IF($N538=1,VALUE(LEFT($H538,2)),"")</f>
        <v/>
      </c>
      <c r="J538">
        <f>IF($N538=1,VALUE(MID($H538,9,2)),"")</f>
        <v/>
      </c>
      <c r="K538">
        <f>IF($N538=1,MOD($J538-$I538,24),0)</f>
        <v/>
      </c>
      <c r="L538">
        <f>IF($N538=1,$E538*24+$I538,"")</f>
        <v/>
      </c>
      <c r="M538">
        <f>IF($N538=1,$L538+$K538,"")</f>
        <v/>
      </c>
      <c r="N538">
        <f>IF(ISNUMBER(SEARCH(" - ",$H538&amp;"")),1,0)</f>
        <v/>
      </c>
      <c r="O538">
        <f>IF(UPPER($H538&amp;"")="LEAVE",1,0)</f>
        <v/>
      </c>
      <c r="P538">
        <f>IF($N538=1,$K538,0)</f>
        <v/>
      </c>
      <c r="Q538">
        <f>IF($N538=0,"",IFERROR($L538-LOOKUP(2,1/(($B$2:$B537=$B538)*($N$2:$N537=1)),$M$2:$M537),""))</f>
        <v/>
      </c>
    </row>
    <row r="539">
      <c r="A539" t="n">
        <v>538</v>
      </c>
      <c r="B539">
        <f>Schedule!$A$79</f>
        <v/>
      </c>
      <c r="C539">
        <f>Schedule!$D$79</f>
        <v/>
      </c>
      <c r="D539">
        <f>Schedule!$F$79</f>
        <v/>
      </c>
      <c r="E539" t="n">
        <v>5</v>
      </c>
      <c r="F539">
        <f>Schedule!$L$1</f>
        <v/>
      </c>
      <c r="G539">
        <f>Schedule!$L$2</f>
        <v/>
      </c>
      <c r="H539">
        <f>Schedule!$L$79</f>
        <v/>
      </c>
      <c r="I539">
        <f>IF($N539=1,VALUE(LEFT($H539,2)),"")</f>
        <v/>
      </c>
      <c r="J539">
        <f>IF($N539=1,VALUE(MID($H539,9,2)),"")</f>
        <v/>
      </c>
      <c r="K539">
        <f>IF($N539=1,MOD($J539-$I539,24),0)</f>
        <v/>
      </c>
      <c r="L539">
        <f>IF($N539=1,$E539*24+$I539,"")</f>
        <v/>
      </c>
      <c r="M539">
        <f>IF($N539=1,$L539+$K539,"")</f>
        <v/>
      </c>
      <c r="N539">
        <f>IF(ISNUMBER(SEARCH(" - ",$H539&amp;"")),1,0)</f>
        <v/>
      </c>
      <c r="O539">
        <f>IF(UPPER($H539&amp;"")="LEAVE",1,0)</f>
        <v/>
      </c>
      <c r="P539">
        <f>IF($N539=1,$K539,0)</f>
        <v/>
      </c>
      <c r="Q539">
        <f>IF($N539=0,"",IFERROR($L539-LOOKUP(2,1/(($B$2:$B538=$B539)*($N$2:$N538=1)),$M$2:$M538),""))</f>
        <v/>
      </c>
    </row>
    <row r="540">
      <c r="A540" t="n">
        <v>539</v>
      </c>
      <c r="B540">
        <f>Schedule!$A$79</f>
        <v/>
      </c>
      <c r="C540">
        <f>Schedule!$D$79</f>
        <v/>
      </c>
      <c r="D540">
        <f>Schedule!$F$79</f>
        <v/>
      </c>
      <c r="E540" t="n">
        <v>6</v>
      </c>
      <c r="F540">
        <f>Schedule!$M$1</f>
        <v/>
      </c>
      <c r="G540">
        <f>Schedule!$M$2</f>
        <v/>
      </c>
      <c r="H540">
        <f>Schedule!$M$79</f>
        <v/>
      </c>
      <c r="I540">
        <f>IF($N540=1,VALUE(LEFT($H540,2)),"")</f>
        <v/>
      </c>
      <c r="J540">
        <f>IF($N540=1,VALUE(MID($H540,9,2)),"")</f>
        <v/>
      </c>
      <c r="K540">
        <f>IF($N540=1,MOD($J540-$I540,24),0)</f>
        <v/>
      </c>
      <c r="L540">
        <f>IF($N540=1,$E540*24+$I540,"")</f>
        <v/>
      </c>
      <c r="M540">
        <f>IF($N540=1,$L540+$K540,"")</f>
        <v/>
      </c>
      <c r="N540">
        <f>IF(ISNUMBER(SEARCH(" - ",$H540&amp;"")),1,0)</f>
        <v/>
      </c>
      <c r="O540">
        <f>IF(UPPER($H540&amp;"")="LEAVE",1,0)</f>
        <v/>
      </c>
      <c r="P540">
        <f>IF($N540=1,$K540,0)</f>
        <v/>
      </c>
      <c r="Q540">
        <f>IF($N540=0,"",IFERROR($L540-LOOKUP(2,1/(($B$2:$B539=$B540)*($N$2:$N539=1)),$M$2:$M539),""))</f>
        <v/>
      </c>
    </row>
    <row r="541">
      <c r="A541" t="n">
        <v>540</v>
      </c>
      <c r="B541">
        <f>Schedule!$A$80</f>
        <v/>
      </c>
      <c r="C541">
        <f>Schedule!$D$80</f>
        <v/>
      </c>
      <c r="D541">
        <f>Schedule!$F$80</f>
        <v/>
      </c>
      <c r="E541" t="n">
        <v>0</v>
      </c>
      <c r="F541">
        <f>Schedule!$G$1</f>
        <v/>
      </c>
      <c r="G541">
        <f>Schedule!$G$2</f>
        <v/>
      </c>
      <c r="H541">
        <f>Schedule!$G$80</f>
        <v/>
      </c>
      <c r="I541">
        <f>IF($N541=1,VALUE(LEFT($H541,2)),"")</f>
        <v/>
      </c>
      <c r="J541">
        <f>IF($N541=1,VALUE(MID($H541,9,2)),"")</f>
        <v/>
      </c>
      <c r="K541">
        <f>IF($N541=1,MOD($J541-$I541,24),0)</f>
        <v/>
      </c>
      <c r="L541">
        <f>IF($N541=1,$E541*24+$I541,"")</f>
        <v/>
      </c>
      <c r="M541">
        <f>IF($N541=1,$L541+$K541,"")</f>
        <v/>
      </c>
      <c r="N541">
        <f>IF(ISNUMBER(SEARCH(" - ",$H541&amp;"")),1,0)</f>
        <v/>
      </c>
      <c r="O541">
        <f>IF(UPPER($H541&amp;"")="LEAVE",1,0)</f>
        <v/>
      </c>
      <c r="P541">
        <f>IF($N541=1,$K541,0)</f>
        <v/>
      </c>
      <c r="Q541">
        <f>IF($N541=0,"",IFERROR($L541-'Previous Engine'!$M$79,""))</f>
        <v/>
      </c>
    </row>
    <row r="542">
      <c r="A542" t="n">
        <v>541</v>
      </c>
      <c r="B542">
        <f>Schedule!$A$80</f>
        <v/>
      </c>
      <c r="C542">
        <f>Schedule!$D$80</f>
        <v/>
      </c>
      <c r="D542">
        <f>Schedule!$F$80</f>
        <v/>
      </c>
      <c r="E542" t="n">
        <v>1</v>
      </c>
      <c r="F542">
        <f>Schedule!$H$1</f>
        <v/>
      </c>
      <c r="G542">
        <f>Schedule!$H$2</f>
        <v/>
      </c>
      <c r="H542">
        <f>Schedule!$H$80</f>
        <v/>
      </c>
      <c r="I542">
        <f>IF($N542=1,VALUE(LEFT($H542,2)),"")</f>
        <v/>
      </c>
      <c r="J542">
        <f>IF($N542=1,VALUE(MID($H542,9,2)),"")</f>
        <v/>
      </c>
      <c r="K542">
        <f>IF($N542=1,MOD($J542-$I542,24),0)</f>
        <v/>
      </c>
      <c r="L542">
        <f>IF($N542=1,$E542*24+$I542,"")</f>
        <v/>
      </c>
      <c r="M542">
        <f>IF($N542=1,$L542+$K542,"")</f>
        <v/>
      </c>
      <c r="N542">
        <f>IF(ISNUMBER(SEARCH(" - ",$H542&amp;"")),1,0)</f>
        <v/>
      </c>
      <c r="O542">
        <f>IF(UPPER($H542&amp;"")="LEAVE",1,0)</f>
        <v/>
      </c>
      <c r="P542">
        <f>IF($N542=1,$K542,0)</f>
        <v/>
      </c>
      <c r="Q542">
        <f>IF($N542=0,"",IFERROR($L542-LOOKUP(2,1/(($B$2:$B541=$B542)*($N$2:$N541=1)),$M$2:$M541),""))</f>
        <v/>
      </c>
    </row>
    <row r="543">
      <c r="A543" t="n">
        <v>542</v>
      </c>
      <c r="B543">
        <f>Schedule!$A$80</f>
        <v/>
      </c>
      <c r="C543">
        <f>Schedule!$D$80</f>
        <v/>
      </c>
      <c r="D543">
        <f>Schedule!$F$80</f>
        <v/>
      </c>
      <c r="E543" t="n">
        <v>2</v>
      </c>
      <c r="F543">
        <f>Schedule!$I$1</f>
        <v/>
      </c>
      <c r="G543">
        <f>Schedule!$I$2</f>
        <v/>
      </c>
      <c r="H543">
        <f>Schedule!$I$80</f>
        <v/>
      </c>
      <c r="I543">
        <f>IF($N543=1,VALUE(LEFT($H543,2)),"")</f>
        <v/>
      </c>
      <c r="J543">
        <f>IF($N543=1,VALUE(MID($H543,9,2)),"")</f>
        <v/>
      </c>
      <c r="K543">
        <f>IF($N543=1,MOD($J543-$I543,24),0)</f>
        <v/>
      </c>
      <c r="L543">
        <f>IF($N543=1,$E543*24+$I543,"")</f>
        <v/>
      </c>
      <c r="M543">
        <f>IF($N543=1,$L543+$K543,"")</f>
        <v/>
      </c>
      <c r="N543">
        <f>IF(ISNUMBER(SEARCH(" - ",$H543&amp;"")),1,0)</f>
        <v/>
      </c>
      <c r="O543">
        <f>IF(UPPER($H543&amp;"")="LEAVE",1,0)</f>
        <v/>
      </c>
      <c r="P543">
        <f>IF($N543=1,$K543,0)</f>
        <v/>
      </c>
      <c r="Q543">
        <f>IF($N543=0,"",IFERROR($L543-LOOKUP(2,1/(($B$2:$B542=$B543)*($N$2:$N542=1)),$M$2:$M542),""))</f>
        <v/>
      </c>
    </row>
    <row r="544">
      <c r="A544" t="n">
        <v>543</v>
      </c>
      <c r="B544">
        <f>Schedule!$A$80</f>
        <v/>
      </c>
      <c r="C544">
        <f>Schedule!$D$80</f>
        <v/>
      </c>
      <c r="D544">
        <f>Schedule!$F$80</f>
        <v/>
      </c>
      <c r="E544" t="n">
        <v>3</v>
      </c>
      <c r="F544">
        <f>Schedule!$J$1</f>
        <v/>
      </c>
      <c r="G544">
        <f>Schedule!$J$2</f>
        <v/>
      </c>
      <c r="H544">
        <f>Schedule!$J$80</f>
        <v/>
      </c>
      <c r="I544">
        <f>IF($N544=1,VALUE(LEFT($H544,2)),"")</f>
        <v/>
      </c>
      <c r="J544">
        <f>IF($N544=1,VALUE(MID($H544,9,2)),"")</f>
        <v/>
      </c>
      <c r="K544">
        <f>IF($N544=1,MOD($J544-$I544,24),0)</f>
        <v/>
      </c>
      <c r="L544">
        <f>IF($N544=1,$E544*24+$I544,"")</f>
        <v/>
      </c>
      <c r="M544">
        <f>IF($N544=1,$L544+$K544,"")</f>
        <v/>
      </c>
      <c r="N544">
        <f>IF(ISNUMBER(SEARCH(" - ",$H544&amp;"")),1,0)</f>
        <v/>
      </c>
      <c r="O544">
        <f>IF(UPPER($H544&amp;"")="LEAVE",1,0)</f>
        <v/>
      </c>
      <c r="P544">
        <f>IF($N544=1,$K544,0)</f>
        <v/>
      </c>
      <c r="Q544">
        <f>IF($N544=0,"",IFERROR($L544-LOOKUP(2,1/(($B$2:$B543=$B544)*($N$2:$N543=1)),$M$2:$M543),""))</f>
        <v/>
      </c>
    </row>
    <row r="545">
      <c r="A545" t="n">
        <v>544</v>
      </c>
      <c r="B545">
        <f>Schedule!$A$80</f>
        <v/>
      </c>
      <c r="C545">
        <f>Schedule!$D$80</f>
        <v/>
      </c>
      <c r="D545">
        <f>Schedule!$F$80</f>
        <v/>
      </c>
      <c r="E545" t="n">
        <v>4</v>
      </c>
      <c r="F545">
        <f>Schedule!$K$1</f>
        <v/>
      </c>
      <c r="G545">
        <f>Schedule!$K$2</f>
        <v/>
      </c>
      <c r="H545">
        <f>Schedule!$K$80</f>
        <v/>
      </c>
      <c r="I545">
        <f>IF($N545=1,VALUE(LEFT($H545,2)),"")</f>
        <v/>
      </c>
      <c r="J545">
        <f>IF($N545=1,VALUE(MID($H545,9,2)),"")</f>
        <v/>
      </c>
      <c r="K545">
        <f>IF($N545=1,MOD($J545-$I545,24),0)</f>
        <v/>
      </c>
      <c r="L545">
        <f>IF($N545=1,$E545*24+$I545,"")</f>
        <v/>
      </c>
      <c r="M545">
        <f>IF($N545=1,$L545+$K545,"")</f>
        <v/>
      </c>
      <c r="N545">
        <f>IF(ISNUMBER(SEARCH(" - ",$H545&amp;"")),1,0)</f>
        <v/>
      </c>
      <c r="O545">
        <f>IF(UPPER($H545&amp;"")="LEAVE",1,0)</f>
        <v/>
      </c>
      <c r="P545">
        <f>IF($N545=1,$K545,0)</f>
        <v/>
      </c>
      <c r="Q545">
        <f>IF($N545=0,"",IFERROR($L545-LOOKUP(2,1/(($B$2:$B544=$B545)*($N$2:$N544=1)),$M$2:$M544),""))</f>
        <v/>
      </c>
    </row>
    <row r="546">
      <c r="A546" t="n">
        <v>545</v>
      </c>
      <c r="B546">
        <f>Schedule!$A$80</f>
        <v/>
      </c>
      <c r="C546">
        <f>Schedule!$D$80</f>
        <v/>
      </c>
      <c r="D546">
        <f>Schedule!$F$80</f>
        <v/>
      </c>
      <c r="E546" t="n">
        <v>5</v>
      </c>
      <c r="F546">
        <f>Schedule!$L$1</f>
        <v/>
      </c>
      <c r="G546">
        <f>Schedule!$L$2</f>
        <v/>
      </c>
      <c r="H546">
        <f>Schedule!$L$80</f>
        <v/>
      </c>
      <c r="I546">
        <f>IF($N546=1,VALUE(LEFT($H546,2)),"")</f>
        <v/>
      </c>
      <c r="J546">
        <f>IF($N546=1,VALUE(MID($H546,9,2)),"")</f>
        <v/>
      </c>
      <c r="K546">
        <f>IF($N546=1,MOD($J546-$I546,24),0)</f>
        <v/>
      </c>
      <c r="L546">
        <f>IF($N546=1,$E546*24+$I546,"")</f>
        <v/>
      </c>
      <c r="M546">
        <f>IF($N546=1,$L546+$K546,"")</f>
        <v/>
      </c>
      <c r="N546">
        <f>IF(ISNUMBER(SEARCH(" - ",$H546&amp;"")),1,0)</f>
        <v/>
      </c>
      <c r="O546">
        <f>IF(UPPER($H546&amp;"")="LEAVE",1,0)</f>
        <v/>
      </c>
      <c r="P546">
        <f>IF($N546=1,$K546,0)</f>
        <v/>
      </c>
      <c r="Q546">
        <f>IF($N546=0,"",IFERROR($L546-LOOKUP(2,1/(($B$2:$B545=$B546)*($N$2:$N545=1)),$M$2:$M545),""))</f>
        <v/>
      </c>
    </row>
    <row r="547">
      <c r="A547" t="n">
        <v>546</v>
      </c>
      <c r="B547">
        <f>Schedule!$A$80</f>
        <v/>
      </c>
      <c r="C547">
        <f>Schedule!$D$80</f>
        <v/>
      </c>
      <c r="D547">
        <f>Schedule!$F$80</f>
        <v/>
      </c>
      <c r="E547" t="n">
        <v>6</v>
      </c>
      <c r="F547">
        <f>Schedule!$M$1</f>
        <v/>
      </c>
      <c r="G547">
        <f>Schedule!$M$2</f>
        <v/>
      </c>
      <c r="H547">
        <f>Schedule!$M$80</f>
        <v/>
      </c>
      <c r="I547">
        <f>IF($N547=1,VALUE(LEFT($H547,2)),"")</f>
        <v/>
      </c>
      <c r="J547">
        <f>IF($N547=1,VALUE(MID($H547,9,2)),"")</f>
        <v/>
      </c>
      <c r="K547">
        <f>IF($N547=1,MOD($J547-$I547,24),0)</f>
        <v/>
      </c>
      <c r="L547">
        <f>IF($N547=1,$E547*24+$I547,"")</f>
        <v/>
      </c>
      <c r="M547">
        <f>IF($N547=1,$L547+$K547,"")</f>
        <v/>
      </c>
      <c r="N547">
        <f>IF(ISNUMBER(SEARCH(" - ",$H547&amp;"")),1,0)</f>
        <v/>
      </c>
      <c r="O547">
        <f>IF(UPPER($H547&amp;"")="LEAVE",1,0)</f>
        <v/>
      </c>
      <c r="P547">
        <f>IF($N547=1,$K547,0)</f>
        <v/>
      </c>
      <c r="Q547">
        <f>IF($N547=0,"",IFERROR($L547-LOOKUP(2,1/(($B$2:$B546=$B547)*($N$2:$N546=1)),$M$2:$M546),""))</f>
        <v/>
      </c>
    </row>
    <row r="548">
      <c r="A548" t="n">
        <v>547</v>
      </c>
      <c r="B548">
        <f>Schedule!$A$81</f>
        <v/>
      </c>
      <c r="C548">
        <f>Schedule!$D$81</f>
        <v/>
      </c>
      <c r="D548">
        <f>Schedule!$F$81</f>
        <v/>
      </c>
      <c r="E548" t="n">
        <v>0</v>
      </c>
      <c r="F548">
        <f>Schedule!$G$1</f>
        <v/>
      </c>
      <c r="G548">
        <f>Schedule!$G$2</f>
        <v/>
      </c>
      <c r="H548">
        <f>Schedule!$G$81</f>
        <v/>
      </c>
      <c r="I548">
        <f>IF($N548=1,VALUE(LEFT($H548,2)),"")</f>
        <v/>
      </c>
      <c r="J548">
        <f>IF($N548=1,VALUE(MID($H548,9,2)),"")</f>
        <v/>
      </c>
      <c r="K548">
        <f>IF($N548=1,MOD($J548-$I548,24),0)</f>
        <v/>
      </c>
      <c r="L548">
        <f>IF($N548=1,$E548*24+$I548,"")</f>
        <v/>
      </c>
      <c r="M548">
        <f>IF($N548=1,$L548+$K548,"")</f>
        <v/>
      </c>
      <c r="N548">
        <f>IF(ISNUMBER(SEARCH(" - ",$H548&amp;"")),1,0)</f>
        <v/>
      </c>
      <c r="O548">
        <f>IF(UPPER($H548&amp;"")="LEAVE",1,0)</f>
        <v/>
      </c>
      <c r="P548">
        <f>IF($N548=1,$K548,0)</f>
        <v/>
      </c>
      <c r="Q548">
        <f>IF($N548=0,"",IFERROR($L548-'Previous Engine'!$M$80,""))</f>
        <v/>
      </c>
    </row>
    <row r="549">
      <c r="A549" t="n">
        <v>548</v>
      </c>
      <c r="B549">
        <f>Schedule!$A$81</f>
        <v/>
      </c>
      <c r="C549">
        <f>Schedule!$D$81</f>
        <v/>
      </c>
      <c r="D549">
        <f>Schedule!$F$81</f>
        <v/>
      </c>
      <c r="E549" t="n">
        <v>1</v>
      </c>
      <c r="F549">
        <f>Schedule!$H$1</f>
        <v/>
      </c>
      <c r="G549">
        <f>Schedule!$H$2</f>
        <v/>
      </c>
      <c r="H549">
        <f>Schedule!$H$81</f>
        <v/>
      </c>
      <c r="I549">
        <f>IF($N549=1,VALUE(LEFT($H549,2)),"")</f>
        <v/>
      </c>
      <c r="J549">
        <f>IF($N549=1,VALUE(MID($H549,9,2)),"")</f>
        <v/>
      </c>
      <c r="K549">
        <f>IF($N549=1,MOD($J549-$I549,24),0)</f>
        <v/>
      </c>
      <c r="L549">
        <f>IF($N549=1,$E549*24+$I549,"")</f>
        <v/>
      </c>
      <c r="M549">
        <f>IF($N549=1,$L549+$K549,"")</f>
        <v/>
      </c>
      <c r="N549">
        <f>IF(ISNUMBER(SEARCH(" - ",$H549&amp;"")),1,0)</f>
        <v/>
      </c>
      <c r="O549">
        <f>IF(UPPER($H549&amp;"")="LEAVE",1,0)</f>
        <v/>
      </c>
      <c r="P549">
        <f>IF($N549=1,$K549,0)</f>
        <v/>
      </c>
      <c r="Q549">
        <f>IF($N549=0,"",IFERROR($L549-LOOKUP(2,1/(($B$2:$B548=$B549)*($N$2:$N548=1)),$M$2:$M548),""))</f>
        <v/>
      </c>
    </row>
    <row r="550">
      <c r="A550" t="n">
        <v>549</v>
      </c>
      <c r="B550">
        <f>Schedule!$A$81</f>
        <v/>
      </c>
      <c r="C550">
        <f>Schedule!$D$81</f>
        <v/>
      </c>
      <c r="D550">
        <f>Schedule!$F$81</f>
        <v/>
      </c>
      <c r="E550" t="n">
        <v>2</v>
      </c>
      <c r="F550">
        <f>Schedule!$I$1</f>
        <v/>
      </c>
      <c r="G550">
        <f>Schedule!$I$2</f>
        <v/>
      </c>
      <c r="H550">
        <f>Schedule!$I$81</f>
        <v/>
      </c>
      <c r="I550">
        <f>IF($N550=1,VALUE(LEFT($H550,2)),"")</f>
        <v/>
      </c>
      <c r="J550">
        <f>IF($N550=1,VALUE(MID($H550,9,2)),"")</f>
        <v/>
      </c>
      <c r="K550">
        <f>IF($N550=1,MOD($J550-$I550,24),0)</f>
        <v/>
      </c>
      <c r="L550">
        <f>IF($N550=1,$E550*24+$I550,"")</f>
        <v/>
      </c>
      <c r="M550">
        <f>IF($N550=1,$L550+$K550,"")</f>
        <v/>
      </c>
      <c r="N550">
        <f>IF(ISNUMBER(SEARCH(" - ",$H550&amp;"")),1,0)</f>
        <v/>
      </c>
      <c r="O550">
        <f>IF(UPPER($H550&amp;"")="LEAVE",1,0)</f>
        <v/>
      </c>
      <c r="P550">
        <f>IF($N550=1,$K550,0)</f>
        <v/>
      </c>
      <c r="Q550">
        <f>IF($N550=0,"",IFERROR($L550-LOOKUP(2,1/(($B$2:$B549=$B550)*($N$2:$N549=1)),$M$2:$M549),""))</f>
        <v/>
      </c>
    </row>
    <row r="551">
      <c r="A551" t="n">
        <v>550</v>
      </c>
      <c r="B551">
        <f>Schedule!$A$81</f>
        <v/>
      </c>
      <c r="C551">
        <f>Schedule!$D$81</f>
        <v/>
      </c>
      <c r="D551">
        <f>Schedule!$F$81</f>
        <v/>
      </c>
      <c r="E551" t="n">
        <v>3</v>
      </c>
      <c r="F551">
        <f>Schedule!$J$1</f>
        <v/>
      </c>
      <c r="G551">
        <f>Schedule!$J$2</f>
        <v/>
      </c>
      <c r="H551">
        <f>Schedule!$J$81</f>
        <v/>
      </c>
      <c r="I551">
        <f>IF($N551=1,VALUE(LEFT($H551,2)),"")</f>
        <v/>
      </c>
      <c r="J551">
        <f>IF($N551=1,VALUE(MID($H551,9,2)),"")</f>
        <v/>
      </c>
      <c r="K551">
        <f>IF($N551=1,MOD($J551-$I551,24),0)</f>
        <v/>
      </c>
      <c r="L551">
        <f>IF($N551=1,$E551*24+$I551,"")</f>
        <v/>
      </c>
      <c r="M551">
        <f>IF($N551=1,$L551+$K551,"")</f>
        <v/>
      </c>
      <c r="N551">
        <f>IF(ISNUMBER(SEARCH(" - ",$H551&amp;"")),1,0)</f>
        <v/>
      </c>
      <c r="O551">
        <f>IF(UPPER($H551&amp;"")="LEAVE",1,0)</f>
        <v/>
      </c>
      <c r="P551">
        <f>IF($N551=1,$K551,0)</f>
        <v/>
      </c>
      <c r="Q551">
        <f>IF($N551=0,"",IFERROR($L551-LOOKUP(2,1/(($B$2:$B550=$B551)*($N$2:$N550=1)),$M$2:$M550),""))</f>
        <v/>
      </c>
    </row>
    <row r="552">
      <c r="A552" t="n">
        <v>551</v>
      </c>
      <c r="B552">
        <f>Schedule!$A$81</f>
        <v/>
      </c>
      <c r="C552">
        <f>Schedule!$D$81</f>
        <v/>
      </c>
      <c r="D552">
        <f>Schedule!$F$81</f>
        <v/>
      </c>
      <c r="E552" t="n">
        <v>4</v>
      </c>
      <c r="F552">
        <f>Schedule!$K$1</f>
        <v/>
      </c>
      <c r="G552">
        <f>Schedule!$K$2</f>
        <v/>
      </c>
      <c r="H552">
        <f>Schedule!$K$81</f>
        <v/>
      </c>
      <c r="I552">
        <f>IF($N552=1,VALUE(LEFT($H552,2)),"")</f>
        <v/>
      </c>
      <c r="J552">
        <f>IF($N552=1,VALUE(MID($H552,9,2)),"")</f>
        <v/>
      </c>
      <c r="K552">
        <f>IF($N552=1,MOD($J552-$I552,24),0)</f>
        <v/>
      </c>
      <c r="L552">
        <f>IF($N552=1,$E552*24+$I552,"")</f>
        <v/>
      </c>
      <c r="M552">
        <f>IF($N552=1,$L552+$K552,"")</f>
        <v/>
      </c>
      <c r="N552">
        <f>IF(ISNUMBER(SEARCH(" - ",$H552&amp;"")),1,0)</f>
        <v/>
      </c>
      <c r="O552">
        <f>IF(UPPER($H552&amp;"")="LEAVE",1,0)</f>
        <v/>
      </c>
      <c r="P552">
        <f>IF($N552=1,$K552,0)</f>
        <v/>
      </c>
      <c r="Q552">
        <f>IF($N552=0,"",IFERROR($L552-LOOKUP(2,1/(($B$2:$B551=$B552)*($N$2:$N551=1)),$M$2:$M551),""))</f>
        <v/>
      </c>
    </row>
    <row r="553">
      <c r="A553" t="n">
        <v>552</v>
      </c>
      <c r="B553">
        <f>Schedule!$A$81</f>
        <v/>
      </c>
      <c r="C553">
        <f>Schedule!$D$81</f>
        <v/>
      </c>
      <c r="D553">
        <f>Schedule!$F$81</f>
        <v/>
      </c>
      <c r="E553" t="n">
        <v>5</v>
      </c>
      <c r="F553">
        <f>Schedule!$L$1</f>
        <v/>
      </c>
      <c r="G553">
        <f>Schedule!$L$2</f>
        <v/>
      </c>
      <c r="H553">
        <f>Schedule!$L$81</f>
        <v/>
      </c>
      <c r="I553">
        <f>IF($N553=1,VALUE(LEFT($H553,2)),"")</f>
        <v/>
      </c>
      <c r="J553">
        <f>IF($N553=1,VALUE(MID($H553,9,2)),"")</f>
        <v/>
      </c>
      <c r="K553">
        <f>IF($N553=1,MOD($J553-$I553,24),0)</f>
        <v/>
      </c>
      <c r="L553">
        <f>IF($N553=1,$E553*24+$I553,"")</f>
        <v/>
      </c>
      <c r="M553">
        <f>IF($N553=1,$L553+$K553,"")</f>
        <v/>
      </c>
      <c r="N553">
        <f>IF(ISNUMBER(SEARCH(" - ",$H553&amp;"")),1,0)</f>
        <v/>
      </c>
      <c r="O553">
        <f>IF(UPPER($H553&amp;"")="LEAVE",1,0)</f>
        <v/>
      </c>
      <c r="P553">
        <f>IF($N553=1,$K553,0)</f>
        <v/>
      </c>
      <c r="Q553">
        <f>IF($N553=0,"",IFERROR($L553-LOOKUP(2,1/(($B$2:$B552=$B553)*($N$2:$N552=1)),$M$2:$M552),""))</f>
        <v/>
      </c>
    </row>
    <row r="554">
      <c r="A554" t="n">
        <v>553</v>
      </c>
      <c r="B554">
        <f>Schedule!$A$81</f>
        <v/>
      </c>
      <c r="C554">
        <f>Schedule!$D$81</f>
        <v/>
      </c>
      <c r="D554">
        <f>Schedule!$F$81</f>
        <v/>
      </c>
      <c r="E554" t="n">
        <v>6</v>
      </c>
      <c r="F554">
        <f>Schedule!$M$1</f>
        <v/>
      </c>
      <c r="G554">
        <f>Schedule!$M$2</f>
        <v/>
      </c>
      <c r="H554">
        <f>Schedule!$M$81</f>
        <v/>
      </c>
      <c r="I554">
        <f>IF($N554=1,VALUE(LEFT($H554,2)),"")</f>
        <v/>
      </c>
      <c r="J554">
        <f>IF($N554=1,VALUE(MID($H554,9,2)),"")</f>
        <v/>
      </c>
      <c r="K554">
        <f>IF($N554=1,MOD($J554-$I554,24),0)</f>
        <v/>
      </c>
      <c r="L554">
        <f>IF($N554=1,$E554*24+$I554,"")</f>
        <v/>
      </c>
      <c r="M554">
        <f>IF($N554=1,$L554+$K554,"")</f>
        <v/>
      </c>
      <c r="N554">
        <f>IF(ISNUMBER(SEARCH(" - ",$H554&amp;"")),1,0)</f>
        <v/>
      </c>
      <c r="O554">
        <f>IF(UPPER($H554&amp;"")="LEAVE",1,0)</f>
        <v/>
      </c>
      <c r="P554">
        <f>IF($N554=1,$K554,0)</f>
        <v/>
      </c>
      <c r="Q554">
        <f>IF($N554=0,"",IFERROR($L554-LOOKUP(2,1/(($B$2:$B553=$B554)*($N$2:$N553=1)),$M$2:$M553),""))</f>
        <v/>
      </c>
    </row>
    <row r="555">
      <c r="A555" t="n">
        <v>554</v>
      </c>
      <c r="B555">
        <f>Schedule!$A$82</f>
        <v/>
      </c>
      <c r="C555">
        <f>Schedule!$D$82</f>
        <v/>
      </c>
      <c r="D555">
        <f>Schedule!$F$82</f>
        <v/>
      </c>
      <c r="E555" t="n">
        <v>0</v>
      </c>
      <c r="F555">
        <f>Schedule!$G$1</f>
        <v/>
      </c>
      <c r="G555">
        <f>Schedule!$G$2</f>
        <v/>
      </c>
      <c r="H555">
        <f>Schedule!$G$82</f>
        <v/>
      </c>
      <c r="I555">
        <f>IF($N555=1,VALUE(LEFT($H555,2)),"")</f>
        <v/>
      </c>
      <c r="J555">
        <f>IF($N555=1,VALUE(MID($H555,9,2)),"")</f>
        <v/>
      </c>
      <c r="K555">
        <f>IF($N555=1,MOD($J555-$I555,24),0)</f>
        <v/>
      </c>
      <c r="L555">
        <f>IF($N555=1,$E555*24+$I555,"")</f>
        <v/>
      </c>
      <c r="M555">
        <f>IF($N555=1,$L555+$K555,"")</f>
        <v/>
      </c>
      <c r="N555">
        <f>IF(ISNUMBER(SEARCH(" - ",$H555&amp;"")),1,0)</f>
        <v/>
      </c>
      <c r="O555">
        <f>IF(UPPER($H555&amp;"")="LEAVE",1,0)</f>
        <v/>
      </c>
      <c r="P555">
        <f>IF($N555=1,$K555,0)</f>
        <v/>
      </c>
      <c r="Q555">
        <f>IF($N555=0,"",IFERROR($L555-'Previous Engine'!$M$81,""))</f>
        <v/>
      </c>
    </row>
    <row r="556">
      <c r="A556" t="n">
        <v>555</v>
      </c>
      <c r="B556">
        <f>Schedule!$A$82</f>
        <v/>
      </c>
      <c r="C556">
        <f>Schedule!$D$82</f>
        <v/>
      </c>
      <c r="D556">
        <f>Schedule!$F$82</f>
        <v/>
      </c>
      <c r="E556" t="n">
        <v>1</v>
      </c>
      <c r="F556">
        <f>Schedule!$H$1</f>
        <v/>
      </c>
      <c r="G556">
        <f>Schedule!$H$2</f>
        <v/>
      </c>
      <c r="H556">
        <f>Schedule!$H$82</f>
        <v/>
      </c>
      <c r="I556">
        <f>IF($N556=1,VALUE(LEFT($H556,2)),"")</f>
        <v/>
      </c>
      <c r="J556">
        <f>IF($N556=1,VALUE(MID($H556,9,2)),"")</f>
        <v/>
      </c>
      <c r="K556">
        <f>IF($N556=1,MOD($J556-$I556,24),0)</f>
        <v/>
      </c>
      <c r="L556">
        <f>IF($N556=1,$E556*24+$I556,"")</f>
        <v/>
      </c>
      <c r="M556">
        <f>IF($N556=1,$L556+$K556,"")</f>
        <v/>
      </c>
      <c r="N556">
        <f>IF(ISNUMBER(SEARCH(" - ",$H556&amp;"")),1,0)</f>
        <v/>
      </c>
      <c r="O556">
        <f>IF(UPPER($H556&amp;"")="LEAVE",1,0)</f>
        <v/>
      </c>
      <c r="P556">
        <f>IF($N556=1,$K556,0)</f>
        <v/>
      </c>
      <c r="Q556">
        <f>IF($N556=0,"",IFERROR($L556-LOOKUP(2,1/(($B$2:$B555=$B556)*($N$2:$N555=1)),$M$2:$M555),""))</f>
        <v/>
      </c>
    </row>
    <row r="557">
      <c r="A557" t="n">
        <v>556</v>
      </c>
      <c r="B557">
        <f>Schedule!$A$82</f>
        <v/>
      </c>
      <c r="C557">
        <f>Schedule!$D$82</f>
        <v/>
      </c>
      <c r="D557">
        <f>Schedule!$F$82</f>
        <v/>
      </c>
      <c r="E557" t="n">
        <v>2</v>
      </c>
      <c r="F557">
        <f>Schedule!$I$1</f>
        <v/>
      </c>
      <c r="G557">
        <f>Schedule!$I$2</f>
        <v/>
      </c>
      <c r="H557">
        <f>Schedule!$I$82</f>
        <v/>
      </c>
      <c r="I557">
        <f>IF($N557=1,VALUE(LEFT($H557,2)),"")</f>
        <v/>
      </c>
      <c r="J557">
        <f>IF($N557=1,VALUE(MID($H557,9,2)),"")</f>
        <v/>
      </c>
      <c r="K557">
        <f>IF($N557=1,MOD($J557-$I557,24),0)</f>
        <v/>
      </c>
      <c r="L557">
        <f>IF($N557=1,$E557*24+$I557,"")</f>
        <v/>
      </c>
      <c r="M557">
        <f>IF($N557=1,$L557+$K557,"")</f>
        <v/>
      </c>
      <c r="N557">
        <f>IF(ISNUMBER(SEARCH(" - ",$H557&amp;"")),1,0)</f>
        <v/>
      </c>
      <c r="O557">
        <f>IF(UPPER($H557&amp;"")="LEAVE",1,0)</f>
        <v/>
      </c>
      <c r="P557">
        <f>IF($N557=1,$K557,0)</f>
        <v/>
      </c>
      <c r="Q557">
        <f>IF($N557=0,"",IFERROR($L557-LOOKUP(2,1/(($B$2:$B556=$B557)*($N$2:$N556=1)),$M$2:$M556),""))</f>
        <v/>
      </c>
    </row>
    <row r="558">
      <c r="A558" t="n">
        <v>557</v>
      </c>
      <c r="B558">
        <f>Schedule!$A$82</f>
        <v/>
      </c>
      <c r="C558">
        <f>Schedule!$D$82</f>
        <v/>
      </c>
      <c r="D558">
        <f>Schedule!$F$82</f>
        <v/>
      </c>
      <c r="E558" t="n">
        <v>3</v>
      </c>
      <c r="F558">
        <f>Schedule!$J$1</f>
        <v/>
      </c>
      <c r="G558">
        <f>Schedule!$J$2</f>
        <v/>
      </c>
      <c r="H558">
        <f>Schedule!$J$82</f>
        <v/>
      </c>
      <c r="I558">
        <f>IF($N558=1,VALUE(LEFT($H558,2)),"")</f>
        <v/>
      </c>
      <c r="J558">
        <f>IF($N558=1,VALUE(MID($H558,9,2)),"")</f>
        <v/>
      </c>
      <c r="K558">
        <f>IF($N558=1,MOD($J558-$I558,24),0)</f>
        <v/>
      </c>
      <c r="L558">
        <f>IF($N558=1,$E558*24+$I558,"")</f>
        <v/>
      </c>
      <c r="M558">
        <f>IF($N558=1,$L558+$K558,"")</f>
        <v/>
      </c>
      <c r="N558">
        <f>IF(ISNUMBER(SEARCH(" - ",$H558&amp;"")),1,0)</f>
        <v/>
      </c>
      <c r="O558">
        <f>IF(UPPER($H558&amp;"")="LEAVE",1,0)</f>
        <v/>
      </c>
      <c r="P558">
        <f>IF($N558=1,$K558,0)</f>
        <v/>
      </c>
      <c r="Q558">
        <f>IF($N558=0,"",IFERROR($L558-LOOKUP(2,1/(($B$2:$B557=$B558)*($N$2:$N557=1)),$M$2:$M557),""))</f>
        <v/>
      </c>
    </row>
    <row r="559">
      <c r="A559" t="n">
        <v>558</v>
      </c>
      <c r="B559">
        <f>Schedule!$A$82</f>
        <v/>
      </c>
      <c r="C559">
        <f>Schedule!$D$82</f>
        <v/>
      </c>
      <c r="D559">
        <f>Schedule!$F$82</f>
        <v/>
      </c>
      <c r="E559" t="n">
        <v>4</v>
      </c>
      <c r="F559">
        <f>Schedule!$K$1</f>
        <v/>
      </c>
      <c r="G559">
        <f>Schedule!$K$2</f>
        <v/>
      </c>
      <c r="H559">
        <f>Schedule!$K$82</f>
        <v/>
      </c>
      <c r="I559">
        <f>IF($N559=1,VALUE(LEFT($H559,2)),"")</f>
        <v/>
      </c>
      <c r="J559">
        <f>IF($N559=1,VALUE(MID($H559,9,2)),"")</f>
        <v/>
      </c>
      <c r="K559">
        <f>IF($N559=1,MOD($J559-$I559,24),0)</f>
        <v/>
      </c>
      <c r="L559">
        <f>IF($N559=1,$E559*24+$I559,"")</f>
        <v/>
      </c>
      <c r="M559">
        <f>IF($N559=1,$L559+$K559,"")</f>
        <v/>
      </c>
      <c r="N559">
        <f>IF(ISNUMBER(SEARCH(" - ",$H559&amp;"")),1,0)</f>
        <v/>
      </c>
      <c r="O559">
        <f>IF(UPPER($H559&amp;"")="LEAVE",1,0)</f>
        <v/>
      </c>
      <c r="P559">
        <f>IF($N559=1,$K559,0)</f>
        <v/>
      </c>
      <c r="Q559">
        <f>IF($N559=0,"",IFERROR($L559-LOOKUP(2,1/(($B$2:$B558=$B559)*($N$2:$N558=1)),$M$2:$M558),""))</f>
        <v/>
      </c>
    </row>
    <row r="560">
      <c r="A560" t="n">
        <v>559</v>
      </c>
      <c r="B560">
        <f>Schedule!$A$82</f>
        <v/>
      </c>
      <c r="C560">
        <f>Schedule!$D$82</f>
        <v/>
      </c>
      <c r="D560">
        <f>Schedule!$F$82</f>
        <v/>
      </c>
      <c r="E560" t="n">
        <v>5</v>
      </c>
      <c r="F560">
        <f>Schedule!$L$1</f>
        <v/>
      </c>
      <c r="G560">
        <f>Schedule!$L$2</f>
        <v/>
      </c>
      <c r="H560">
        <f>Schedule!$L$82</f>
        <v/>
      </c>
      <c r="I560">
        <f>IF($N560=1,VALUE(LEFT($H560,2)),"")</f>
        <v/>
      </c>
      <c r="J560">
        <f>IF($N560=1,VALUE(MID($H560,9,2)),"")</f>
        <v/>
      </c>
      <c r="K560">
        <f>IF($N560=1,MOD($J560-$I560,24),0)</f>
        <v/>
      </c>
      <c r="L560">
        <f>IF($N560=1,$E560*24+$I560,"")</f>
        <v/>
      </c>
      <c r="M560">
        <f>IF($N560=1,$L560+$K560,"")</f>
        <v/>
      </c>
      <c r="N560">
        <f>IF(ISNUMBER(SEARCH(" - ",$H560&amp;"")),1,0)</f>
        <v/>
      </c>
      <c r="O560">
        <f>IF(UPPER($H560&amp;"")="LEAVE",1,0)</f>
        <v/>
      </c>
      <c r="P560">
        <f>IF($N560=1,$K560,0)</f>
        <v/>
      </c>
      <c r="Q560">
        <f>IF($N560=0,"",IFERROR($L560-LOOKUP(2,1/(($B$2:$B559=$B560)*($N$2:$N559=1)),$M$2:$M559),""))</f>
        <v/>
      </c>
    </row>
    <row r="561">
      <c r="A561" t="n">
        <v>560</v>
      </c>
      <c r="B561">
        <f>Schedule!$A$82</f>
        <v/>
      </c>
      <c r="C561">
        <f>Schedule!$D$82</f>
        <v/>
      </c>
      <c r="D561">
        <f>Schedule!$F$82</f>
        <v/>
      </c>
      <c r="E561" t="n">
        <v>6</v>
      </c>
      <c r="F561">
        <f>Schedule!$M$1</f>
        <v/>
      </c>
      <c r="G561">
        <f>Schedule!$M$2</f>
        <v/>
      </c>
      <c r="H561">
        <f>Schedule!$M$82</f>
        <v/>
      </c>
      <c r="I561">
        <f>IF($N561=1,VALUE(LEFT($H561,2)),"")</f>
        <v/>
      </c>
      <c r="J561">
        <f>IF($N561=1,VALUE(MID($H561,9,2)),"")</f>
        <v/>
      </c>
      <c r="K561">
        <f>IF($N561=1,MOD($J561-$I561,24),0)</f>
        <v/>
      </c>
      <c r="L561">
        <f>IF($N561=1,$E561*24+$I561,"")</f>
        <v/>
      </c>
      <c r="M561">
        <f>IF($N561=1,$L561+$K561,"")</f>
        <v/>
      </c>
      <c r="N561">
        <f>IF(ISNUMBER(SEARCH(" - ",$H561&amp;"")),1,0)</f>
        <v/>
      </c>
      <c r="O561">
        <f>IF(UPPER($H561&amp;"")="LEAVE",1,0)</f>
        <v/>
      </c>
      <c r="P561">
        <f>IF($N561=1,$K561,0)</f>
        <v/>
      </c>
      <c r="Q561">
        <f>IF($N561=0,"",IFERROR($L561-LOOKUP(2,1/(($B$2:$B560=$B561)*($N$2:$N560=1)),$M$2:$M560),""))</f>
        <v/>
      </c>
    </row>
    <row r="562">
      <c r="A562" t="n">
        <v>561</v>
      </c>
      <c r="B562">
        <f>Schedule!$A$83</f>
        <v/>
      </c>
      <c r="C562">
        <f>Schedule!$D$83</f>
        <v/>
      </c>
      <c r="D562">
        <f>Schedule!$F$83</f>
        <v/>
      </c>
      <c r="E562" t="n">
        <v>0</v>
      </c>
      <c r="F562">
        <f>Schedule!$G$1</f>
        <v/>
      </c>
      <c r="G562">
        <f>Schedule!$G$2</f>
        <v/>
      </c>
      <c r="H562">
        <f>Schedule!$G$83</f>
        <v/>
      </c>
      <c r="I562">
        <f>IF($N562=1,VALUE(LEFT($H562,2)),"")</f>
        <v/>
      </c>
      <c r="J562">
        <f>IF($N562=1,VALUE(MID($H562,9,2)),"")</f>
        <v/>
      </c>
      <c r="K562">
        <f>IF($N562=1,MOD($J562-$I562,24),0)</f>
        <v/>
      </c>
      <c r="L562">
        <f>IF($N562=1,$E562*24+$I562,"")</f>
        <v/>
      </c>
      <c r="M562">
        <f>IF($N562=1,$L562+$K562,"")</f>
        <v/>
      </c>
      <c r="N562">
        <f>IF(ISNUMBER(SEARCH(" - ",$H562&amp;"")),1,0)</f>
        <v/>
      </c>
      <c r="O562">
        <f>IF(UPPER($H562&amp;"")="LEAVE",1,0)</f>
        <v/>
      </c>
      <c r="P562">
        <f>IF($N562=1,$K562,0)</f>
        <v/>
      </c>
      <c r="Q562">
        <f>IF($N562=0,"",IFERROR($L562-'Previous Engine'!$M$82,""))</f>
        <v/>
      </c>
    </row>
    <row r="563">
      <c r="A563" t="n">
        <v>562</v>
      </c>
      <c r="B563">
        <f>Schedule!$A$83</f>
        <v/>
      </c>
      <c r="C563">
        <f>Schedule!$D$83</f>
        <v/>
      </c>
      <c r="D563">
        <f>Schedule!$F$83</f>
        <v/>
      </c>
      <c r="E563" t="n">
        <v>1</v>
      </c>
      <c r="F563">
        <f>Schedule!$H$1</f>
        <v/>
      </c>
      <c r="G563">
        <f>Schedule!$H$2</f>
        <v/>
      </c>
      <c r="H563">
        <f>Schedule!$H$83</f>
        <v/>
      </c>
      <c r="I563">
        <f>IF($N563=1,VALUE(LEFT($H563,2)),"")</f>
        <v/>
      </c>
      <c r="J563">
        <f>IF($N563=1,VALUE(MID($H563,9,2)),"")</f>
        <v/>
      </c>
      <c r="K563">
        <f>IF($N563=1,MOD($J563-$I563,24),0)</f>
        <v/>
      </c>
      <c r="L563">
        <f>IF($N563=1,$E563*24+$I563,"")</f>
        <v/>
      </c>
      <c r="M563">
        <f>IF($N563=1,$L563+$K563,"")</f>
        <v/>
      </c>
      <c r="N563">
        <f>IF(ISNUMBER(SEARCH(" - ",$H563&amp;"")),1,0)</f>
        <v/>
      </c>
      <c r="O563">
        <f>IF(UPPER($H563&amp;"")="LEAVE",1,0)</f>
        <v/>
      </c>
      <c r="P563">
        <f>IF($N563=1,$K563,0)</f>
        <v/>
      </c>
      <c r="Q563">
        <f>IF($N563=0,"",IFERROR($L563-LOOKUP(2,1/(($B$2:$B562=$B563)*($N$2:$N562=1)),$M$2:$M562),""))</f>
        <v/>
      </c>
    </row>
    <row r="564">
      <c r="A564" t="n">
        <v>563</v>
      </c>
      <c r="B564">
        <f>Schedule!$A$83</f>
        <v/>
      </c>
      <c r="C564">
        <f>Schedule!$D$83</f>
        <v/>
      </c>
      <c r="D564">
        <f>Schedule!$F$83</f>
        <v/>
      </c>
      <c r="E564" t="n">
        <v>2</v>
      </c>
      <c r="F564">
        <f>Schedule!$I$1</f>
        <v/>
      </c>
      <c r="G564">
        <f>Schedule!$I$2</f>
        <v/>
      </c>
      <c r="H564">
        <f>Schedule!$I$83</f>
        <v/>
      </c>
      <c r="I564">
        <f>IF($N564=1,VALUE(LEFT($H564,2)),"")</f>
        <v/>
      </c>
      <c r="J564">
        <f>IF($N564=1,VALUE(MID($H564,9,2)),"")</f>
        <v/>
      </c>
      <c r="K564">
        <f>IF($N564=1,MOD($J564-$I564,24),0)</f>
        <v/>
      </c>
      <c r="L564">
        <f>IF($N564=1,$E564*24+$I564,"")</f>
        <v/>
      </c>
      <c r="M564">
        <f>IF($N564=1,$L564+$K564,"")</f>
        <v/>
      </c>
      <c r="N564">
        <f>IF(ISNUMBER(SEARCH(" - ",$H564&amp;"")),1,0)</f>
        <v/>
      </c>
      <c r="O564">
        <f>IF(UPPER($H564&amp;"")="LEAVE",1,0)</f>
        <v/>
      </c>
      <c r="P564">
        <f>IF($N564=1,$K564,0)</f>
        <v/>
      </c>
      <c r="Q564">
        <f>IF($N564=0,"",IFERROR($L564-LOOKUP(2,1/(($B$2:$B563=$B564)*($N$2:$N563=1)),$M$2:$M563),""))</f>
        <v/>
      </c>
    </row>
    <row r="565">
      <c r="A565" t="n">
        <v>564</v>
      </c>
      <c r="B565">
        <f>Schedule!$A$83</f>
        <v/>
      </c>
      <c r="C565">
        <f>Schedule!$D$83</f>
        <v/>
      </c>
      <c r="D565">
        <f>Schedule!$F$83</f>
        <v/>
      </c>
      <c r="E565" t="n">
        <v>3</v>
      </c>
      <c r="F565">
        <f>Schedule!$J$1</f>
        <v/>
      </c>
      <c r="G565">
        <f>Schedule!$J$2</f>
        <v/>
      </c>
      <c r="H565">
        <f>Schedule!$J$83</f>
        <v/>
      </c>
      <c r="I565">
        <f>IF($N565=1,VALUE(LEFT($H565,2)),"")</f>
        <v/>
      </c>
      <c r="J565">
        <f>IF($N565=1,VALUE(MID($H565,9,2)),"")</f>
        <v/>
      </c>
      <c r="K565">
        <f>IF($N565=1,MOD($J565-$I565,24),0)</f>
        <v/>
      </c>
      <c r="L565">
        <f>IF($N565=1,$E565*24+$I565,"")</f>
        <v/>
      </c>
      <c r="M565">
        <f>IF($N565=1,$L565+$K565,"")</f>
        <v/>
      </c>
      <c r="N565">
        <f>IF(ISNUMBER(SEARCH(" - ",$H565&amp;"")),1,0)</f>
        <v/>
      </c>
      <c r="O565">
        <f>IF(UPPER($H565&amp;"")="LEAVE",1,0)</f>
        <v/>
      </c>
      <c r="P565">
        <f>IF($N565=1,$K565,0)</f>
        <v/>
      </c>
      <c r="Q565">
        <f>IF($N565=0,"",IFERROR($L565-LOOKUP(2,1/(($B$2:$B564=$B565)*($N$2:$N564=1)),$M$2:$M564),""))</f>
        <v/>
      </c>
    </row>
    <row r="566">
      <c r="A566" t="n">
        <v>565</v>
      </c>
      <c r="B566">
        <f>Schedule!$A$83</f>
        <v/>
      </c>
      <c r="C566">
        <f>Schedule!$D$83</f>
        <v/>
      </c>
      <c r="D566">
        <f>Schedule!$F$83</f>
        <v/>
      </c>
      <c r="E566" t="n">
        <v>4</v>
      </c>
      <c r="F566">
        <f>Schedule!$K$1</f>
        <v/>
      </c>
      <c r="G566">
        <f>Schedule!$K$2</f>
        <v/>
      </c>
      <c r="H566">
        <f>Schedule!$K$83</f>
        <v/>
      </c>
      <c r="I566">
        <f>IF($N566=1,VALUE(LEFT($H566,2)),"")</f>
        <v/>
      </c>
      <c r="J566">
        <f>IF($N566=1,VALUE(MID($H566,9,2)),"")</f>
        <v/>
      </c>
      <c r="K566">
        <f>IF($N566=1,MOD($J566-$I566,24),0)</f>
        <v/>
      </c>
      <c r="L566">
        <f>IF($N566=1,$E566*24+$I566,"")</f>
        <v/>
      </c>
      <c r="M566">
        <f>IF($N566=1,$L566+$K566,"")</f>
        <v/>
      </c>
      <c r="N566">
        <f>IF(ISNUMBER(SEARCH(" - ",$H566&amp;"")),1,0)</f>
        <v/>
      </c>
      <c r="O566">
        <f>IF(UPPER($H566&amp;"")="LEAVE",1,0)</f>
        <v/>
      </c>
      <c r="P566">
        <f>IF($N566=1,$K566,0)</f>
        <v/>
      </c>
      <c r="Q566">
        <f>IF($N566=0,"",IFERROR($L566-LOOKUP(2,1/(($B$2:$B565=$B566)*($N$2:$N565=1)),$M$2:$M565),""))</f>
        <v/>
      </c>
    </row>
    <row r="567">
      <c r="A567" t="n">
        <v>566</v>
      </c>
      <c r="B567">
        <f>Schedule!$A$83</f>
        <v/>
      </c>
      <c r="C567">
        <f>Schedule!$D$83</f>
        <v/>
      </c>
      <c r="D567">
        <f>Schedule!$F$83</f>
        <v/>
      </c>
      <c r="E567" t="n">
        <v>5</v>
      </c>
      <c r="F567">
        <f>Schedule!$L$1</f>
        <v/>
      </c>
      <c r="G567">
        <f>Schedule!$L$2</f>
        <v/>
      </c>
      <c r="H567">
        <f>Schedule!$L$83</f>
        <v/>
      </c>
      <c r="I567">
        <f>IF($N567=1,VALUE(LEFT($H567,2)),"")</f>
        <v/>
      </c>
      <c r="J567">
        <f>IF($N567=1,VALUE(MID($H567,9,2)),"")</f>
        <v/>
      </c>
      <c r="K567">
        <f>IF($N567=1,MOD($J567-$I567,24),0)</f>
        <v/>
      </c>
      <c r="L567">
        <f>IF($N567=1,$E567*24+$I567,"")</f>
        <v/>
      </c>
      <c r="M567">
        <f>IF($N567=1,$L567+$K567,"")</f>
        <v/>
      </c>
      <c r="N567">
        <f>IF(ISNUMBER(SEARCH(" - ",$H567&amp;"")),1,0)</f>
        <v/>
      </c>
      <c r="O567">
        <f>IF(UPPER($H567&amp;"")="LEAVE",1,0)</f>
        <v/>
      </c>
      <c r="P567">
        <f>IF($N567=1,$K567,0)</f>
        <v/>
      </c>
      <c r="Q567">
        <f>IF($N567=0,"",IFERROR($L567-LOOKUP(2,1/(($B$2:$B566=$B567)*($N$2:$N566=1)),$M$2:$M566),""))</f>
        <v/>
      </c>
    </row>
    <row r="568">
      <c r="A568" t="n">
        <v>567</v>
      </c>
      <c r="B568">
        <f>Schedule!$A$83</f>
        <v/>
      </c>
      <c r="C568">
        <f>Schedule!$D$83</f>
        <v/>
      </c>
      <c r="D568">
        <f>Schedule!$F$83</f>
        <v/>
      </c>
      <c r="E568" t="n">
        <v>6</v>
      </c>
      <c r="F568">
        <f>Schedule!$M$1</f>
        <v/>
      </c>
      <c r="G568">
        <f>Schedule!$M$2</f>
        <v/>
      </c>
      <c r="H568">
        <f>Schedule!$M$83</f>
        <v/>
      </c>
      <c r="I568">
        <f>IF($N568=1,VALUE(LEFT($H568,2)),"")</f>
        <v/>
      </c>
      <c r="J568">
        <f>IF($N568=1,VALUE(MID($H568,9,2)),"")</f>
        <v/>
      </c>
      <c r="K568">
        <f>IF($N568=1,MOD($J568-$I568,24),0)</f>
        <v/>
      </c>
      <c r="L568">
        <f>IF($N568=1,$E568*24+$I568,"")</f>
        <v/>
      </c>
      <c r="M568">
        <f>IF($N568=1,$L568+$K568,"")</f>
        <v/>
      </c>
      <c r="N568">
        <f>IF(ISNUMBER(SEARCH(" - ",$H568&amp;"")),1,0)</f>
        <v/>
      </c>
      <c r="O568">
        <f>IF(UPPER($H568&amp;"")="LEAVE",1,0)</f>
        <v/>
      </c>
      <c r="P568">
        <f>IF($N568=1,$K568,0)</f>
        <v/>
      </c>
      <c r="Q568">
        <f>IF($N568=0,"",IFERROR($L568-LOOKUP(2,1/(($B$2:$B567=$B568)*($N$2:$N567=1)),$M$2:$M567),""))</f>
        <v/>
      </c>
    </row>
    <row r="569">
      <c r="A569" t="n">
        <v>568</v>
      </c>
      <c r="B569">
        <f>Schedule!$A$84</f>
        <v/>
      </c>
      <c r="C569">
        <f>Schedule!$D$84</f>
        <v/>
      </c>
      <c r="D569">
        <f>Schedule!$F$84</f>
        <v/>
      </c>
      <c r="E569" t="n">
        <v>0</v>
      </c>
      <c r="F569">
        <f>Schedule!$G$1</f>
        <v/>
      </c>
      <c r="G569">
        <f>Schedule!$G$2</f>
        <v/>
      </c>
      <c r="H569">
        <f>Schedule!$G$84</f>
        <v/>
      </c>
      <c r="I569">
        <f>IF($N569=1,VALUE(LEFT($H569,2)),"")</f>
        <v/>
      </c>
      <c r="J569">
        <f>IF($N569=1,VALUE(MID($H569,9,2)),"")</f>
        <v/>
      </c>
      <c r="K569">
        <f>IF($N569=1,MOD($J569-$I569,24),0)</f>
        <v/>
      </c>
      <c r="L569">
        <f>IF($N569=1,$E569*24+$I569,"")</f>
        <v/>
      </c>
      <c r="M569">
        <f>IF($N569=1,$L569+$K569,"")</f>
        <v/>
      </c>
      <c r="N569">
        <f>IF(ISNUMBER(SEARCH(" - ",$H569&amp;"")),1,0)</f>
        <v/>
      </c>
      <c r="O569">
        <f>IF(UPPER($H569&amp;"")="LEAVE",1,0)</f>
        <v/>
      </c>
      <c r="P569">
        <f>IF($N569=1,$K569,0)</f>
        <v/>
      </c>
      <c r="Q569">
        <f>IF($N569=0,"",IFERROR($L569-'Previous Engine'!$M$83,""))</f>
        <v/>
      </c>
    </row>
    <row r="570">
      <c r="A570" t="n">
        <v>569</v>
      </c>
      <c r="B570">
        <f>Schedule!$A$84</f>
        <v/>
      </c>
      <c r="C570">
        <f>Schedule!$D$84</f>
        <v/>
      </c>
      <c r="D570">
        <f>Schedule!$F$84</f>
        <v/>
      </c>
      <c r="E570" t="n">
        <v>1</v>
      </c>
      <c r="F570">
        <f>Schedule!$H$1</f>
        <v/>
      </c>
      <c r="G570">
        <f>Schedule!$H$2</f>
        <v/>
      </c>
      <c r="H570">
        <f>Schedule!$H$84</f>
        <v/>
      </c>
      <c r="I570">
        <f>IF($N570=1,VALUE(LEFT($H570,2)),"")</f>
        <v/>
      </c>
      <c r="J570">
        <f>IF($N570=1,VALUE(MID($H570,9,2)),"")</f>
        <v/>
      </c>
      <c r="K570">
        <f>IF($N570=1,MOD($J570-$I570,24),0)</f>
        <v/>
      </c>
      <c r="L570">
        <f>IF($N570=1,$E570*24+$I570,"")</f>
        <v/>
      </c>
      <c r="M570">
        <f>IF($N570=1,$L570+$K570,"")</f>
        <v/>
      </c>
      <c r="N570">
        <f>IF(ISNUMBER(SEARCH(" - ",$H570&amp;"")),1,0)</f>
        <v/>
      </c>
      <c r="O570">
        <f>IF(UPPER($H570&amp;"")="LEAVE",1,0)</f>
        <v/>
      </c>
      <c r="P570">
        <f>IF($N570=1,$K570,0)</f>
        <v/>
      </c>
      <c r="Q570">
        <f>IF($N570=0,"",IFERROR($L570-LOOKUP(2,1/(($B$2:$B569=$B570)*($N$2:$N569=1)),$M$2:$M569),""))</f>
        <v/>
      </c>
    </row>
    <row r="571">
      <c r="A571" t="n">
        <v>570</v>
      </c>
      <c r="B571">
        <f>Schedule!$A$84</f>
        <v/>
      </c>
      <c r="C571">
        <f>Schedule!$D$84</f>
        <v/>
      </c>
      <c r="D571">
        <f>Schedule!$F$84</f>
        <v/>
      </c>
      <c r="E571" t="n">
        <v>2</v>
      </c>
      <c r="F571">
        <f>Schedule!$I$1</f>
        <v/>
      </c>
      <c r="G571">
        <f>Schedule!$I$2</f>
        <v/>
      </c>
      <c r="H571">
        <f>Schedule!$I$84</f>
        <v/>
      </c>
      <c r="I571">
        <f>IF($N571=1,VALUE(LEFT($H571,2)),"")</f>
        <v/>
      </c>
      <c r="J571">
        <f>IF($N571=1,VALUE(MID($H571,9,2)),"")</f>
        <v/>
      </c>
      <c r="K571">
        <f>IF($N571=1,MOD($J571-$I571,24),0)</f>
        <v/>
      </c>
      <c r="L571">
        <f>IF($N571=1,$E571*24+$I571,"")</f>
        <v/>
      </c>
      <c r="M571">
        <f>IF($N571=1,$L571+$K571,"")</f>
        <v/>
      </c>
      <c r="N571">
        <f>IF(ISNUMBER(SEARCH(" - ",$H571&amp;"")),1,0)</f>
        <v/>
      </c>
      <c r="O571">
        <f>IF(UPPER($H571&amp;"")="LEAVE",1,0)</f>
        <v/>
      </c>
      <c r="P571">
        <f>IF($N571=1,$K571,0)</f>
        <v/>
      </c>
      <c r="Q571">
        <f>IF($N571=0,"",IFERROR($L571-LOOKUP(2,1/(($B$2:$B570=$B571)*($N$2:$N570=1)),$M$2:$M570),""))</f>
        <v/>
      </c>
    </row>
    <row r="572">
      <c r="A572" t="n">
        <v>571</v>
      </c>
      <c r="B572">
        <f>Schedule!$A$84</f>
        <v/>
      </c>
      <c r="C572">
        <f>Schedule!$D$84</f>
        <v/>
      </c>
      <c r="D572">
        <f>Schedule!$F$84</f>
        <v/>
      </c>
      <c r="E572" t="n">
        <v>3</v>
      </c>
      <c r="F572">
        <f>Schedule!$J$1</f>
        <v/>
      </c>
      <c r="G572">
        <f>Schedule!$J$2</f>
        <v/>
      </c>
      <c r="H572">
        <f>Schedule!$J$84</f>
        <v/>
      </c>
      <c r="I572">
        <f>IF($N572=1,VALUE(LEFT($H572,2)),"")</f>
        <v/>
      </c>
      <c r="J572">
        <f>IF($N572=1,VALUE(MID($H572,9,2)),"")</f>
        <v/>
      </c>
      <c r="K572">
        <f>IF($N572=1,MOD($J572-$I572,24),0)</f>
        <v/>
      </c>
      <c r="L572">
        <f>IF($N572=1,$E572*24+$I572,"")</f>
        <v/>
      </c>
      <c r="M572">
        <f>IF($N572=1,$L572+$K572,"")</f>
        <v/>
      </c>
      <c r="N572">
        <f>IF(ISNUMBER(SEARCH(" - ",$H572&amp;"")),1,0)</f>
        <v/>
      </c>
      <c r="O572">
        <f>IF(UPPER($H572&amp;"")="LEAVE",1,0)</f>
        <v/>
      </c>
      <c r="P572">
        <f>IF($N572=1,$K572,0)</f>
        <v/>
      </c>
      <c r="Q572">
        <f>IF($N572=0,"",IFERROR($L572-LOOKUP(2,1/(($B$2:$B571=$B572)*($N$2:$N571=1)),$M$2:$M571),""))</f>
        <v/>
      </c>
    </row>
    <row r="573">
      <c r="A573" t="n">
        <v>572</v>
      </c>
      <c r="B573">
        <f>Schedule!$A$84</f>
        <v/>
      </c>
      <c r="C573">
        <f>Schedule!$D$84</f>
        <v/>
      </c>
      <c r="D573">
        <f>Schedule!$F$84</f>
        <v/>
      </c>
      <c r="E573" t="n">
        <v>4</v>
      </c>
      <c r="F573">
        <f>Schedule!$K$1</f>
        <v/>
      </c>
      <c r="G573">
        <f>Schedule!$K$2</f>
        <v/>
      </c>
      <c r="H573">
        <f>Schedule!$K$84</f>
        <v/>
      </c>
      <c r="I573">
        <f>IF($N573=1,VALUE(LEFT($H573,2)),"")</f>
        <v/>
      </c>
      <c r="J573">
        <f>IF($N573=1,VALUE(MID($H573,9,2)),"")</f>
        <v/>
      </c>
      <c r="K573">
        <f>IF($N573=1,MOD($J573-$I573,24),0)</f>
        <v/>
      </c>
      <c r="L573">
        <f>IF($N573=1,$E573*24+$I573,"")</f>
        <v/>
      </c>
      <c r="M573">
        <f>IF($N573=1,$L573+$K573,"")</f>
        <v/>
      </c>
      <c r="N573">
        <f>IF(ISNUMBER(SEARCH(" - ",$H573&amp;"")),1,0)</f>
        <v/>
      </c>
      <c r="O573">
        <f>IF(UPPER($H573&amp;"")="LEAVE",1,0)</f>
        <v/>
      </c>
      <c r="P573">
        <f>IF($N573=1,$K573,0)</f>
        <v/>
      </c>
      <c r="Q573">
        <f>IF($N573=0,"",IFERROR($L573-LOOKUP(2,1/(($B$2:$B572=$B573)*($N$2:$N572=1)),$M$2:$M572),""))</f>
        <v/>
      </c>
    </row>
    <row r="574">
      <c r="A574" t="n">
        <v>573</v>
      </c>
      <c r="B574">
        <f>Schedule!$A$84</f>
        <v/>
      </c>
      <c r="C574">
        <f>Schedule!$D$84</f>
        <v/>
      </c>
      <c r="D574">
        <f>Schedule!$F$84</f>
        <v/>
      </c>
      <c r="E574" t="n">
        <v>5</v>
      </c>
      <c r="F574">
        <f>Schedule!$L$1</f>
        <v/>
      </c>
      <c r="G574">
        <f>Schedule!$L$2</f>
        <v/>
      </c>
      <c r="H574">
        <f>Schedule!$L$84</f>
        <v/>
      </c>
      <c r="I574">
        <f>IF($N574=1,VALUE(LEFT($H574,2)),"")</f>
        <v/>
      </c>
      <c r="J574">
        <f>IF($N574=1,VALUE(MID($H574,9,2)),"")</f>
        <v/>
      </c>
      <c r="K574">
        <f>IF($N574=1,MOD($J574-$I574,24),0)</f>
        <v/>
      </c>
      <c r="L574">
        <f>IF($N574=1,$E574*24+$I574,"")</f>
        <v/>
      </c>
      <c r="M574">
        <f>IF($N574=1,$L574+$K574,"")</f>
        <v/>
      </c>
      <c r="N574">
        <f>IF(ISNUMBER(SEARCH(" - ",$H574&amp;"")),1,0)</f>
        <v/>
      </c>
      <c r="O574">
        <f>IF(UPPER($H574&amp;"")="LEAVE",1,0)</f>
        <v/>
      </c>
      <c r="P574">
        <f>IF($N574=1,$K574,0)</f>
        <v/>
      </c>
      <c r="Q574">
        <f>IF($N574=0,"",IFERROR($L574-LOOKUP(2,1/(($B$2:$B573=$B574)*($N$2:$N573=1)),$M$2:$M573),""))</f>
        <v/>
      </c>
    </row>
    <row r="575">
      <c r="A575" t="n">
        <v>574</v>
      </c>
      <c r="B575">
        <f>Schedule!$A$84</f>
        <v/>
      </c>
      <c r="C575">
        <f>Schedule!$D$84</f>
        <v/>
      </c>
      <c r="D575">
        <f>Schedule!$F$84</f>
        <v/>
      </c>
      <c r="E575" t="n">
        <v>6</v>
      </c>
      <c r="F575">
        <f>Schedule!$M$1</f>
        <v/>
      </c>
      <c r="G575">
        <f>Schedule!$M$2</f>
        <v/>
      </c>
      <c r="H575">
        <f>Schedule!$M$84</f>
        <v/>
      </c>
      <c r="I575">
        <f>IF($N575=1,VALUE(LEFT($H575,2)),"")</f>
        <v/>
      </c>
      <c r="J575">
        <f>IF($N575=1,VALUE(MID($H575,9,2)),"")</f>
        <v/>
      </c>
      <c r="K575">
        <f>IF($N575=1,MOD($J575-$I575,24),0)</f>
        <v/>
      </c>
      <c r="L575">
        <f>IF($N575=1,$E575*24+$I575,"")</f>
        <v/>
      </c>
      <c r="M575">
        <f>IF($N575=1,$L575+$K575,"")</f>
        <v/>
      </c>
      <c r="N575">
        <f>IF(ISNUMBER(SEARCH(" - ",$H575&amp;"")),1,0)</f>
        <v/>
      </c>
      <c r="O575">
        <f>IF(UPPER($H575&amp;"")="LEAVE",1,0)</f>
        <v/>
      </c>
      <c r="P575">
        <f>IF($N575=1,$K575,0)</f>
        <v/>
      </c>
      <c r="Q575">
        <f>IF($N575=0,"",IFERROR($L575-LOOKUP(2,1/(($B$2:$B574=$B575)*($N$2:$N574=1)),$M$2:$M574),""))</f>
        <v/>
      </c>
    </row>
    <row r="576">
      <c r="A576" t="n">
        <v>575</v>
      </c>
      <c r="B576">
        <f>Schedule!$A$85</f>
        <v/>
      </c>
      <c r="C576">
        <f>Schedule!$D$85</f>
        <v/>
      </c>
      <c r="D576">
        <f>Schedule!$F$85</f>
        <v/>
      </c>
      <c r="E576" t="n">
        <v>0</v>
      </c>
      <c r="F576">
        <f>Schedule!$G$1</f>
        <v/>
      </c>
      <c r="G576">
        <f>Schedule!$G$2</f>
        <v/>
      </c>
      <c r="H576">
        <f>Schedule!$G$85</f>
        <v/>
      </c>
      <c r="I576">
        <f>IF($N576=1,VALUE(LEFT($H576,2)),"")</f>
        <v/>
      </c>
      <c r="J576">
        <f>IF($N576=1,VALUE(MID($H576,9,2)),"")</f>
        <v/>
      </c>
      <c r="K576">
        <f>IF($N576=1,MOD($J576-$I576,24),0)</f>
        <v/>
      </c>
      <c r="L576">
        <f>IF($N576=1,$E576*24+$I576,"")</f>
        <v/>
      </c>
      <c r="M576">
        <f>IF($N576=1,$L576+$K576,"")</f>
        <v/>
      </c>
      <c r="N576">
        <f>IF(ISNUMBER(SEARCH(" - ",$H576&amp;"")),1,0)</f>
        <v/>
      </c>
      <c r="O576">
        <f>IF(UPPER($H576&amp;"")="LEAVE",1,0)</f>
        <v/>
      </c>
      <c r="P576">
        <f>IF($N576=1,$K576,0)</f>
        <v/>
      </c>
      <c r="Q576">
        <f>IF($N576=0,"",IFERROR($L576-'Previous Engine'!$M$84,""))</f>
        <v/>
      </c>
    </row>
    <row r="577">
      <c r="A577" t="n">
        <v>576</v>
      </c>
      <c r="B577">
        <f>Schedule!$A$85</f>
        <v/>
      </c>
      <c r="C577">
        <f>Schedule!$D$85</f>
        <v/>
      </c>
      <c r="D577">
        <f>Schedule!$F$85</f>
        <v/>
      </c>
      <c r="E577" t="n">
        <v>1</v>
      </c>
      <c r="F577">
        <f>Schedule!$H$1</f>
        <v/>
      </c>
      <c r="G577">
        <f>Schedule!$H$2</f>
        <v/>
      </c>
      <c r="H577">
        <f>Schedule!$H$85</f>
        <v/>
      </c>
      <c r="I577">
        <f>IF($N577=1,VALUE(LEFT($H577,2)),"")</f>
        <v/>
      </c>
      <c r="J577">
        <f>IF($N577=1,VALUE(MID($H577,9,2)),"")</f>
        <v/>
      </c>
      <c r="K577">
        <f>IF($N577=1,MOD($J577-$I577,24),0)</f>
        <v/>
      </c>
      <c r="L577">
        <f>IF($N577=1,$E577*24+$I577,"")</f>
        <v/>
      </c>
      <c r="M577">
        <f>IF($N577=1,$L577+$K577,"")</f>
        <v/>
      </c>
      <c r="N577">
        <f>IF(ISNUMBER(SEARCH(" - ",$H577&amp;"")),1,0)</f>
        <v/>
      </c>
      <c r="O577">
        <f>IF(UPPER($H577&amp;"")="LEAVE",1,0)</f>
        <v/>
      </c>
      <c r="P577">
        <f>IF($N577=1,$K577,0)</f>
        <v/>
      </c>
      <c r="Q577">
        <f>IF($N577=0,"",IFERROR($L577-LOOKUP(2,1/(($B$2:$B576=$B577)*($N$2:$N576=1)),$M$2:$M576),""))</f>
        <v/>
      </c>
    </row>
    <row r="578">
      <c r="A578" t="n">
        <v>577</v>
      </c>
      <c r="B578">
        <f>Schedule!$A$85</f>
        <v/>
      </c>
      <c r="C578">
        <f>Schedule!$D$85</f>
        <v/>
      </c>
      <c r="D578">
        <f>Schedule!$F$85</f>
        <v/>
      </c>
      <c r="E578" t="n">
        <v>2</v>
      </c>
      <c r="F578">
        <f>Schedule!$I$1</f>
        <v/>
      </c>
      <c r="G578">
        <f>Schedule!$I$2</f>
        <v/>
      </c>
      <c r="H578">
        <f>Schedule!$I$85</f>
        <v/>
      </c>
      <c r="I578">
        <f>IF($N578=1,VALUE(LEFT($H578,2)),"")</f>
        <v/>
      </c>
      <c r="J578">
        <f>IF($N578=1,VALUE(MID($H578,9,2)),"")</f>
        <v/>
      </c>
      <c r="K578">
        <f>IF($N578=1,MOD($J578-$I578,24),0)</f>
        <v/>
      </c>
      <c r="L578">
        <f>IF($N578=1,$E578*24+$I578,"")</f>
        <v/>
      </c>
      <c r="M578">
        <f>IF($N578=1,$L578+$K578,"")</f>
        <v/>
      </c>
      <c r="N578">
        <f>IF(ISNUMBER(SEARCH(" - ",$H578&amp;"")),1,0)</f>
        <v/>
      </c>
      <c r="O578">
        <f>IF(UPPER($H578&amp;"")="LEAVE",1,0)</f>
        <v/>
      </c>
      <c r="P578">
        <f>IF($N578=1,$K578,0)</f>
        <v/>
      </c>
      <c r="Q578">
        <f>IF($N578=0,"",IFERROR($L578-LOOKUP(2,1/(($B$2:$B577=$B578)*($N$2:$N577=1)),$M$2:$M577),""))</f>
        <v/>
      </c>
    </row>
    <row r="579">
      <c r="A579" t="n">
        <v>578</v>
      </c>
      <c r="B579">
        <f>Schedule!$A$85</f>
        <v/>
      </c>
      <c r="C579">
        <f>Schedule!$D$85</f>
        <v/>
      </c>
      <c r="D579">
        <f>Schedule!$F$85</f>
        <v/>
      </c>
      <c r="E579" t="n">
        <v>3</v>
      </c>
      <c r="F579">
        <f>Schedule!$J$1</f>
        <v/>
      </c>
      <c r="G579">
        <f>Schedule!$J$2</f>
        <v/>
      </c>
      <c r="H579">
        <f>Schedule!$J$85</f>
        <v/>
      </c>
      <c r="I579">
        <f>IF($N579=1,VALUE(LEFT($H579,2)),"")</f>
        <v/>
      </c>
      <c r="J579">
        <f>IF($N579=1,VALUE(MID($H579,9,2)),"")</f>
        <v/>
      </c>
      <c r="K579">
        <f>IF($N579=1,MOD($J579-$I579,24),0)</f>
        <v/>
      </c>
      <c r="L579">
        <f>IF($N579=1,$E579*24+$I579,"")</f>
        <v/>
      </c>
      <c r="M579">
        <f>IF($N579=1,$L579+$K579,"")</f>
        <v/>
      </c>
      <c r="N579">
        <f>IF(ISNUMBER(SEARCH(" - ",$H579&amp;"")),1,0)</f>
        <v/>
      </c>
      <c r="O579">
        <f>IF(UPPER($H579&amp;"")="LEAVE",1,0)</f>
        <v/>
      </c>
      <c r="P579">
        <f>IF($N579=1,$K579,0)</f>
        <v/>
      </c>
      <c r="Q579">
        <f>IF($N579=0,"",IFERROR($L579-LOOKUP(2,1/(($B$2:$B578=$B579)*($N$2:$N578=1)),$M$2:$M578),""))</f>
        <v/>
      </c>
    </row>
    <row r="580">
      <c r="A580" t="n">
        <v>579</v>
      </c>
      <c r="B580">
        <f>Schedule!$A$85</f>
        <v/>
      </c>
      <c r="C580">
        <f>Schedule!$D$85</f>
        <v/>
      </c>
      <c r="D580">
        <f>Schedule!$F$85</f>
        <v/>
      </c>
      <c r="E580" t="n">
        <v>4</v>
      </c>
      <c r="F580">
        <f>Schedule!$K$1</f>
        <v/>
      </c>
      <c r="G580">
        <f>Schedule!$K$2</f>
        <v/>
      </c>
      <c r="H580">
        <f>Schedule!$K$85</f>
        <v/>
      </c>
      <c r="I580">
        <f>IF($N580=1,VALUE(LEFT($H580,2)),"")</f>
        <v/>
      </c>
      <c r="J580">
        <f>IF($N580=1,VALUE(MID($H580,9,2)),"")</f>
        <v/>
      </c>
      <c r="K580">
        <f>IF($N580=1,MOD($J580-$I580,24),0)</f>
        <v/>
      </c>
      <c r="L580">
        <f>IF($N580=1,$E580*24+$I580,"")</f>
        <v/>
      </c>
      <c r="M580">
        <f>IF($N580=1,$L580+$K580,"")</f>
        <v/>
      </c>
      <c r="N580">
        <f>IF(ISNUMBER(SEARCH(" - ",$H580&amp;"")),1,0)</f>
        <v/>
      </c>
      <c r="O580">
        <f>IF(UPPER($H580&amp;"")="LEAVE",1,0)</f>
        <v/>
      </c>
      <c r="P580">
        <f>IF($N580=1,$K580,0)</f>
        <v/>
      </c>
      <c r="Q580">
        <f>IF($N580=0,"",IFERROR($L580-LOOKUP(2,1/(($B$2:$B579=$B580)*($N$2:$N579=1)),$M$2:$M579),""))</f>
        <v/>
      </c>
    </row>
    <row r="581">
      <c r="A581" t="n">
        <v>580</v>
      </c>
      <c r="B581">
        <f>Schedule!$A$85</f>
        <v/>
      </c>
      <c r="C581">
        <f>Schedule!$D$85</f>
        <v/>
      </c>
      <c r="D581">
        <f>Schedule!$F$85</f>
        <v/>
      </c>
      <c r="E581" t="n">
        <v>5</v>
      </c>
      <c r="F581">
        <f>Schedule!$L$1</f>
        <v/>
      </c>
      <c r="G581">
        <f>Schedule!$L$2</f>
        <v/>
      </c>
      <c r="H581">
        <f>Schedule!$L$85</f>
        <v/>
      </c>
      <c r="I581">
        <f>IF($N581=1,VALUE(LEFT($H581,2)),"")</f>
        <v/>
      </c>
      <c r="J581">
        <f>IF($N581=1,VALUE(MID($H581,9,2)),"")</f>
        <v/>
      </c>
      <c r="K581">
        <f>IF($N581=1,MOD($J581-$I581,24),0)</f>
        <v/>
      </c>
      <c r="L581">
        <f>IF($N581=1,$E581*24+$I581,"")</f>
        <v/>
      </c>
      <c r="M581">
        <f>IF($N581=1,$L581+$K581,"")</f>
        <v/>
      </c>
      <c r="N581">
        <f>IF(ISNUMBER(SEARCH(" - ",$H581&amp;"")),1,0)</f>
        <v/>
      </c>
      <c r="O581">
        <f>IF(UPPER($H581&amp;"")="LEAVE",1,0)</f>
        <v/>
      </c>
      <c r="P581">
        <f>IF($N581=1,$K581,0)</f>
        <v/>
      </c>
      <c r="Q581">
        <f>IF($N581=0,"",IFERROR($L581-LOOKUP(2,1/(($B$2:$B580=$B581)*($N$2:$N580=1)),$M$2:$M580),""))</f>
        <v/>
      </c>
    </row>
    <row r="582">
      <c r="A582" t="n">
        <v>581</v>
      </c>
      <c r="B582">
        <f>Schedule!$A$85</f>
        <v/>
      </c>
      <c r="C582">
        <f>Schedule!$D$85</f>
        <v/>
      </c>
      <c r="D582">
        <f>Schedule!$F$85</f>
        <v/>
      </c>
      <c r="E582" t="n">
        <v>6</v>
      </c>
      <c r="F582">
        <f>Schedule!$M$1</f>
        <v/>
      </c>
      <c r="G582">
        <f>Schedule!$M$2</f>
        <v/>
      </c>
      <c r="H582">
        <f>Schedule!$M$85</f>
        <v/>
      </c>
      <c r="I582">
        <f>IF($N582=1,VALUE(LEFT($H582,2)),"")</f>
        <v/>
      </c>
      <c r="J582">
        <f>IF($N582=1,VALUE(MID($H582,9,2)),"")</f>
        <v/>
      </c>
      <c r="K582">
        <f>IF($N582=1,MOD($J582-$I582,24),0)</f>
        <v/>
      </c>
      <c r="L582">
        <f>IF($N582=1,$E582*24+$I582,"")</f>
        <v/>
      </c>
      <c r="M582">
        <f>IF($N582=1,$L582+$K582,"")</f>
        <v/>
      </c>
      <c r="N582">
        <f>IF(ISNUMBER(SEARCH(" - ",$H582&amp;"")),1,0)</f>
        <v/>
      </c>
      <c r="O582">
        <f>IF(UPPER($H582&amp;"")="LEAVE",1,0)</f>
        <v/>
      </c>
      <c r="P582">
        <f>IF($N582=1,$K582,0)</f>
        <v/>
      </c>
      <c r="Q582">
        <f>IF($N582=0,"",IFERROR($L582-LOOKUP(2,1/(($B$2:$B581=$B582)*($N$2:$N581=1)),$M$2:$M581),""))</f>
        <v/>
      </c>
    </row>
    <row r="583">
      <c r="A583" t="n">
        <v>582</v>
      </c>
      <c r="B583">
        <f>Schedule!$A$86</f>
        <v/>
      </c>
      <c r="C583">
        <f>Schedule!$D$86</f>
        <v/>
      </c>
      <c r="D583">
        <f>Schedule!$F$86</f>
        <v/>
      </c>
      <c r="E583" t="n">
        <v>0</v>
      </c>
      <c r="F583">
        <f>Schedule!$G$1</f>
        <v/>
      </c>
      <c r="G583">
        <f>Schedule!$G$2</f>
        <v/>
      </c>
      <c r="H583">
        <f>Schedule!$G$86</f>
        <v/>
      </c>
      <c r="I583">
        <f>IF($N583=1,VALUE(LEFT($H583,2)),"")</f>
        <v/>
      </c>
      <c r="J583">
        <f>IF($N583=1,VALUE(MID($H583,9,2)),"")</f>
        <v/>
      </c>
      <c r="K583">
        <f>IF($N583=1,MOD($J583-$I583,24),0)</f>
        <v/>
      </c>
      <c r="L583">
        <f>IF($N583=1,$E583*24+$I583,"")</f>
        <v/>
      </c>
      <c r="M583">
        <f>IF($N583=1,$L583+$K583,"")</f>
        <v/>
      </c>
      <c r="N583">
        <f>IF(ISNUMBER(SEARCH(" - ",$H583&amp;"")),1,0)</f>
        <v/>
      </c>
      <c r="O583">
        <f>IF(UPPER($H583&amp;"")="LEAVE",1,0)</f>
        <v/>
      </c>
      <c r="P583">
        <f>IF($N583=1,$K583,0)</f>
        <v/>
      </c>
      <c r="Q583">
        <f>IF($N583=0,"",IFERROR($L583-'Previous Engine'!$M$85,""))</f>
        <v/>
      </c>
    </row>
    <row r="584">
      <c r="A584" t="n">
        <v>583</v>
      </c>
      <c r="B584">
        <f>Schedule!$A$86</f>
        <v/>
      </c>
      <c r="C584">
        <f>Schedule!$D$86</f>
        <v/>
      </c>
      <c r="D584">
        <f>Schedule!$F$86</f>
        <v/>
      </c>
      <c r="E584" t="n">
        <v>1</v>
      </c>
      <c r="F584">
        <f>Schedule!$H$1</f>
        <v/>
      </c>
      <c r="G584">
        <f>Schedule!$H$2</f>
        <v/>
      </c>
      <c r="H584">
        <f>Schedule!$H$86</f>
        <v/>
      </c>
      <c r="I584">
        <f>IF($N584=1,VALUE(LEFT($H584,2)),"")</f>
        <v/>
      </c>
      <c r="J584">
        <f>IF($N584=1,VALUE(MID($H584,9,2)),"")</f>
        <v/>
      </c>
      <c r="K584">
        <f>IF($N584=1,MOD($J584-$I584,24),0)</f>
        <v/>
      </c>
      <c r="L584">
        <f>IF($N584=1,$E584*24+$I584,"")</f>
        <v/>
      </c>
      <c r="M584">
        <f>IF($N584=1,$L584+$K584,"")</f>
        <v/>
      </c>
      <c r="N584">
        <f>IF(ISNUMBER(SEARCH(" - ",$H584&amp;"")),1,0)</f>
        <v/>
      </c>
      <c r="O584">
        <f>IF(UPPER($H584&amp;"")="LEAVE",1,0)</f>
        <v/>
      </c>
      <c r="P584">
        <f>IF($N584=1,$K584,0)</f>
        <v/>
      </c>
      <c r="Q584">
        <f>IF($N584=0,"",IFERROR($L584-LOOKUP(2,1/(($B$2:$B583=$B584)*($N$2:$N583=1)),$M$2:$M583),""))</f>
        <v/>
      </c>
    </row>
    <row r="585">
      <c r="A585" t="n">
        <v>584</v>
      </c>
      <c r="B585">
        <f>Schedule!$A$86</f>
        <v/>
      </c>
      <c r="C585">
        <f>Schedule!$D$86</f>
        <v/>
      </c>
      <c r="D585">
        <f>Schedule!$F$86</f>
        <v/>
      </c>
      <c r="E585" t="n">
        <v>2</v>
      </c>
      <c r="F585">
        <f>Schedule!$I$1</f>
        <v/>
      </c>
      <c r="G585">
        <f>Schedule!$I$2</f>
        <v/>
      </c>
      <c r="H585">
        <f>Schedule!$I$86</f>
        <v/>
      </c>
      <c r="I585">
        <f>IF($N585=1,VALUE(LEFT($H585,2)),"")</f>
        <v/>
      </c>
      <c r="J585">
        <f>IF($N585=1,VALUE(MID($H585,9,2)),"")</f>
        <v/>
      </c>
      <c r="K585">
        <f>IF($N585=1,MOD($J585-$I585,24),0)</f>
        <v/>
      </c>
      <c r="L585">
        <f>IF($N585=1,$E585*24+$I585,"")</f>
        <v/>
      </c>
      <c r="M585">
        <f>IF($N585=1,$L585+$K585,"")</f>
        <v/>
      </c>
      <c r="N585">
        <f>IF(ISNUMBER(SEARCH(" - ",$H585&amp;"")),1,0)</f>
        <v/>
      </c>
      <c r="O585">
        <f>IF(UPPER($H585&amp;"")="LEAVE",1,0)</f>
        <v/>
      </c>
      <c r="P585">
        <f>IF($N585=1,$K585,0)</f>
        <v/>
      </c>
      <c r="Q585">
        <f>IF($N585=0,"",IFERROR($L585-LOOKUP(2,1/(($B$2:$B584=$B585)*($N$2:$N584=1)),$M$2:$M584),""))</f>
        <v/>
      </c>
    </row>
    <row r="586">
      <c r="A586" t="n">
        <v>585</v>
      </c>
      <c r="B586">
        <f>Schedule!$A$86</f>
        <v/>
      </c>
      <c r="C586">
        <f>Schedule!$D$86</f>
        <v/>
      </c>
      <c r="D586">
        <f>Schedule!$F$86</f>
        <v/>
      </c>
      <c r="E586" t="n">
        <v>3</v>
      </c>
      <c r="F586">
        <f>Schedule!$J$1</f>
        <v/>
      </c>
      <c r="G586">
        <f>Schedule!$J$2</f>
        <v/>
      </c>
      <c r="H586">
        <f>Schedule!$J$86</f>
        <v/>
      </c>
      <c r="I586">
        <f>IF($N586=1,VALUE(LEFT($H586,2)),"")</f>
        <v/>
      </c>
      <c r="J586">
        <f>IF($N586=1,VALUE(MID($H586,9,2)),"")</f>
        <v/>
      </c>
      <c r="K586">
        <f>IF($N586=1,MOD($J586-$I586,24),0)</f>
        <v/>
      </c>
      <c r="L586">
        <f>IF($N586=1,$E586*24+$I586,"")</f>
        <v/>
      </c>
      <c r="M586">
        <f>IF($N586=1,$L586+$K586,"")</f>
        <v/>
      </c>
      <c r="N586">
        <f>IF(ISNUMBER(SEARCH(" - ",$H586&amp;"")),1,0)</f>
        <v/>
      </c>
      <c r="O586">
        <f>IF(UPPER($H586&amp;"")="LEAVE",1,0)</f>
        <v/>
      </c>
      <c r="P586">
        <f>IF($N586=1,$K586,0)</f>
        <v/>
      </c>
      <c r="Q586">
        <f>IF($N586=0,"",IFERROR($L586-LOOKUP(2,1/(($B$2:$B585=$B586)*($N$2:$N585=1)),$M$2:$M585),""))</f>
        <v/>
      </c>
    </row>
    <row r="587">
      <c r="A587" t="n">
        <v>586</v>
      </c>
      <c r="B587">
        <f>Schedule!$A$86</f>
        <v/>
      </c>
      <c r="C587">
        <f>Schedule!$D$86</f>
        <v/>
      </c>
      <c r="D587">
        <f>Schedule!$F$86</f>
        <v/>
      </c>
      <c r="E587" t="n">
        <v>4</v>
      </c>
      <c r="F587">
        <f>Schedule!$K$1</f>
        <v/>
      </c>
      <c r="G587">
        <f>Schedule!$K$2</f>
        <v/>
      </c>
      <c r="H587">
        <f>Schedule!$K$86</f>
        <v/>
      </c>
      <c r="I587">
        <f>IF($N587=1,VALUE(LEFT($H587,2)),"")</f>
        <v/>
      </c>
      <c r="J587">
        <f>IF($N587=1,VALUE(MID($H587,9,2)),"")</f>
        <v/>
      </c>
      <c r="K587">
        <f>IF($N587=1,MOD($J587-$I587,24),0)</f>
        <v/>
      </c>
      <c r="L587">
        <f>IF($N587=1,$E587*24+$I587,"")</f>
        <v/>
      </c>
      <c r="M587">
        <f>IF($N587=1,$L587+$K587,"")</f>
        <v/>
      </c>
      <c r="N587">
        <f>IF(ISNUMBER(SEARCH(" - ",$H587&amp;"")),1,0)</f>
        <v/>
      </c>
      <c r="O587">
        <f>IF(UPPER($H587&amp;"")="LEAVE",1,0)</f>
        <v/>
      </c>
      <c r="P587">
        <f>IF($N587=1,$K587,0)</f>
        <v/>
      </c>
      <c r="Q587">
        <f>IF($N587=0,"",IFERROR($L587-LOOKUP(2,1/(($B$2:$B586=$B587)*($N$2:$N586=1)),$M$2:$M586),""))</f>
        <v/>
      </c>
    </row>
    <row r="588">
      <c r="A588" t="n">
        <v>587</v>
      </c>
      <c r="B588">
        <f>Schedule!$A$86</f>
        <v/>
      </c>
      <c r="C588">
        <f>Schedule!$D$86</f>
        <v/>
      </c>
      <c r="D588">
        <f>Schedule!$F$86</f>
        <v/>
      </c>
      <c r="E588" t="n">
        <v>5</v>
      </c>
      <c r="F588">
        <f>Schedule!$L$1</f>
        <v/>
      </c>
      <c r="G588">
        <f>Schedule!$L$2</f>
        <v/>
      </c>
      <c r="H588">
        <f>Schedule!$L$86</f>
        <v/>
      </c>
      <c r="I588">
        <f>IF($N588=1,VALUE(LEFT($H588,2)),"")</f>
        <v/>
      </c>
      <c r="J588">
        <f>IF($N588=1,VALUE(MID($H588,9,2)),"")</f>
        <v/>
      </c>
      <c r="K588">
        <f>IF($N588=1,MOD($J588-$I588,24),0)</f>
        <v/>
      </c>
      <c r="L588">
        <f>IF($N588=1,$E588*24+$I588,"")</f>
        <v/>
      </c>
      <c r="M588">
        <f>IF($N588=1,$L588+$K588,"")</f>
        <v/>
      </c>
      <c r="N588">
        <f>IF(ISNUMBER(SEARCH(" - ",$H588&amp;"")),1,0)</f>
        <v/>
      </c>
      <c r="O588">
        <f>IF(UPPER($H588&amp;"")="LEAVE",1,0)</f>
        <v/>
      </c>
      <c r="P588">
        <f>IF($N588=1,$K588,0)</f>
        <v/>
      </c>
      <c r="Q588">
        <f>IF($N588=0,"",IFERROR($L588-LOOKUP(2,1/(($B$2:$B587=$B588)*($N$2:$N587=1)),$M$2:$M587),""))</f>
        <v/>
      </c>
    </row>
    <row r="589">
      <c r="A589" t="n">
        <v>588</v>
      </c>
      <c r="B589">
        <f>Schedule!$A$86</f>
        <v/>
      </c>
      <c r="C589">
        <f>Schedule!$D$86</f>
        <v/>
      </c>
      <c r="D589">
        <f>Schedule!$F$86</f>
        <v/>
      </c>
      <c r="E589" t="n">
        <v>6</v>
      </c>
      <c r="F589">
        <f>Schedule!$M$1</f>
        <v/>
      </c>
      <c r="G589">
        <f>Schedule!$M$2</f>
        <v/>
      </c>
      <c r="H589">
        <f>Schedule!$M$86</f>
        <v/>
      </c>
      <c r="I589">
        <f>IF($N589=1,VALUE(LEFT($H589,2)),"")</f>
        <v/>
      </c>
      <c r="J589">
        <f>IF($N589=1,VALUE(MID($H589,9,2)),"")</f>
        <v/>
      </c>
      <c r="K589">
        <f>IF($N589=1,MOD($J589-$I589,24),0)</f>
        <v/>
      </c>
      <c r="L589">
        <f>IF($N589=1,$E589*24+$I589,"")</f>
        <v/>
      </c>
      <c r="M589">
        <f>IF($N589=1,$L589+$K589,"")</f>
        <v/>
      </c>
      <c r="N589">
        <f>IF(ISNUMBER(SEARCH(" - ",$H589&amp;"")),1,0)</f>
        <v/>
      </c>
      <c r="O589">
        <f>IF(UPPER($H589&amp;"")="LEAVE",1,0)</f>
        <v/>
      </c>
      <c r="P589">
        <f>IF($N589=1,$K589,0)</f>
        <v/>
      </c>
      <c r="Q589">
        <f>IF($N589=0,"",IFERROR($L589-LOOKUP(2,1/(($B$2:$B588=$B589)*($N$2:$N588=1)),$M$2:$M588),""))</f>
        <v/>
      </c>
    </row>
    <row r="590">
      <c r="A590" t="n">
        <v>589</v>
      </c>
      <c r="B590">
        <f>Schedule!$A$87</f>
        <v/>
      </c>
      <c r="C590">
        <f>Schedule!$D$87</f>
        <v/>
      </c>
      <c r="D590">
        <f>Schedule!$F$87</f>
        <v/>
      </c>
      <c r="E590" t="n">
        <v>0</v>
      </c>
      <c r="F590">
        <f>Schedule!$G$1</f>
        <v/>
      </c>
      <c r="G590">
        <f>Schedule!$G$2</f>
        <v/>
      </c>
      <c r="H590">
        <f>Schedule!$G$87</f>
        <v/>
      </c>
      <c r="I590">
        <f>IF($N590=1,VALUE(LEFT($H590,2)),"")</f>
        <v/>
      </c>
      <c r="J590">
        <f>IF($N590=1,VALUE(MID($H590,9,2)),"")</f>
        <v/>
      </c>
      <c r="K590">
        <f>IF($N590=1,MOD($J590-$I590,24),0)</f>
        <v/>
      </c>
      <c r="L590">
        <f>IF($N590=1,$E590*24+$I590,"")</f>
        <v/>
      </c>
      <c r="M590">
        <f>IF($N590=1,$L590+$K590,"")</f>
        <v/>
      </c>
      <c r="N590">
        <f>IF(ISNUMBER(SEARCH(" - ",$H590&amp;"")),1,0)</f>
        <v/>
      </c>
      <c r="O590">
        <f>IF(UPPER($H590&amp;"")="LEAVE",1,0)</f>
        <v/>
      </c>
      <c r="P590">
        <f>IF($N590=1,$K590,0)</f>
        <v/>
      </c>
      <c r="Q590">
        <f>IF($N590=0,"",IFERROR($L590-'Previous Engine'!$M$86,""))</f>
        <v/>
      </c>
    </row>
    <row r="591">
      <c r="A591" t="n">
        <v>590</v>
      </c>
      <c r="B591">
        <f>Schedule!$A$87</f>
        <v/>
      </c>
      <c r="C591">
        <f>Schedule!$D$87</f>
        <v/>
      </c>
      <c r="D591">
        <f>Schedule!$F$87</f>
        <v/>
      </c>
      <c r="E591" t="n">
        <v>1</v>
      </c>
      <c r="F591">
        <f>Schedule!$H$1</f>
        <v/>
      </c>
      <c r="G591">
        <f>Schedule!$H$2</f>
        <v/>
      </c>
      <c r="H591">
        <f>Schedule!$H$87</f>
        <v/>
      </c>
      <c r="I591">
        <f>IF($N591=1,VALUE(LEFT($H591,2)),"")</f>
        <v/>
      </c>
      <c r="J591">
        <f>IF($N591=1,VALUE(MID($H591,9,2)),"")</f>
        <v/>
      </c>
      <c r="K591">
        <f>IF($N591=1,MOD($J591-$I591,24),0)</f>
        <v/>
      </c>
      <c r="L591">
        <f>IF($N591=1,$E591*24+$I591,"")</f>
        <v/>
      </c>
      <c r="M591">
        <f>IF($N591=1,$L591+$K591,"")</f>
        <v/>
      </c>
      <c r="N591">
        <f>IF(ISNUMBER(SEARCH(" - ",$H591&amp;"")),1,0)</f>
        <v/>
      </c>
      <c r="O591">
        <f>IF(UPPER($H591&amp;"")="LEAVE",1,0)</f>
        <v/>
      </c>
      <c r="P591">
        <f>IF($N591=1,$K591,0)</f>
        <v/>
      </c>
      <c r="Q591">
        <f>IF($N591=0,"",IFERROR($L591-LOOKUP(2,1/(($B$2:$B590=$B591)*($N$2:$N590=1)),$M$2:$M590),""))</f>
        <v/>
      </c>
    </row>
    <row r="592">
      <c r="A592" t="n">
        <v>591</v>
      </c>
      <c r="B592">
        <f>Schedule!$A$87</f>
        <v/>
      </c>
      <c r="C592">
        <f>Schedule!$D$87</f>
        <v/>
      </c>
      <c r="D592">
        <f>Schedule!$F$87</f>
        <v/>
      </c>
      <c r="E592" t="n">
        <v>2</v>
      </c>
      <c r="F592">
        <f>Schedule!$I$1</f>
        <v/>
      </c>
      <c r="G592">
        <f>Schedule!$I$2</f>
        <v/>
      </c>
      <c r="H592">
        <f>Schedule!$I$87</f>
        <v/>
      </c>
      <c r="I592">
        <f>IF($N592=1,VALUE(LEFT($H592,2)),"")</f>
        <v/>
      </c>
      <c r="J592">
        <f>IF($N592=1,VALUE(MID($H592,9,2)),"")</f>
        <v/>
      </c>
      <c r="K592">
        <f>IF($N592=1,MOD($J592-$I592,24),0)</f>
        <v/>
      </c>
      <c r="L592">
        <f>IF($N592=1,$E592*24+$I592,"")</f>
        <v/>
      </c>
      <c r="M592">
        <f>IF($N592=1,$L592+$K592,"")</f>
        <v/>
      </c>
      <c r="N592">
        <f>IF(ISNUMBER(SEARCH(" - ",$H592&amp;"")),1,0)</f>
        <v/>
      </c>
      <c r="O592">
        <f>IF(UPPER($H592&amp;"")="LEAVE",1,0)</f>
        <v/>
      </c>
      <c r="P592">
        <f>IF($N592=1,$K592,0)</f>
        <v/>
      </c>
      <c r="Q592">
        <f>IF($N592=0,"",IFERROR($L592-LOOKUP(2,1/(($B$2:$B591=$B592)*($N$2:$N591=1)),$M$2:$M591),""))</f>
        <v/>
      </c>
    </row>
    <row r="593">
      <c r="A593" t="n">
        <v>592</v>
      </c>
      <c r="B593">
        <f>Schedule!$A$87</f>
        <v/>
      </c>
      <c r="C593">
        <f>Schedule!$D$87</f>
        <v/>
      </c>
      <c r="D593">
        <f>Schedule!$F$87</f>
        <v/>
      </c>
      <c r="E593" t="n">
        <v>3</v>
      </c>
      <c r="F593">
        <f>Schedule!$J$1</f>
        <v/>
      </c>
      <c r="G593">
        <f>Schedule!$J$2</f>
        <v/>
      </c>
      <c r="H593">
        <f>Schedule!$J$87</f>
        <v/>
      </c>
      <c r="I593">
        <f>IF($N593=1,VALUE(LEFT($H593,2)),"")</f>
        <v/>
      </c>
      <c r="J593">
        <f>IF($N593=1,VALUE(MID($H593,9,2)),"")</f>
        <v/>
      </c>
      <c r="K593">
        <f>IF($N593=1,MOD($J593-$I593,24),0)</f>
        <v/>
      </c>
      <c r="L593">
        <f>IF($N593=1,$E593*24+$I593,"")</f>
        <v/>
      </c>
      <c r="M593">
        <f>IF($N593=1,$L593+$K593,"")</f>
        <v/>
      </c>
      <c r="N593">
        <f>IF(ISNUMBER(SEARCH(" - ",$H593&amp;"")),1,0)</f>
        <v/>
      </c>
      <c r="O593">
        <f>IF(UPPER($H593&amp;"")="LEAVE",1,0)</f>
        <v/>
      </c>
      <c r="P593">
        <f>IF($N593=1,$K593,0)</f>
        <v/>
      </c>
      <c r="Q593">
        <f>IF($N593=0,"",IFERROR($L593-LOOKUP(2,1/(($B$2:$B592=$B593)*($N$2:$N592=1)),$M$2:$M592),""))</f>
        <v/>
      </c>
    </row>
    <row r="594">
      <c r="A594" t="n">
        <v>593</v>
      </c>
      <c r="B594">
        <f>Schedule!$A$87</f>
        <v/>
      </c>
      <c r="C594">
        <f>Schedule!$D$87</f>
        <v/>
      </c>
      <c r="D594">
        <f>Schedule!$F$87</f>
        <v/>
      </c>
      <c r="E594" t="n">
        <v>4</v>
      </c>
      <c r="F594">
        <f>Schedule!$K$1</f>
        <v/>
      </c>
      <c r="G594">
        <f>Schedule!$K$2</f>
        <v/>
      </c>
      <c r="H594">
        <f>Schedule!$K$87</f>
        <v/>
      </c>
      <c r="I594">
        <f>IF($N594=1,VALUE(LEFT($H594,2)),"")</f>
        <v/>
      </c>
      <c r="J594">
        <f>IF($N594=1,VALUE(MID($H594,9,2)),"")</f>
        <v/>
      </c>
      <c r="K594">
        <f>IF($N594=1,MOD($J594-$I594,24),0)</f>
        <v/>
      </c>
      <c r="L594">
        <f>IF($N594=1,$E594*24+$I594,"")</f>
        <v/>
      </c>
      <c r="M594">
        <f>IF($N594=1,$L594+$K594,"")</f>
        <v/>
      </c>
      <c r="N594">
        <f>IF(ISNUMBER(SEARCH(" - ",$H594&amp;"")),1,0)</f>
        <v/>
      </c>
      <c r="O594">
        <f>IF(UPPER($H594&amp;"")="LEAVE",1,0)</f>
        <v/>
      </c>
      <c r="P594">
        <f>IF($N594=1,$K594,0)</f>
        <v/>
      </c>
      <c r="Q594">
        <f>IF($N594=0,"",IFERROR($L594-LOOKUP(2,1/(($B$2:$B593=$B594)*($N$2:$N593=1)),$M$2:$M593),""))</f>
        <v/>
      </c>
    </row>
    <row r="595">
      <c r="A595" t="n">
        <v>594</v>
      </c>
      <c r="B595">
        <f>Schedule!$A$87</f>
        <v/>
      </c>
      <c r="C595">
        <f>Schedule!$D$87</f>
        <v/>
      </c>
      <c r="D595">
        <f>Schedule!$F$87</f>
        <v/>
      </c>
      <c r="E595" t="n">
        <v>5</v>
      </c>
      <c r="F595">
        <f>Schedule!$L$1</f>
        <v/>
      </c>
      <c r="G595">
        <f>Schedule!$L$2</f>
        <v/>
      </c>
      <c r="H595">
        <f>Schedule!$L$87</f>
        <v/>
      </c>
      <c r="I595">
        <f>IF($N595=1,VALUE(LEFT($H595,2)),"")</f>
        <v/>
      </c>
      <c r="J595">
        <f>IF($N595=1,VALUE(MID($H595,9,2)),"")</f>
        <v/>
      </c>
      <c r="K595">
        <f>IF($N595=1,MOD($J595-$I595,24),0)</f>
        <v/>
      </c>
      <c r="L595">
        <f>IF($N595=1,$E595*24+$I595,"")</f>
        <v/>
      </c>
      <c r="M595">
        <f>IF($N595=1,$L595+$K595,"")</f>
        <v/>
      </c>
      <c r="N595">
        <f>IF(ISNUMBER(SEARCH(" - ",$H595&amp;"")),1,0)</f>
        <v/>
      </c>
      <c r="O595">
        <f>IF(UPPER($H595&amp;"")="LEAVE",1,0)</f>
        <v/>
      </c>
      <c r="P595">
        <f>IF($N595=1,$K595,0)</f>
        <v/>
      </c>
      <c r="Q595">
        <f>IF($N595=0,"",IFERROR($L595-LOOKUP(2,1/(($B$2:$B594=$B595)*($N$2:$N594=1)),$M$2:$M594),""))</f>
        <v/>
      </c>
    </row>
    <row r="596">
      <c r="A596" t="n">
        <v>595</v>
      </c>
      <c r="B596">
        <f>Schedule!$A$87</f>
        <v/>
      </c>
      <c r="C596">
        <f>Schedule!$D$87</f>
        <v/>
      </c>
      <c r="D596">
        <f>Schedule!$F$87</f>
        <v/>
      </c>
      <c r="E596" t="n">
        <v>6</v>
      </c>
      <c r="F596">
        <f>Schedule!$M$1</f>
        <v/>
      </c>
      <c r="G596">
        <f>Schedule!$M$2</f>
        <v/>
      </c>
      <c r="H596">
        <f>Schedule!$M$87</f>
        <v/>
      </c>
      <c r="I596">
        <f>IF($N596=1,VALUE(LEFT($H596,2)),"")</f>
        <v/>
      </c>
      <c r="J596">
        <f>IF($N596=1,VALUE(MID($H596,9,2)),"")</f>
        <v/>
      </c>
      <c r="K596">
        <f>IF($N596=1,MOD($J596-$I596,24),0)</f>
        <v/>
      </c>
      <c r="L596">
        <f>IF($N596=1,$E596*24+$I596,"")</f>
        <v/>
      </c>
      <c r="M596">
        <f>IF($N596=1,$L596+$K596,"")</f>
        <v/>
      </c>
      <c r="N596">
        <f>IF(ISNUMBER(SEARCH(" - ",$H596&amp;"")),1,0)</f>
        <v/>
      </c>
      <c r="O596">
        <f>IF(UPPER($H596&amp;"")="LEAVE",1,0)</f>
        <v/>
      </c>
      <c r="P596">
        <f>IF($N596=1,$K596,0)</f>
        <v/>
      </c>
      <c r="Q596">
        <f>IF($N596=0,"",IFERROR($L596-LOOKUP(2,1/(($B$2:$B595=$B596)*($N$2:$N595=1)),$M$2:$M595),""))</f>
        <v/>
      </c>
    </row>
    <row r="597">
      <c r="A597" t="n">
        <v>596</v>
      </c>
      <c r="B597">
        <f>Schedule!$A$88</f>
        <v/>
      </c>
      <c r="C597">
        <f>Schedule!$D$88</f>
        <v/>
      </c>
      <c r="D597">
        <f>Schedule!$F$88</f>
        <v/>
      </c>
      <c r="E597" t="n">
        <v>0</v>
      </c>
      <c r="F597">
        <f>Schedule!$G$1</f>
        <v/>
      </c>
      <c r="G597">
        <f>Schedule!$G$2</f>
        <v/>
      </c>
      <c r="H597">
        <f>Schedule!$G$88</f>
        <v/>
      </c>
      <c r="I597">
        <f>IF($N597=1,VALUE(LEFT($H597,2)),"")</f>
        <v/>
      </c>
      <c r="J597">
        <f>IF($N597=1,VALUE(MID($H597,9,2)),"")</f>
        <v/>
      </c>
      <c r="K597">
        <f>IF($N597=1,MOD($J597-$I597,24),0)</f>
        <v/>
      </c>
      <c r="L597">
        <f>IF($N597=1,$E597*24+$I597,"")</f>
        <v/>
      </c>
      <c r="M597">
        <f>IF($N597=1,$L597+$K597,"")</f>
        <v/>
      </c>
      <c r="N597">
        <f>IF(ISNUMBER(SEARCH(" - ",$H597&amp;"")),1,0)</f>
        <v/>
      </c>
      <c r="O597">
        <f>IF(UPPER($H597&amp;"")="LEAVE",1,0)</f>
        <v/>
      </c>
      <c r="P597">
        <f>IF($N597=1,$K597,0)</f>
        <v/>
      </c>
      <c r="Q597">
        <f>IF($N597=0,"",IFERROR($L597-'Previous Engine'!$M$87,""))</f>
        <v/>
      </c>
    </row>
    <row r="598">
      <c r="A598" t="n">
        <v>597</v>
      </c>
      <c r="B598">
        <f>Schedule!$A$88</f>
        <v/>
      </c>
      <c r="C598">
        <f>Schedule!$D$88</f>
        <v/>
      </c>
      <c r="D598">
        <f>Schedule!$F$88</f>
        <v/>
      </c>
      <c r="E598" t="n">
        <v>1</v>
      </c>
      <c r="F598">
        <f>Schedule!$H$1</f>
        <v/>
      </c>
      <c r="G598">
        <f>Schedule!$H$2</f>
        <v/>
      </c>
      <c r="H598">
        <f>Schedule!$H$88</f>
        <v/>
      </c>
      <c r="I598">
        <f>IF($N598=1,VALUE(LEFT($H598,2)),"")</f>
        <v/>
      </c>
      <c r="J598">
        <f>IF($N598=1,VALUE(MID($H598,9,2)),"")</f>
        <v/>
      </c>
      <c r="K598">
        <f>IF($N598=1,MOD($J598-$I598,24),0)</f>
        <v/>
      </c>
      <c r="L598">
        <f>IF($N598=1,$E598*24+$I598,"")</f>
        <v/>
      </c>
      <c r="M598">
        <f>IF($N598=1,$L598+$K598,"")</f>
        <v/>
      </c>
      <c r="N598">
        <f>IF(ISNUMBER(SEARCH(" - ",$H598&amp;"")),1,0)</f>
        <v/>
      </c>
      <c r="O598">
        <f>IF(UPPER($H598&amp;"")="LEAVE",1,0)</f>
        <v/>
      </c>
      <c r="P598">
        <f>IF($N598=1,$K598,0)</f>
        <v/>
      </c>
      <c r="Q598">
        <f>IF($N598=0,"",IFERROR($L598-LOOKUP(2,1/(($B$2:$B597=$B598)*($N$2:$N597=1)),$M$2:$M597),""))</f>
        <v/>
      </c>
    </row>
    <row r="599">
      <c r="A599" t="n">
        <v>598</v>
      </c>
      <c r="B599">
        <f>Schedule!$A$88</f>
        <v/>
      </c>
      <c r="C599">
        <f>Schedule!$D$88</f>
        <v/>
      </c>
      <c r="D599">
        <f>Schedule!$F$88</f>
        <v/>
      </c>
      <c r="E599" t="n">
        <v>2</v>
      </c>
      <c r="F599">
        <f>Schedule!$I$1</f>
        <v/>
      </c>
      <c r="G599">
        <f>Schedule!$I$2</f>
        <v/>
      </c>
      <c r="H599">
        <f>Schedule!$I$88</f>
        <v/>
      </c>
      <c r="I599">
        <f>IF($N599=1,VALUE(LEFT($H599,2)),"")</f>
        <v/>
      </c>
      <c r="J599">
        <f>IF($N599=1,VALUE(MID($H599,9,2)),"")</f>
        <v/>
      </c>
      <c r="K599">
        <f>IF($N599=1,MOD($J599-$I599,24),0)</f>
        <v/>
      </c>
      <c r="L599">
        <f>IF($N599=1,$E599*24+$I599,"")</f>
        <v/>
      </c>
      <c r="M599">
        <f>IF($N599=1,$L599+$K599,"")</f>
        <v/>
      </c>
      <c r="N599">
        <f>IF(ISNUMBER(SEARCH(" - ",$H599&amp;"")),1,0)</f>
        <v/>
      </c>
      <c r="O599">
        <f>IF(UPPER($H599&amp;"")="LEAVE",1,0)</f>
        <v/>
      </c>
      <c r="P599">
        <f>IF($N599=1,$K599,0)</f>
        <v/>
      </c>
      <c r="Q599">
        <f>IF($N599=0,"",IFERROR($L599-LOOKUP(2,1/(($B$2:$B598=$B599)*($N$2:$N598=1)),$M$2:$M598),""))</f>
        <v/>
      </c>
    </row>
    <row r="600">
      <c r="A600" t="n">
        <v>599</v>
      </c>
      <c r="B600">
        <f>Schedule!$A$88</f>
        <v/>
      </c>
      <c r="C600">
        <f>Schedule!$D$88</f>
        <v/>
      </c>
      <c r="D600">
        <f>Schedule!$F$88</f>
        <v/>
      </c>
      <c r="E600" t="n">
        <v>3</v>
      </c>
      <c r="F600">
        <f>Schedule!$J$1</f>
        <v/>
      </c>
      <c r="G600">
        <f>Schedule!$J$2</f>
        <v/>
      </c>
      <c r="H600">
        <f>Schedule!$J$88</f>
        <v/>
      </c>
      <c r="I600">
        <f>IF($N600=1,VALUE(LEFT($H600,2)),"")</f>
        <v/>
      </c>
      <c r="J600">
        <f>IF($N600=1,VALUE(MID($H600,9,2)),"")</f>
        <v/>
      </c>
      <c r="K600">
        <f>IF($N600=1,MOD($J600-$I600,24),0)</f>
        <v/>
      </c>
      <c r="L600">
        <f>IF($N600=1,$E600*24+$I600,"")</f>
        <v/>
      </c>
      <c r="M600">
        <f>IF($N600=1,$L600+$K600,"")</f>
        <v/>
      </c>
      <c r="N600">
        <f>IF(ISNUMBER(SEARCH(" - ",$H600&amp;"")),1,0)</f>
        <v/>
      </c>
      <c r="O600">
        <f>IF(UPPER($H600&amp;"")="LEAVE",1,0)</f>
        <v/>
      </c>
      <c r="P600">
        <f>IF($N600=1,$K600,0)</f>
        <v/>
      </c>
      <c r="Q600">
        <f>IF($N600=0,"",IFERROR($L600-LOOKUP(2,1/(($B$2:$B599=$B600)*($N$2:$N599=1)),$M$2:$M599),""))</f>
        <v/>
      </c>
    </row>
    <row r="601">
      <c r="A601" t="n">
        <v>600</v>
      </c>
      <c r="B601">
        <f>Schedule!$A$88</f>
        <v/>
      </c>
      <c r="C601">
        <f>Schedule!$D$88</f>
        <v/>
      </c>
      <c r="D601">
        <f>Schedule!$F$88</f>
        <v/>
      </c>
      <c r="E601" t="n">
        <v>4</v>
      </c>
      <c r="F601">
        <f>Schedule!$K$1</f>
        <v/>
      </c>
      <c r="G601">
        <f>Schedule!$K$2</f>
        <v/>
      </c>
      <c r="H601">
        <f>Schedule!$K$88</f>
        <v/>
      </c>
      <c r="I601">
        <f>IF($N601=1,VALUE(LEFT($H601,2)),"")</f>
        <v/>
      </c>
      <c r="J601">
        <f>IF($N601=1,VALUE(MID($H601,9,2)),"")</f>
        <v/>
      </c>
      <c r="K601">
        <f>IF($N601=1,MOD($J601-$I601,24),0)</f>
        <v/>
      </c>
      <c r="L601">
        <f>IF($N601=1,$E601*24+$I601,"")</f>
        <v/>
      </c>
      <c r="M601">
        <f>IF($N601=1,$L601+$K601,"")</f>
        <v/>
      </c>
      <c r="N601">
        <f>IF(ISNUMBER(SEARCH(" - ",$H601&amp;"")),1,0)</f>
        <v/>
      </c>
      <c r="O601">
        <f>IF(UPPER($H601&amp;"")="LEAVE",1,0)</f>
        <v/>
      </c>
      <c r="P601">
        <f>IF($N601=1,$K601,0)</f>
        <v/>
      </c>
      <c r="Q601">
        <f>IF($N601=0,"",IFERROR($L601-LOOKUP(2,1/(($B$2:$B600=$B601)*($N$2:$N600=1)),$M$2:$M600),""))</f>
        <v/>
      </c>
    </row>
    <row r="602">
      <c r="A602" t="n">
        <v>601</v>
      </c>
      <c r="B602">
        <f>Schedule!$A$88</f>
        <v/>
      </c>
      <c r="C602">
        <f>Schedule!$D$88</f>
        <v/>
      </c>
      <c r="D602">
        <f>Schedule!$F$88</f>
        <v/>
      </c>
      <c r="E602" t="n">
        <v>5</v>
      </c>
      <c r="F602">
        <f>Schedule!$L$1</f>
        <v/>
      </c>
      <c r="G602">
        <f>Schedule!$L$2</f>
        <v/>
      </c>
      <c r="H602">
        <f>Schedule!$L$88</f>
        <v/>
      </c>
      <c r="I602">
        <f>IF($N602=1,VALUE(LEFT($H602,2)),"")</f>
        <v/>
      </c>
      <c r="J602">
        <f>IF($N602=1,VALUE(MID($H602,9,2)),"")</f>
        <v/>
      </c>
      <c r="K602">
        <f>IF($N602=1,MOD($J602-$I602,24),0)</f>
        <v/>
      </c>
      <c r="L602">
        <f>IF($N602=1,$E602*24+$I602,"")</f>
        <v/>
      </c>
      <c r="M602">
        <f>IF($N602=1,$L602+$K602,"")</f>
        <v/>
      </c>
      <c r="N602">
        <f>IF(ISNUMBER(SEARCH(" - ",$H602&amp;"")),1,0)</f>
        <v/>
      </c>
      <c r="O602">
        <f>IF(UPPER($H602&amp;"")="LEAVE",1,0)</f>
        <v/>
      </c>
      <c r="P602">
        <f>IF($N602=1,$K602,0)</f>
        <v/>
      </c>
      <c r="Q602">
        <f>IF($N602=0,"",IFERROR($L602-LOOKUP(2,1/(($B$2:$B601=$B602)*($N$2:$N601=1)),$M$2:$M601),""))</f>
        <v/>
      </c>
    </row>
    <row r="603">
      <c r="A603" t="n">
        <v>602</v>
      </c>
      <c r="B603">
        <f>Schedule!$A$88</f>
        <v/>
      </c>
      <c r="C603">
        <f>Schedule!$D$88</f>
        <v/>
      </c>
      <c r="D603">
        <f>Schedule!$F$88</f>
        <v/>
      </c>
      <c r="E603" t="n">
        <v>6</v>
      </c>
      <c r="F603">
        <f>Schedule!$M$1</f>
        <v/>
      </c>
      <c r="G603">
        <f>Schedule!$M$2</f>
        <v/>
      </c>
      <c r="H603">
        <f>Schedule!$M$88</f>
        <v/>
      </c>
      <c r="I603">
        <f>IF($N603=1,VALUE(LEFT($H603,2)),"")</f>
        <v/>
      </c>
      <c r="J603">
        <f>IF($N603=1,VALUE(MID($H603,9,2)),"")</f>
        <v/>
      </c>
      <c r="K603">
        <f>IF($N603=1,MOD($J603-$I603,24),0)</f>
        <v/>
      </c>
      <c r="L603">
        <f>IF($N603=1,$E603*24+$I603,"")</f>
        <v/>
      </c>
      <c r="M603">
        <f>IF($N603=1,$L603+$K603,"")</f>
        <v/>
      </c>
      <c r="N603">
        <f>IF(ISNUMBER(SEARCH(" - ",$H603&amp;"")),1,0)</f>
        <v/>
      </c>
      <c r="O603">
        <f>IF(UPPER($H603&amp;"")="LEAVE",1,0)</f>
        <v/>
      </c>
      <c r="P603">
        <f>IF($N603=1,$K603,0)</f>
        <v/>
      </c>
      <c r="Q603">
        <f>IF($N603=0,"",IFERROR($L603-LOOKUP(2,1/(($B$2:$B602=$B603)*($N$2:$N602=1)),$M$2:$M602),""))</f>
        <v/>
      </c>
    </row>
    <row r="604">
      <c r="A604" t="n">
        <v>603</v>
      </c>
      <c r="B604">
        <f>Schedule!$A$89</f>
        <v/>
      </c>
      <c r="C604">
        <f>Schedule!$D$89</f>
        <v/>
      </c>
      <c r="D604">
        <f>Schedule!$F$89</f>
        <v/>
      </c>
      <c r="E604" t="n">
        <v>0</v>
      </c>
      <c r="F604">
        <f>Schedule!$G$1</f>
        <v/>
      </c>
      <c r="G604">
        <f>Schedule!$G$2</f>
        <v/>
      </c>
      <c r="H604">
        <f>Schedule!$G$89</f>
        <v/>
      </c>
      <c r="I604">
        <f>IF($N604=1,VALUE(LEFT($H604,2)),"")</f>
        <v/>
      </c>
      <c r="J604">
        <f>IF($N604=1,VALUE(MID($H604,9,2)),"")</f>
        <v/>
      </c>
      <c r="K604">
        <f>IF($N604=1,MOD($J604-$I604,24),0)</f>
        <v/>
      </c>
      <c r="L604">
        <f>IF($N604=1,$E604*24+$I604,"")</f>
        <v/>
      </c>
      <c r="M604">
        <f>IF($N604=1,$L604+$K604,"")</f>
        <v/>
      </c>
      <c r="N604">
        <f>IF(ISNUMBER(SEARCH(" - ",$H604&amp;"")),1,0)</f>
        <v/>
      </c>
      <c r="O604">
        <f>IF(UPPER($H604&amp;"")="LEAVE",1,0)</f>
        <v/>
      </c>
      <c r="P604">
        <f>IF($N604=1,$K604,0)</f>
        <v/>
      </c>
      <c r="Q604">
        <f>IF($N604=0,"",IFERROR($L604-'Previous Engine'!$M$88,""))</f>
        <v/>
      </c>
    </row>
    <row r="605">
      <c r="A605" t="n">
        <v>604</v>
      </c>
      <c r="B605">
        <f>Schedule!$A$89</f>
        <v/>
      </c>
      <c r="C605">
        <f>Schedule!$D$89</f>
        <v/>
      </c>
      <c r="D605">
        <f>Schedule!$F$89</f>
        <v/>
      </c>
      <c r="E605" t="n">
        <v>1</v>
      </c>
      <c r="F605">
        <f>Schedule!$H$1</f>
        <v/>
      </c>
      <c r="G605">
        <f>Schedule!$H$2</f>
        <v/>
      </c>
      <c r="H605">
        <f>Schedule!$H$89</f>
        <v/>
      </c>
      <c r="I605">
        <f>IF($N605=1,VALUE(LEFT($H605,2)),"")</f>
        <v/>
      </c>
      <c r="J605">
        <f>IF($N605=1,VALUE(MID($H605,9,2)),"")</f>
        <v/>
      </c>
      <c r="K605">
        <f>IF($N605=1,MOD($J605-$I605,24),0)</f>
        <v/>
      </c>
      <c r="L605">
        <f>IF($N605=1,$E605*24+$I605,"")</f>
        <v/>
      </c>
      <c r="M605">
        <f>IF($N605=1,$L605+$K605,"")</f>
        <v/>
      </c>
      <c r="N605">
        <f>IF(ISNUMBER(SEARCH(" - ",$H605&amp;"")),1,0)</f>
        <v/>
      </c>
      <c r="O605">
        <f>IF(UPPER($H605&amp;"")="LEAVE",1,0)</f>
        <v/>
      </c>
      <c r="P605">
        <f>IF($N605=1,$K605,0)</f>
        <v/>
      </c>
      <c r="Q605">
        <f>IF($N605=0,"",IFERROR($L605-LOOKUP(2,1/(($B$2:$B604=$B605)*($N$2:$N604=1)),$M$2:$M604),""))</f>
        <v/>
      </c>
    </row>
    <row r="606">
      <c r="A606" t="n">
        <v>605</v>
      </c>
      <c r="B606">
        <f>Schedule!$A$89</f>
        <v/>
      </c>
      <c r="C606">
        <f>Schedule!$D$89</f>
        <v/>
      </c>
      <c r="D606">
        <f>Schedule!$F$89</f>
        <v/>
      </c>
      <c r="E606" t="n">
        <v>2</v>
      </c>
      <c r="F606">
        <f>Schedule!$I$1</f>
        <v/>
      </c>
      <c r="G606">
        <f>Schedule!$I$2</f>
        <v/>
      </c>
      <c r="H606">
        <f>Schedule!$I$89</f>
        <v/>
      </c>
      <c r="I606">
        <f>IF($N606=1,VALUE(LEFT($H606,2)),"")</f>
        <v/>
      </c>
      <c r="J606">
        <f>IF($N606=1,VALUE(MID($H606,9,2)),"")</f>
        <v/>
      </c>
      <c r="K606">
        <f>IF($N606=1,MOD($J606-$I606,24),0)</f>
        <v/>
      </c>
      <c r="L606">
        <f>IF($N606=1,$E606*24+$I606,"")</f>
        <v/>
      </c>
      <c r="M606">
        <f>IF($N606=1,$L606+$K606,"")</f>
        <v/>
      </c>
      <c r="N606">
        <f>IF(ISNUMBER(SEARCH(" - ",$H606&amp;"")),1,0)</f>
        <v/>
      </c>
      <c r="O606">
        <f>IF(UPPER($H606&amp;"")="LEAVE",1,0)</f>
        <v/>
      </c>
      <c r="P606">
        <f>IF($N606=1,$K606,0)</f>
        <v/>
      </c>
      <c r="Q606">
        <f>IF($N606=0,"",IFERROR($L606-LOOKUP(2,1/(($B$2:$B605=$B606)*($N$2:$N605=1)),$M$2:$M605),""))</f>
        <v/>
      </c>
    </row>
    <row r="607">
      <c r="A607" t="n">
        <v>606</v>
      </c>
      <c r="B607">
        <f>Schedule!$A$89</f>
        <v/>
      </c>
      <c r="C607">
        <f>Schedule!$D$89</f>
        <v/>
      </c>
      <c r="D607">
        <f>Schedule!$F$89</f>
        <v/>
      </c>
      <c r="E607" t="n">
        <v>3</v>
      </c>
      <c r="F607">
        <f>Schedule!$J$1</f>
        <v/>
      </c>
      <c r="G607">
        <f>Schedule!$J$2</f>
        <v/>
      </c>
      <c r="H607">
        <f>Schedule!$J$89</f>
        <v/>
      </c>
      <c r="I607">
        <f>IF($N607=1,VALUE(LEFT($H607,2)),"")</f>
        <v/>
      </c>
      <c r="J607">
        <f>IF($N607=1,VALUE(MID($H607,9,2)),"")</f>
        <v/>
      </c>
      <c r="K607">
        <f>IF($N607=1,MOD($J607-$I607,24),0)</f>
        <v/>
      </c>
      <c r="L607">
        <f>IF($N607=1,$E607*24+$I607,"")</f>
        <v/>
      </c>
      <c r="M607">
        <f>IF($N607=1,$L607+$K607,"")</f>
        <v/>
      </c>
      <c r="N607">
        <f>IF(ISNUMBER(SEARCH(" - ",$H607&amp;"")),1,0)</f>
        <v/>
      </c>
      <c r="O607">
        <f>IF(UPPER($H607&amp;"")="LEAVE",1,0)</f>
        <v/>
      </c>
      <c r="P607">
        <f>IF($N607=1,$K607,0)</f>
        <v/>
      </c>
      <c r="Q607">
        <f>IF($N607=0,"",IFERROR($L607-LOOKUP(2,1/(($B$2:$B606=$B607)*($N$2:$N606=1)),$M$2:$M606),""))</f>
        <v/>
      </c>
    </row>
    <row r="608">
      <c r="A608" t="n">
        <v>607</v>
      </c>
      <c r="B608">
        <f>Schedule!$A$89</f>
        <v/>
      </c>
      <c r="C608">
        <f>Schedule!$D$89</f>
        <v/>
      </c>
      <c r="D608">
        <f>Schedule!$F$89</f>
        <v/>
      </c>
      <c r="E608" t="n">
        <v>4</v>
      </c>
      <c r="F608">
        <f>Schedule!$K$1</f>
        <v/>
      </c>
      <c r="G608">
        <f>Schedule!$K$2</f>
        <v/>
      </c>
      <c r="H608">
        <f>Schedule!$K$89</f>
        <v/>
      </c>
      <c r="I608">
        <f>IF($N608=1,VALUE(LEFT($H608,2)),"")</f>
        <v/>
      </c>
      <c r="J608">
        <f>IF($N608=1,VALUE(MID($H608,9,2)),"")</f>
        <v/>
      </c>
      <c r="K608">
        <f>IF($N608=1,MOD($J608-$I608,24),0)</f>
        <v/>
      </c>
      <c r="L608">
        <f>IF($N608=1,$E608*24+$I608,"")</f>
        <v/>
      </c>
      <c r="M608">
        <f>IF($N608=1,$L608+$K608,"")</f>
        <v/>
      </c>
      <c r="N608">
        <f>IF(ISNUMBER(SEARCH(" - ",$H608&amp;"")),1,0)</f>
        <v/>
      </c>
      <c r="O608">
        <f>IF(UPPER($H608&amp;"")="LEAVE",1,0)</f>
        <v/>
      </c>
      <c r="P608">
        <f>IF($N608=1,$K608,0)</f>
        <v/>
      </c>
      <c r="Q608">
        <f>IF($N608=0,"",IFERROR($L608-LOOKUP(2,1/(($B$2:$B607=$B608)*($N$2:$N607=1)),$M$2:$M607),""))</f>
        <v/>
      </c>
    </row>
    <row r="609">
      <c r="A609" t="n">
        <v>608</v>
      </c>
      <c r="B609">
        <f>Schedule!$A$89</f>
        <v/>
      </c>
      <c r="C609">
        <f>Schedule!$D$89</f>
        <v/>
      </c>
      <c r="D609">
        <f>Schedule!$F$89</f>
        <v/>
      </c>
      <c r="E609" t="n">
        <v>5</v>
      </c>
      <c r="F609">
        <f>Schedule!$L$1</f>
        <v/>
      </c>
      <c r="G609">
        <f>Schedule!$L$2</f>
        <v/>
      </c>
      <c r="H609">
        <f>Schedule!$L$89</f>
        <v/>
      </c>
      <c r="I609">
        <f>IF($N609=1,VALUE(LEFT($H609,2)),"")</f>
        <v/>
      </c>
      <c r="J609">
        <f>IF($N609=1,VALUE(MID($H609,9,2)),"")</f>
        <v/>
      </c>
      <c r="K609">
        <f>IF($N609=1,MOD($J609-$I609,24),0)</f>
        <v/>
      </c>
      <c r="L609">
        <f>IF($N609=1,$E609*24+$I609,"")</f>
        <v/>
      </c>
      <c r="M609">
        <f>IF($N609=1,$L609+$K609,"")</f>
        <v/>
      </c>
      <c r="N609">
        <f>IF(ISNUMBER(SEARCH(" - ",$H609&amp;"")),1,0)</f>
        <v/>
      </c>
      <c r="O609">
        <f>IF(UPPER($H609&amp;"")="LEAVE",1,0)</f>
        <v/>
      </c>
      <c r="P609">
        <f>IF($N609=1,$K609,0)</f>
        <v/>
      </c>
      <c r="Q609">
        <f>IF($N609=0,"",IFERROR($L609-LOOKUP(2,1/(($B$2:$B608=$B609)*($N$2:$N608=1)),$M$2:$M608),""))</f>
        <v/>
      </c>
    </row>
    <row r="610">
      <c r="A610" t="n">
        <v>609</v>
      </c>
      <c r="B610">
        <f>Schedule!$A$89</f>
        <v/>
      </c>
      <c r="C610">
        <f>Schedule!$D$89</f>
        <v/>
      </c>
      <c r="D610">
        <f>Schedule!$F$89</f>
        <v/>
      </c>
      <c r="E610" t="n">
        <v>6</v>
      </c>
      <c r="F610">
        <f>Schedule!$M$1</f>
        <v/>
      </c>
      <c r="G610">
        <f>Schedule!$M$2</f>
        <v/>
      </c>
      <c r="H610">
        <f>Schedule!$M$89</f>
        <v/>
      </c>
      <c r="I610">
        <f>IF($N610=1,VALUE(LEFT($H610,2)),"")</f>
        <v/>
      </c>
      <c r="J610">
        <f>IF($N610=1,VALUE(MID($H610,9,2)),"")</f>
        <v/>
      </c>
      <c r="K610">
        <f>IF($N610=1,MOD($J610-$I610,24),0)</f>
        <v/>
      </c>
      <c r="L610">
        <f>IF($N610=1,$E610*24+$I610,"")</f>
        <v/>
      </c>
      <c r="M610">
        <f>IF($N610=1,$L610+$K610,"")</f>
        <v/>
      </c>
      <c r="N610">
        <f>IF(ISNUMBER(SEARCH(" - ",$H610&amp;"")),1,0)</f>
        <v/>
      </c>
      <c r="O610">
        <f>IF(UPPER($H610&amp;"")="LEAVE",1,0)</f>
        <v/>
      </c>
      <c r="P610">
        <f>IF($N610=1,$K610,0)</f>
        <v/>
      </c>
      <c r="Q610">
        <f>IF($N610=0,"",IFERROR($L610-LOOKUP(2,1/(($B$2:$B609=$B610)*($N$2:$N609=1)),$M$2:$M609),""))</f>
        <v/>
      </c>
    </row>
    <row r="611">
      <c r="A611" t="n">
        <v>610</v>
      </c>
      <c r="B611">
        <f>Schedule!$A$90</f>
        <v/>
      </c>
      <c r="C611">
        <f>Schedule!$D$90</f>
        <v/>
      </c>
      <c r="D611">
        <f>Schedule!$F$90</f>
        <v/>
      </c>
      <c r="E611" t="n">
        <v>0</v>
      </c>
      <c r="F611">
        <f>Schedule!$G$1</f>
        <v/>
      </c>
      <c r="G611">
        <f>Schedule!$G$2</f>
        <v/>
      </c>
      <c r="H611">
        <f>Schedule!$G$90</f>
        <v/>
      </c>
      <c r="I611">
        <f>IF($N611=1,VALUE(LEFT($H611,2)),"")</f>
        <v/>
      </c>
      <c r="J611">
        <f>IF($N611=1,VALUE(MID($H611,9,2)),"")</f>
        <v/>
      </c>
      <c r="K611">
        <f>IF($N611=1,MOD($J611-$I611,24),0)</f>
        <v/>
      </c>
      <c r="L611">
        <f>IF($N611=1,$E611*24+$I611,"")</f>
        <v/>
      </c>
      <c r="M611">
        <f>IF($N611=1,$L611+$K611,"")</f>
        <v/>
      </c>
      <c r="N611">
        <f>IF(ISNUMBER(SEARCH(" - ",$H611&amp;"")),1,0)</f>
        <v/>
      </c>
      <c r="O611">
        <f>IF(UPPER($H611&amp;"")="LEAVE",1,0)</f>
        <v/>
      </c>
      <c r="P611">
        <f>IF($N611=1,$K611,0)</f>
        <v/>
      </c>
      <c r="Q611">
        <f>IF($N611=0,"",IFERROR($L611-'Previous Engine'!$M$89,""))</f>
        <v/>
      </c>
    </row>
    <row r="612">
      <c r="A612" t="n">
        <v>611</v>
      </c>
      <c r="B612">
        <f>Schedule!$A$90</f>
        <v/>
      </c>
      <c r="C612">
        <f>Schedule!$D$90</f>
        <v/>
      </c>
      <c r="D612">
        <f>Schedule!$F$90</f>
        <v/>
      </c>
      <c r="E612" t="n">
        <v>1</v>
      </c>
      <c r="F612">
        <f>Schedule!$H$1</f>
        <v/>
      </c>
      <c r="G612">
        <f>Schedule!$H$2</f>
        <v/>
      </c>
      <c r="H612">
        <f>Schedule!$H$90</f>
        <v/>
      </c>
      <c r="I612">
        <f>IF($N612=1,VALUE(LEFT($H612,2)),"")</f>
        <v/>
      </c>
      <c r="J612">
        <f>IF($N612=1,VALUE(MID($H612,9,2)),"")</f>
        <v/>
      </c>
      <c r="K612">
        <f>IF($N612=1,MOD($J612-$I612,24),0)</f>
        <v/>
      </c>
      <c r="L612">
        <f>IF($N612=1,$E612*24+$I612,"")</f>
        <v/>
      </c>
      <c r="M612">
        <f>IF($N612=1,$L612+$K612,"")</f>
        <v/>
      </c>
      <c r="N612">
        <f>IF(ISNUMBER(SEARCH(" - ",$H612&amp;"")),1,0)</f>
        <v/>
      </c>
      <c r="O612">
        <f>IF(UPPER($H612&amp;"")="LEAVE",1,0)</f>
        <v/>
      </c>
      <c r="P612">
        <f>IF($N612=1,$K612,0)</f>
        <v/>
      </c>
      <c r="Q612">
        <f>IF($N612=0,"",IFERROR($L612-LOOKUP(2,1/(($B$2:$B611=$B612)*($N$2:$N611=1)),$M$2:$M611),""))</f>
        <v/>
      </c>
    </row>
    <row r="613">
      <c r="A613" t="n">
        <v>612</v>
      </c>
      <c r="B613">
        <f>Schedule!$A$90</f>
        <v/>
      </c>
      <c r="C613">
        <f>Schedule!$D$90</f>
        <v/>
      </c>
      <c r="D613">
        <f>Schedule!$F$90</f>
        <v/>
      </c>
      <c r="E613" t="n">
        <v>2</v>
      </c>
      <c r="F613">
        <f>Schedule!$I$1</f>
        <v/>
      </c>
      <c r="G613">
        <f>Schedule!$I$2</f>
        <v/>
      </c>
      <c r="H613">
        <f>Schedule!$I$90</f>
        <v/>
      </c>
      <c r="I613">
        <f>IF($N613=1,VALUE(LEFT($H613,2)),"")</f>
        <v/>
      </c>
      <c r="J613">
        <f>IF($N613=1,VALUE(MID($H613,9,2)),"")</f>
        <v/>
      </c>
      <c r="K613">
        <f>IF($N613=1,MOD($J613-$I613,24),0)</f>
        <v/>
      </c>
      <c r="L613">
        <f>IF($N613=1,$E613*24+$I613,"")</f>
        <v/>
      </c>
      <c r="M613">
        <f>IF($N613=1,$L613+$K613,"")</f>
        <v/>
      </c>
      <c r="N613">
        <f>IF(ISNUMBER(SEARCH(" - ",$H613&amp;"")),1,0)</f>
        <v/>
      </c>
      <c r="O613">
        <f>IF(UPPER($H613&amp;"")="LEAVE",1,0)</f>
        <v/>
      </c>
      <c r="P613">
        <f>IF($N613=1,$K613,0)</f>
        <v/>
      </c>
      <c r="Q613">
        <f>IF($N613=0,"",IFERROR($L613-LOOKUP(2,1/(($B$2:$B612=$B613)*($N$2:$N612=1)),$M$2:$M612),""))</f>
        <v/>
      </c>
    </row>
    <row r="614">
      <c r="A614" t="n">
        <v>613</v>
      </c>
      <c r="B614">
        <f>Schedule!$A$90</f>
        <v/>
      </c>
      <c r="C614">
        <f>Schedule!$D$90</f>
        <v/>
      </c>
      <c r="D614">
        <f>Schedule!$F$90</f>
        <v/>
      </c>
      <c r="E614" t="n">
        <v>3</v>
      </c>
      <c r="F614">
        <f>Schedule!$J$1</f>
        <v/>
      </c>
      <c r="G614">
        <f>Schedule!$J$2</f>
        <v/>
      </c>
      <c r="H614">
        <f>Schedule!$J$90</f>
        <v/>
      </c>
      <c r="I614">
        <f>IF($N614=1,VALUE(LEFT($H614,2)),"")</f>
        <v/>
      </c>
      <c r="J614">
        <f>IF($N614=1,VALUE(MID($H614,9,2)),"")</f>
        <v/>
      </c>
      <c r="K614">
        <f>IF($N614=1,MOD($J614-$I614,24),0)</f>
        <v/>
      </c>
      <c r="L614">
        <f>IF($N614=1,$E614*24+$I614,"")</f>
        <v/>
      </c>
      <c r="M614">
        <f>IF($N614=1,$L614+$K614,"")</f>
        <v/>
      </c>
      <c r="N614">
        <f>IF(ISNUMBER(SEARCH(" - ",$H614&amp;"")),1,0)</f>
        <v/>
      </c>
      <c r="O614">
        <f>IF(UPPER($H614&amp;"")="LEAVE",1,0)</f>
        <v/>
      </c>
      <c r="P614">
        <f>IF($N614=1,$K614,0)</f>
        <v/>
      </c>
      <c r="Q614">
        <f>IF($N614=0,"",IFERROR($L614-LOOKUP(2,1/(($B$2:$B613=$B614)*($N$2:$N613=1)),$M$2:$M613),""))</f>
        <v/>
      </c>
    </row>
    <row r="615">
      <c r="A615" t="n">
        <v>614</v>
      </c>
      <c r="B615">
        <f>Schedule!$A$90</f>
        <v/>
      </c>
      <c r="C615">
        <f>Schedule!$D$90</f>
        <v/>
      </c>
      <c r="D615">
        <f>Schedule!$F$90</f>
        <v/>
      </c>
      <c r="E615" t="n">
        <v>4</v>
      </c>
      <c r="F615">
        <f>Schedule!$K$1</f>
        <v/>
      </c>
      <c r="G615">
        <f>Schedule!$K$2</f>
        <v/>
      </c>
      <c r="H615">
        <f>Schedule!$K$90</f>
        <v/>
      </c>
      <c r="I615">
        <f>IF($N615=1,VALUE(LEFT($H615,2)),"")</f>
        <v/>
      </c>
      <c r="J615">
        <f>IF($N615=1,VALUE(MID($H615,9,2)),"")</f>
        <v/>
      </c>
      <c r="K615">
        <f>IF($N615=1,MOD($J615-$I615,24),0)</f>
        <v/>
      </c>
      <c r="L615">
        <f>IF($N615=1,$E615*24+$I615,"")</f>
        <v/>
      </c>
      <c r="M615">
        <f>IF($N615=1,$L615+$K615,"")</f>
        <v/>
      </c>
      <c r="N615">
        <f>IF(ISNUMBER(SEARCH(" - ",$H615&amp;"")),1,0)</f>
        <v/>
      </c>
      <c r="O615">
        <f>IF(UPPER($H615&amp;"")="LEAVE",1,0)</f>
        <v/>
      </c>
      <c r="P615">
        <f>IF($N615=1,$K615,0)</f>
        <v/>
      </c>
      <c r="Q615">
        <f>IF($N615=0,"",IFERROR($L615-LOOKUP(2,1/(($B$2:$B614=$B615)*($N$2:$N614=1)),$M$2:$M614),""))</f>
        <v/>
      </c>
    </row>
    <row r="616">
      <c r="A616" t="n">
        <v>615</v>
      </c>
      <c r="B616">
        <f>Schedule!$A$90</f>
        <v/>
      </c>
      <c r="C616">
        <f>Schedule!$D$90</f>
        <v/>
      </c>
      <c r="D616">
        <f>Schedule!$F$90</f>
        <v/>
      </c>
      <c r="E616" t="n">
        <v>5</v>
      </c>
      <c r="F616">
        <f>Schedule!$L$1</f>
        <v/>
      </c>
      <c r="G616">
        <f>Schedule!$L$2</f>
        <v/>
      </c>
      <c r="H616">
        <f>Schedule!$L$90</f>
        <v/>
      </c>
      <c r="I616">
        <f>IF($N616=1,VALUE(LEFT($H616,2)),"")</f>
        <v/>
      </c>
      <c r="J616">
        <f>IF($N616=1,VALUE(MID($H616,9,2)),"")</f>
        <v/>
      </c>
      <c r="K616">
        <f>IF($N616=1,MOD($J616-$I616,24),0)</f>
        <v/>
      </c>
      <c r="L616">
        <f>IF($N616=1,$E616*24+$I616,"")</f>
        <v/>
      </c>
      <c r="M616">
        <f>IF($N616=1,$L616+$K616,"")</f>
        <v/>
      </c>
      <c r="N616">
        <f>IF(ISNUMBER(SEARCH(" - ",$H616&amp;"")),1,0)</f>
        <v/>
      </c>
      <c r="O616">
        <f>IF(UPPER($H616&amp;"")="LEAVE",1,0)</f>
        <v/>
      </c>
      <c r="P616">
        <f>IF($N616=1,$K616,0)</f>
        <v/>
      </c>
      <c r="Q616">
        <f>IF($N616=0,"",IFERROR($L616-LOOKUP(2,1/(($B$2:$B615=$B616)*($N$2:$N615=1)),$M$2:$M615),""))</f>
        <v/>
      </c>
    </row>
    <row r="617">
      <c r="A617" t="n">
        <v>616</v>
      </c>
      <c r="B617">
        <f>Schedule!$A$90</f>
        <v/>
      </c>
      <c r="C617">
        <f>Schedule!$D$90</f>
        <v/>
      </c>
      <c r="D617">
        <f>Schedule!$F$90</f>
        <v/>
      </c>
      <c r="E617" t="n">
        <v>6</v>
      </c>
      <c r="F617">
        <f>Schedule!$M$1</f>
        <v/>
      </c>
      <c r="G617">
        <f>Schedule!$M$2</f>
        <v/>
      </c>
      <c r="H617">
        <f>Schedule!$M$90</f>
        <v/>
      </c>
      <c r="I617">
        <f>IF($N617=1,VALUE(LEFT($H617,2)),"")</f>
        <v/>
      </c>
      <c r="J617">
        <f>IF($N617=1,VALUE(MID($H617,9,2)),"")</f>
        <v/>
      </c>
      <c r="K617">
        <f>IF($N617=1,MOD($J617-$I617,24),0)</f>
        <v/>
      </c>
      <c r="L617">
        <f>IF($N617=1,$E617*24+$I617,"")</f>
        <v/>
      </c>
      <c r="M617">
        <f>IF($N617=1,$L617+$K617,"")</f>
        <v/>
      </c>
      <c r="N617">
        <f>IF(ISNUMBER(SEARCH(" - ",$H617&amp;"")),1,0)</f>
        <v/>
      </c>
      <c r="O617">
        <f>IF(UPPER($H617&amp;"")="LEAVE",1,0)</f>
        <v/>
      </c>
      <c r="P617">
        <f>IF($N617=1,$K617,0)</f>
        <v/>
      </c>
      <c r="Q617">
        <f>IF($N617=0,"",IFERROR($L617-LOOKUP(2,1/(($B$2:$B616=$B617)*($N$2:$N616=1)),$M$2:$M616),""))</f>
        <v/>
      </c>
    </row>
    <row r="618">
      <c r="A618" t="n">
        <v>617</v>
      </c>
      <c r="B618">
        <f>Schedule!$A$91</f>
        <v/>
      </c>
      <c r="C618">
        <f>Schedule!$D$91</f>
        <v/>
      </c>
      <c r="D618">
        <f>Schedule!$F$91</f>
        <v/>
      </c>
      <c r="E618" t="n">
        <v>0</v>
      </c>
      <c r="F618">
        <f>Schedule!$G$1</f>
        <v/>
      </c>
      <c r="G618">
        <f>Schedule!$G$2</f>
        <v/>
      </c>
      <c r="H618">
        <f>Schedule!$G$91</f>
        <v/>
      </c>
      <c r="I618">
        <f>IF($N618=1,VALUE(LEFT($H618,2)),"")</f>
        <v/>
      </c>
      <c r="J618">
        <f>IF($N618=1,VALUE(MID($H618,9,2)),"")</f>
        <v/>
      </c>
      <c r="K618">
        <f>IF($N618=1,MOD($J618-$I618,24),0)</f>
        <v/>
      </c>
      <c r="L618">
        <f>IF($N618=1,$E618*24+$I618,"")</f>
        <v/>
      </c>
      <c r="M618">
        <f>IF($N618=1,$L618+$K618,"")</f>
        <v/>
      </c>
      <c r="N618">
        <f>IF(ISNUMBER(SEARCH(" - ",$H618&amp;"")),1,0)</f>
        <v/>
      </c>
      <c r="O618">
        <f>IF(UPPER($H618&amp;"")="LEAVE",1,0)</f>
        <v/>
      </c>
      <c r="P618">
        <f>IF($N618=1,$K618,0)</f>
        <v/>
      </c>
      <c r="Q618">
        <f>IF($N618=0,"",IFERROR($L618-'Previous Engine'!$M$90,""))</f>
        <v/>
      </c>
    </row>
    <row r="619">
      <c r="A619" t="n">
        <v>618</v>
      </c>
      <c r="B619">
        <f>Schedule!$A$91</f>
        <v/>
      </c>
      <c r="C619">
        <f>Schedule!$D$91</f>
        <v/>
      </c>
      <c r="D619">
        <f>Schedule!$F$91</f>
        <v/>
      </c>
      <c r="E619" t="n">
        <v>1</v>
      </c>
      <c r="F619">
        <f>Schedule!$H$1</f>
        <v/>
      </c>
      <c r="G619">
        <f>Schedule!$H$2</f>
        <v/>
      </c>
      <c r="H619">
        <f>Schedule!$H$91</f>
        <v/>
      </c>
      <c r="I619">
        <f>IF($N619=1,VALUE(LEFT($H619,2)),"")</f>
        <v/>
      </c>
      <c r="J619">
        <f>IF($N619=1,VALUE(MID($H619,9,2)),"")</f>
        <v/>
      </c>
      <c r="K619">
        <f>IF($N619=1,MOD($J619-$I619,24),0)</f>
        <v/>
      </c>
      <c r="L619">
        <f>IF($N619=1,$E619*24+$I619,"")</f>
        <v/>
      </c>
      <c r="M619">
        <f>IF($N619=1,$L619+$K619,"")</f>
        <v/>
      </c>
      <c r="N619">
        <f>IF(ISNUMBER(SEARCH(" - ",$H619&amp;"")),1,0)</f>
        <v/>
      </c>
      <c r="O619">
        <f>IF(UPPER($H619&amp;"")="LEAVE",1,0)</f>
        <v/>
      </c>
      <c r="P619">
        <f>IF($N619=1,$K619,0)</f>
        <v/>
      </c>
      <c r="Q619">
        <f>IF($N619=0,"",IFERROR($L619-LOOKUP(2,1/(($B$2:$B618=$B619)*($N$2:$N618=1)),$M$2:$M618),""))</f>
        <v/>
      </c>
    </row>
    <row r="620">
      <c r="A620" t="n">
        <v>619</v>
      </c>
      <c r="B620">
        <f>Schedule!$A$91</f>
        <v/>
      </c>
      <c r="C620">
        <f>Schedule!$D$91</f>
        <v/>
      </c>
      <c r="D620">
        <f>Schedule!$F$91</f>
        <v/>
      </c>
      <c r="E620" t="n">
        <v>2</v>
      </c>
      <c r="F620">
        <f>Schedule!$I$1</f>
        <v/>
      </c>
      <c r="G620">
        <f>Schedule!$I$2</f>
        <v/>
      </c>
      <c r="H620">
        <f>Schedule!$I$91</f>
        <v/>
      </c>
      <c r="I620">
        <f>IF($N620=1,VALUE(LEFT($H620,2)),"")</f>
        <v/>
      </c>
      <c r="J620">
        <f>IF($N620=1,VALUE(MID($H620,9,2)),"")</f>
        <v/>
      </c>
      <c r="K620">
        <f>IF($N620=1,MOD($J620-$I620,24),0)</f>
        <v/>
      </c>
      <c r="L620">
        <f>IF($N620=1,$E620*24+$I620,"")</f>
        <v/>
      </c>
      <c r="M620">
        <f>IF($N620=1,$L620+$K620,"")</f>
        <v/>
      </c>
      <c r="N620">
        <f>IF(ISNUMBER(SEARCH(" - ",$H620&amp;"")),1,0)</f>
        <v/>
      </c>
      <c r="O620">
        <f>IF(UPPER($H620&amp;"")="LEAVE",1,0)</f>
        <v/>
      </c>
      <c r="P620">
        <f>IF($N620=1,$K620,0)</f>
        <v/>
      </c>
      <c r="Q620">
        <f>IF($N620=0,"",IFERROR($L620-LOOKUP(2,1/(($B$2:$B619=$B620)*($N$2:$N619=1)),$M$2:$M619),""))</f>
        <v/>
      </c>
    </row>
    <row r="621">
      <c r="A621" t="n">
        <v>620</v>
      </c>
      <c r="B621">
        <f>Schedule!$A$91</f>
        <v/>
      </c>
      <c r="C621">
        <f>Schedule!$D$91</f>
        <v/>
      </c>
      <c r="D621">
        <f>Schedule!$F$91</f>
        <v/>
      </c>
      <c r="E621" t="n">
        <v>3</v>
      </c>
      <c r="F621">
        <f>Schedule!$J$1</f>
        <v/>
      </c>
      <c r="G621">
        <f>Schedule!$J$2</f>
        <v/>
      </c>
      <c r="H621">
        <f>Schedule!$J$91</f>
        <v/>
      </c>
      <c r="I621">
        <f>IF($N621=1,VALUE(LEFT($H621,2)),"")</f>
        <v/>
      </c>
      <c r="J621">
        <f>IF($N621=1,VALUE(MID($H621,9,2)),"")</f>
        <v/>
      </c>
      <c r="K621">
        <f>IF($N621=1,MOD($J621-$I621,24),0)</f>
        <v/>
      </c>
      <c r="L621">
        <f>IF($N621=1,$E621*24+$I621,"")</f>
        <v/>
      </c>
      <c r="M621">
        <f>IF($N621=1,$L621+$K621,"")</f>
        <v/>
      </c>
      <c r="N621">
        <f>IF(ISNUMBER(SEARCH(" - ",$H621&amp;"")),1,0)</f>
        <v/>
      </c>
      <c r="O621">
        <f>IF(UPPER($H621&amp;"")="LEAVE",1,0)</f>
        <v/>
      </c>
      <c r="P621">
        <f>IF($N621=1,$K621,0)</f>
        <v/>
      </c>
      <c r="Q621">
        <f>IF($N621=0,"",IFERROR($L621-LOOKUP(2,1/(($B$2:$B620=$B621)*($N$2:$N620=1)),$M$2:$M620),""))</f>
        <v/>
      </c>
    </row>
    <row r="622">
      <c r="A622" t="n">
        <v>621</v>
      </c>
      <c r="B622">
        <f>Schedule!$A$91</f>
        <v/>
      </c>
      <c r="C622">
        <f>Schedule!$D$91</f>
        <v/>
      </c>
      <c r="D622">
        <f>Schedule!$F$91</f>
        <v/>
      </c>
      <c r="E622" t="n">
        <v>4</v>
      </c>
      <c r="F622">
        <f>Schedule!$K$1</f>
        <v/>
      </c>
      <c r="G622">
        <f>Schedule!$K$2</f>
        <v/>
      </c>
      <c r="H622">
        <f>Schedule!$K$91</f>
        <v/>
      </c>
      <c r="I622">
        <f>IF($N622=1,VALUE(LEFT($H622,2)),"")</f>
        <v/>
      </c>
      <c r="J622">
        <f>IF($N622=1,VALUE(MID($H622,9,2)),"")</f>
        <v/>
      </c>
      <c r="K622">
        <f>IF($N622=1,MOD($J622-$I622,24),0)</f>
        <v/>
      </c>
      <c r="L622">
        <f>IF($N622=1,$E622*24+$I622,"")</f>
        <v/>
      </c>
      <c r="M622">
        <f>IF($N622=1,$L622+$K622,"")</f>
        <v/>
      </c>
      <c r="N622">
        <f>IF(ISNUMBER(SEARCH(" - ",$H622&amp;"")),1,0)</f>
        <v/>
      </c>
      <c r="O622">
        <f>IF(UPPER($H622&amp;"")="LEAVE",1,0)</f>
        <v/>
      </c>
      <c r="P622">
        <f>IF($N622=1,$K622,0)</f>
        <v/>
      </c>
      <c r="Q622">
        <f>IF($N622=0,"",IFERROR($L622-LOOKUP(2,1/(($B$2:$B621=$B622)*($N$2:$N621=1)),$M$2:$M621),""))</f>
        <v/>
      </c>
    </row>
    <row r="623">
      <c r="A623" t="n">
        <v>622</v>
      </c>
      <c r="B623">
        <f>Schedule!$A$91</f>
        <v/>
      </c>
      <c r="C623">
        <f>Schedule!$D$91</f>
        <v/>
      </c>
      <c r="D623">
        <f>Schedule!$F$91</f>
        <v/>
      </c>
      <c r="E623" t="n">
        <v>5</v>
      </c>
      <c r="F623">
        <f>Schedule!$L$1</f>
        <v/>
      </c>
      <c r="G623">
        <f>Schedule!$L$2</f>
        <v/>
      </c>
      <c r="H623">
        <f>Schedule!$L$91</f>
        <v/>
      </c>
      <c r="I623">
        <f>IF($N623=1,VALUE(LEFT($H623,2)),"")</f>
        <v/>
      </c>
      <c r="J623">
        <f>IF($N623=1,VALUE(MID($H623,9,2)),"")</f>
        <v/>
      </c>
      <c r="K623">
        <f>IF($N623=1,MOD($J623-$I623,24),0)</f>
        <v/>
      </c>
      <c r="L623">
        <f>IF($N623=1,$E623*24+$I623,"")</f>
        <v/>
      </c>
      <c r="M623">
        <f>IF($N623=1,$L623+$K623,"")</f>
        <v/>
      </c>
      <c r="N623">
        <f>IF(ISNUMBER(SEARCH(" - ",$H623&amp;"")),1,0)</f>
        <v/>
      </c>
      <c r="O623">
        <f>IF(UPPER($H623&amp;"")="LEAVE",1,0)</f>
        <v/>
      </c>
      <c r="P623">
        <f>IF($N623=1,$K623,0)</f>
        <v/>
      </c>
      <c r="Q623">
        <f>IF($N623=0,"",IFERROR($L623-LOOKUP(2,1/(($B$2:$B622=$B623)*($N$2:$N622=1)),$M$2:$M622),""))</f>
        <v/>
      </c>
    </row>
    <row r="624">
      <c r="A624" t="n">
        <v>623</v>
      </c>
      <c r="B624">
        <f>Schedule!$A$91</f>
        <v/>
      </c>
      <c r="C624">
        <f>Schedule!$D$91</f>
        <v/>
      </c>
      <c r="D624">
        <f>Schedule!$F$91</f>
        <v/>
      </c>
      <c r="E624" t="n">
        <v>6</v>
      </c>
      <c r="F624">
        <f>Schedule!$M$1</f>
        <v/>
      </c>
      <c r="G624">
        <f>Schedule!$M$2</f>
        <v/>
      </c>
      <c r="H624">
        <f>Schedule!$M$91</f>
        <v/>
      </c>
      <c r="I624">
        <f>IF($N624=1,VALUE(LEFT($H624,2)),"")</f>
        <v/>
      </c>
      <c r="J624">
        <f>IF($N624=1,VALUE(MID($H624,9,2)),"")</f>
        <v/>
      </c>
      <c r="K624">
        <f>IF($N624=1,MOD($J624-$I624,24),0)</f>
        <v/>
      </c>
      <c r="L624">
        <f>IF($N624=1,$E624*24+$I624,"")</f>
        <v/>
      </c>
      <c r="M624">
        <f>IF($N624=1,$L624+$K624,"")</f>
        <v/>
      </c>
      <c r="N624">
        <f>IF(ISNUMBER(SEARCH(" - ",$H624&amp;"")),1,0)</f>
        <v/>
      </c>
      <c r="O624">
        <f>IF(UPPER($H624&amp;"")="LEAVE",1,0)</f>
        <v/>
      </c>
      <c r="P624">
        <f>IF($N624=1,$K624,0)</f>
        <v/>
      </c>
      <c r="Q624">
        <f>IF($N624=0,"",IFERROR($L624-LOOKUP(2,1/(($B$2:$B623=$B624)*($N$2:$N623=1)),$M$2:$M623),""))</f>
        <v/>
      </c>
    </row>
    <row r="625">
      <c r="A625" t="n">
        <v>624</v>
      </c>
      <c r="B625">
        <f>Schedule!$A$92</f>
        <v/>
      </c>
      <c r="C625">
        <f>Schedule!$D$92</f>
        <v/>
      </c>
      <c r="D625">
        <f>Schedule!$F$92</f>
        <v/>
      </c>
      <c r="E625" t="n">
        <v>0</v>
      </c>
      <c r="F625">
        <f>Schedule!$G$1</f>
        <v/>
      </c>
      <c r="G625">
        <f>Schedule!$G$2</f>
        <v/>
      </c>
      <c r="H625">
        <f>Schedule!$G$92</f>
        <v/>
      </c>
      <c r="I625">
        <f>IF($N625=1,VALUE(LEFT($H625,2)),"")</f>
        <v/>
      </c>
      <c r="J625">
        <f>IF($N625=1,VALUE(MID($H625,9,2)),"")</f>
        <v/>
      </c>
      <c r="K625">
        <f>IF($N625=1,MOD($J625-$I625,24),0)</f>
        <v/>
      </c>
      <c r="L625">
        <f>IF($N625=1,$E625*24+$I625,"")</f>
        <v/>
      </c>
      <c r="M625">
        <f>IF($N625=1,$L625+$K625,"")</f>
        <v/>
      </c>
      <c r="N625">
        <f>IF(ISNUMBER(SEARCH(" - ",$H625&amp;"")),1,0)</f>
        <v/>
      </c>
      <c r="O625">
        <f>IF(UPPER($H625&amp;"")="LEAVE",1,0)</f>
        <v/>
      </c>
      <c r="P625">
        <f>IF($N625=1,$K625,0)</f>
        <v/>
      </c>
      <c r="Q625">
        <f>IF($N625=0,"",IFERROR($L625-'Previous Engine'!$M$91,""))</f>
        <v/>
      </c>
    </row>
    <row r="626">
      <c r="A626" t="n">
        <v>625</v>
      </c>
      <c r="B626">
        <f>Schedule!$A$92</f>
        <v/>
      </c>
      <c r="C626">
        <f>Schedule!$D$92</f>
        <v/>
      </c>
      <c r="D626">
        <f>Schedule!$F$92</f>
        <v/>
      </c>
      <c r="E626" t="n">
        <v>1</v>
      </c>
      <c r="F626">
        <f>Schedule!$H$1</f>
        <v/>
      </c>
      <c r="G626">
        <f>Schedule!$H$2</f>
        <v/>
      </c>
      <c r="H626">
        <f>Schedule!$H$92</f>
        <v/>
      </c>
      <c r="I626">
        <f>IF($N626=1,VALUE(LEFT($H626,2)),"")</f>
        <v/>
      </c>
      <c r="J626">
        <f>IF($N626=1,VALUE(MID($H626,9,2)),"")</f>
        <v/>
      </c>
      <c r="K626">
        <f>IF($N626=1,MOD($J626-$I626,24),0)</f>
        <v/>
      </c>
      <c r="L626">
        <f>IF($N626=1,$E626*24+$I626,"")</f>
        <v/>
      </c>
      <c r="M626">
        <f>IF($N626=1,$L626+$K626,"")</f>
        <v/>
      </c>
      <c r="N626">
        <f>IF(ISNUMBER(SEARCH(" - ",$H626&amp;"")),1,0)</f>
        <v/>
      </c>
      <c r="O626">
        <f>IF(UPPER($H626&amp;"")="LEAVE",1,0)</f>
        <v/>
      </c>
      <c r="P626">
        <f>IF($N626=1,$K626,0)</f>
        <v/>
      </c>
      <c r="Q626">
        <f>IF($N626=0,"",IFERROR($L626-LOOKUP(2,1/(($B$2:$B625=$B626)*($N$2:$N625=1)),$M$2:$M625),""))</f>
        <v/>
      </c>
    </row>
    <row r="627">
      <c r="A627" t="n">
        <v>626</v>
      </c>
      <c r="B627">
        <f>Schedule!$A$92</f>
        <v/>
      </c>
      <c r="C627">
        <f>Schedule!$D$92</f>
        <v/>
      </c>
      <c r="D627">
        <f>Schedule!$F$92</f>
        <v/>
      </c>
      <c r="E627" t="n">
        <v>2</v>
      </c>
      <c r="F627">
        <f>Schedule!$I$1</f>
        <v/>
      </c>
      <c r="G627">
        <f>Schedule!$I$2</f>
        <v/>
      </c>
      <c r="H627">
        <f>Schedule!$I$92</f>
        <v/>
      </c>
      <c r="I627">
        <f>IF($N627=1,VALUE(LEFT($H627,2)),"")</f>
        <v/>
      </c>
      <c r="J627">
        <f>IF($N627=1,VALUE(MID($H627,9,2)),"")</f>
        <v/>
      </c>
      <c r="K627">
        <f>IF($N627=1,MOD($J627-$I627,24),0)</f>
        <v/>
      </c>
      <c r="L627">
        <f>IF($N627=1,$E627*24+$I627,"")</f>
        <v/>
      </c>
      <c r="M627">
        <f>IF($N627=1,$L627+$K627,"")</f>
        <v/>
      </c>
      <c r="N627">
        <f>IF(ISNUMBER(SEARCH(" - ",$H627&amp;"")),1,0)</f>
        <v/>
      </c>
      <c r="O627">
        <f>IF(UPPER($H627&amp;"")="LEAVE",1,0)</f>
        <v/>
      </c>
      <c r="P627">
        <f>IF($N627=1,$K627,0)</f>
        <v/>
      </c>
      <c r="Q627">
        <f>IF($N627=0,"",IFERROR($L627-LOOKUP(2,1/(($B$2:$B626=$B627)*($N$2:$N626=1)),$M$2:$M626),""))</f>
        <v/>
      </c>
    </row>
    <row r="628">
      <c r="A628" t="n">
        <v>627</v>
      </c>
      <c r="B628">
        <f>Schedule!$A$92</f>
        <v/>
      </c>
      <c r="C628">
        <f>Schedule!$D$92</f>
        <v/>
      </c>
      <c r="D628">
        <f>Schedule!$F$92</f>
        <v/>
      </c>
      <c r="E628" t="n">
        <v>3</v>
      </c>
      <c r="F628">
        <f>Schedule!$J$1</f>
        <v/>
      </c>
      <c r="G628">
        <f>Schedule!$J$2</f>
        <v/>
      </c>
      <c r="H628">
        <f>Schedule!$J$92</f>
        <v/>
      </c>
      <c r="I628">
        <f>IF($N628=1,VALUE(LEFT($H628,2)),"")</f>
        <v/>
      </c>
      <c r="J628">
        <f>IF($N628=1,VALUE(MID($H628,9,2)),"")</f>
        <v/>
      </c>
      <c r="K628">
        <f>IF($N628=1,MOD($J628-$I628,24),0)</f>
        <v/>
      </c>
      <c r="L628">
        <f>IF($N628=1,$E628*24+$I628,"")</f>
        <v/>
      </c>
      <c r="M628">
        <f>IF($N628=1,$L628+$K628,"")</f>
        <v/>
      </c>
      <c r="N628">
        <f>IF(ISNUMBER(SEARCH(" - ",$H628&amp;"")),1,0)</f>
        <v/>
      </c>
      <c r="O628">
        <f>IF(UPPER($H628&amp;"")="LEAVE",1,0)</f>
        <v/>
      </c>
      <c r="P628">
        <f>IF($N628=1,$K628,0)</f>
        <v/>
      </c>
      <c r="Q628">
        <f>IF($N628=0,"",IFERROR($L628-LOOKUP(2,1/(($B$2:$B627=$B628)*($N$2:$N627=1)),$M$2:$M627),""))</f>
        <v/>
      </c>
    </row>
    <row r="629">
      <c r="A629" t="n">
        <v>628</v>
      </c>
      <c r="B629">
        <f>Schedule!$A$92</f>
        <v/>
      </c>
      <c r="C629">
        <f>Schedule!$D$92</f>
        <v/>
      </c>
      <c r="D629">
        <f>Schedule!$F$92</f>
        <v/>
      </c>
      <c r="E629" t="n">
        <v>4</v>
      </c>
      <c r="F629">
        <f>Schedule!$K$1</f>
        <v/>
      </c>
      <c r="G629">
        <f>Schedule!$K$2</f>
        <v/>
      </c>
      <c r="H629">
        <f>Schedule!$K$92</f>
        <v/>
      </c>
      <c r="I629">
        <f>IF($N629=1,VALUE(LEFT($H629,2)),"")</f>
        <v/>
      </c>
      <c r="J629">
        <f>IF($N629=1,VALUE(MID($H629,9,2)),"")</f>
        <v/>
      </c>
      <c r="K629">
        <f>IF($N629=1,MOD($J629-$I629,24),0)</f>
        <v/>
      </c>
      <c r="L629">
        <f>IF($N629=1,$E629*24+$I629,"")</f>
        <v/>
      </c>
      <c r="M629">
        <f>IF($N629=1,$L629+$K629,"")</f>
        <v/>
      </c>
      <c r="N629">
        <f>IF(ISNUMBER(SEARCH(" - ",$H629&amp;"")),1,0)</f>
        <v/>
      </c>
      <c r="O629">
        <f>IF(UPPER($H629&amp;"")="LEAVE",1,0)</f>
        <v/>
      </c>
      <c r="P629">
        <f>IF($N629=1,$K629,0)</f>
        <v/>
      </c>
      <c r="Q629">
        <f>IF($N629=0,"",IFERROR($L629-LOOKUP(2,1/(($B$2:$B628=$B629)*($N$2:$N628=1)),$M$2:$M628),""))</f>
        <v/>
      </c>
    </row>
    <row r="630">
      <c r="A630" t="n">
        <v>629</v>
      </c>
      <c r="B630">
        <f>Schedule!$A$92</f>
        <v/>
      </c>
      <c r="C630">
        <f>Schedule!$D$92</f>
        <v/>
      </c>
      <c r="D630">
        <f>Schedule!$F$92</f>
        <v/>
      </c>
      <c r="E630" t="n">
        <v>5</v>
      </c>
      <c r="F630">
        <f>Schedule!$L$1</f>
        <v/>
      </c>
      <c r="G630">
        <f>Schedule!$L$2</f>
        <v/>
      </c>
      <c r="H630">
        <f>Schedule!$L$92</f>
        <v/>
      </c>
      <c r="I630">
        <f>IF($N630=1,VALUE(LEFT($H630,2)),"")</f>
        <v/>
      </c>
      <c r="J630">
        <f>IF($N630=1,VALUE(MID($H630,9,2)),"")</f>
        <v/>
      </c>
      <c r="K630">
        <f>IF($N630=1,MOD($J630-$I630,24),0)</f>
        <v/>
      </c>
      <c r="L630">
        <f>IF($N630=1,$E630*24+$I630,"")</f>
        <v/>
      </c>
      <c r="M630">
        <f>IF($N630=1,$L630+$K630,"")</f>
        <v/>
      </c>
      <c r="N630">
        <f>IF(ISNUMBER(SEARCH(" - ",$H630&amp;"")),1,0)</f>
        <v/>
      </c>
      <c r="O630">
        <f>IF(UPPER($H630&amp;"")="LEAVE",1,0)</f>
        <v/>
      </c>
      <c r="P630">
        <f>IF($N630=1,$K630,0)</f>
        <v/>
      </c>
      <c r="Q630">
        <f>IF($N630=0,"",IFERROR($L630-LOOKUP(2,1/(($B$2:$B629=$B630)*($N$2:$N629=1)),$M$2:$M629),""))</f>
        <v/>
      </c>
    </row>
    <row r="631">
      <c r="A631" t="n">
        <v>630</v>
      </c>
      <c r="B631">
        <f>Schedule!$A$92</f>
        <v/>
      </c>
      <c r="C631">
        <f>Schedule!$D$92</f>
        <v/>
      </c>
      <c r="D631">
        <f>Schedule!$F$92</f>
        <v/>
      </c>
      <c r="E631" t="n">
        <v>6</v>
      </c>
      <c r="F631">
        <f>Schedule!$M$1</f>
        <v/>
      </c>
      <c r="G631">
        <f>Schedule!$M$2</f>
        <v/>
      </c>
      <c r="H631">
        <f>Schedule!$M$92</f>
        <v/>
      </c>
      <c r="I631">
        <f>IF($N631=1,VALUE(LEFT($H631,2)),"")</f>
        <v/>
      </c>
      <c r="J631">
        <f>IF($N631=1,VALUE(MID($H631,9,2)),"")</f>
        <v/>
      </c>
      <c r="K631">
        <f>IF($N631=1,MOD($J631-$I631,24),0)</f>
        <v/>
      </c>
      <c r="L631">
        <f>IF($N631=1,$E631*24+$I631,"")</f>
        <v/>
      </c>
      <c r="M631">
        <f>IF($N631=1,$L631+$K631,"")</f>
        <v/>
      </c>
      <c r="N631">
        <f>IF(ISNUMBER(SEARCH(" - ",$H631&amp;"")),1,0)</f>
        <v/>
      </c>
      <c r="O631">
        <f>IF(UPPER($H631&amp;"")="LEAVE",1,0)</f>
        <v/>
      </c>
      <c r="P631">
        <f>IF($N631=1,$K631,0)</f>
        <v/>
      </c>
      <c r="Q631">
        <f>IF($N631=0,"",IFERROR($L631-LOOKUP(2,1/(($B$2:$B630=$B631)*($N$2:$N630=1)),$M$2:$M630),""))</f>
        <v/>
      </c>
    </row>
    <row r="632">
      <c r="A632" t="n">
        <v>631</v>
      </c>
      <c r="B632">
        <f>Schedule!$A$93</f>
        <v/>
      </c>
      <c r="C632">
        <f>Schedule!$D$93</f>
        <v/>
      </c>
      <c r="D632">
        <f>Schedule!$F$93</f>
        <v/>
      </c>
      <c r="E632" t="n">
        <v>0</v>
      </c>
      <c r="F632">
        <f>Schedule!$G$1</f>
        <v/>
      </c>
      <c r="G632">
        <f>Schedule!$G$2</f>
        <v/>
      </c>
      <c r="H632">
        <f>Schedule!$G$93</f>
        <v/>
      </c>
      <c r="I632">
        <f>IF($N632=1,VALUE(LEFT($H632,2)),"")</f>
        <v/>
      </c>
      <c r="J632">
        <f>IF($N632=1,VALUE(MID($H632,9,2)),"")</f>
        <v/>
      </c>
      <c r="K632">
        <f>IF($N632=1,MOD($J632-$I632,24),0)</f>
        <v/>
      </c>
      <c r="L632">
        <f>IF($N632=1,$E632*24+$I632,"")</f>
        <v/>
      </c>
      <c r="M632">
        <f>IF($N632=1,$L632+$K632,"")</f>
        <v/>
      </c>
      <c r="N632">
        <f>IF(ISNUMBER(SEARCH(" - ",$H632&amp;"")),1,0)</f>
        <v/>
      </c>
      <c r="O632">
        <f>IF(UPPER($H632&amp;"")="LEAVE",1,0)</f>
        <v/>
      </c>
      <c r="P632">
        <f>IF($N632=1,$K632,0)</f>
        <v/>
      </c>
      <c r="Q632">
        <f>IF($N632=0,"",IFERROR($L632-'Previous Engine'!$M$92,""))</f>
        <v/>
      </c>
    </row>
    <row r="633">
      <c r="A633" t="n">
        <v>632</v>
      </c>
      <c r="B633">
        <f>Schedule!$A$93</f>
        <v/>
      </c>
      <c r="C633">
        <f>Schedule!$D$93</f>
        <v/>
      </c>
      <c r="D633">
        <f>Schedule!$F$93</f>
        <v/>
      </c>
      <c r="E633" t="n">
        <v>1</v>
      </c>
      <c r="F633">
        <f>Schedule!$H$1</f>
        <v/>
      </c>
      <c r="G633">
        <f>Schedule!$H$2</f>
        <v/>
      </c>
      <c r="H633">
        <f>Schedule!$H$93</f>
        <v/>
      </c>
      <c r="I633">
        <f>IF($N633=1,VALUE(LEFT($H633,2)),"")</f>
        <v/>
      </c>
      <c r="J633">
        <f>IF($N633=1,VALUE(MID($H633,9,2)),"")</f>
        <v/>
      </c>
      <c r="K633">
        <f>IF($N633=1,MOD($J633-$I633,24),0)</f>
        <v/>
      </c>
      <c r="L633">
        <f>IF($N633=1,$E633*24+$I633,"")</f>
        <v/>
      </c>
      <c r="M633">
        <f>IF($N633=1,$L633+$K633,"")</f>
        <v/>
      </c>
      <c r="N633">
        <f>IF(ISNUMBER(SEARCH(" - ",$H633&amp;"")),1,0)</f>
        <v/>
      </c>
      <c r="O633">
        <f>IF(UPPER($H633&amp;"")="LEAVE",1,0)</f>
        <v/>
      </c>
      <c r="P633">
        <f>IF($N633=1,$K633,0)</f>
        <v/>
      </c>
      <c r="Q633">
        <f>IF($N633=0,"",IFERROR($L633-LOOKUP(2,1/(($B$2:$B632=$B633)*($N$2:$N632=1)),$M$2:$M632),""))</f>
        <v/>
      </c>
    </row>
    <row r="634">
      <c r="A634" t="n">
        <v>633</v>
      </c>
      <c r="B634">
        <f>Schedule!$A$93</f>
        <v/>
      </c>
      <c r="C634">
        <f>Schedule!$D$93</f>
        <v/>
      </c>
      <c r="D634">
        <f>Schedule!$F$93</f>
        <v/>
      </c>
      <c r="E634" t="n">
        <v>2</v>
      </c>
      <c r="F634">
        <f>Schedule!$I$1</f>
        <v/>
      </c>
      <c r="G634">
        <f>Schedule!$I$2</f>
        <v/>
      </c>
      <c r="H634">
        <f>Schedule!$I$93</f>
        <v/>
      </c>
      <c r="I634">
        <f>IF($N634=1,VALUE(LEFT($H634,2)),"")</f>
        <v/>
      </c>
      <c r="J634">
        <f>IF($N634=1,VALUE(MID($H634,9,2)),"")</f>
        <v/>
      </c>
      <c r="K634">
        <f>IF($N634=1,MOD($J634-$I634,24),0)</f>
        <v/>
      </c>
      <c r="L634">
        <f>IF($N634=1,$E634*24+$I634,"")</f>
        <v/>
      </c>
      <c r="M634">
        <f>IF($N634=1,$L634+$K634,"")</f>
        <v/>
      </c>
      <c r="N634">
        <f>IF(ISNUMBER(SEARCH(" - ",$H634&amp;"")),1,0)</f>
        <v/>
      </c>
      <c r="O634">
        <f>IF(UPPER($H634&amp;"")="LEAVE",1,0)</f>
        <v/>
      </c>
      <c r="P634">
        <f>IF($N634=1,$K634,0)</f>
        <v/>
      </c>
      <c r="Q634">
        <f>IF($N634=0,"",IFERROR($L634-LOOKUP(2,1/(($B$2:$B633=$B634)*($N$2:$N633=1)),$M$2:$M633),""))</f>
        <v/>
      </c>
    </row>
    <row r="635">
      <c r="A635" t="n">
        <v>634</v>
      </c>
      <c r="B635">
        <f>Schedule!$A$93</f>
        <v/>
      </c>
      <c r="C635">
        <f>Schedule!$D$93</f>
        <v/>
      </c>
      <c r="D635">
        <f>Schedule!$F$93</f>
        <v/>
      </c>
      <c r="E635" t="n">
        <v>3</v>
      </c>
      <c r="F635">
        <f>Schedule!$J$1</f>
        <v/>
      </c>
      <c r="G635">
        <f>Schedule!$J$2</f>
        <v/>
      </c>
      <c r="H635">
        <f>Schedule!$J$93</f>
        <v/>
      </c>
      <c r="I635">
        <f>IF($N635=1,VALUE(LEFT($H635,2)),"")</f>
        <v/>
      </c>
      <c r="J635">
        <f>IF($N635=1,VALUE(MID($H635,9,2)),"")</f>
        <v/>
      </c>
      <c r="K635">
        <f>IF($N635=1,MOD($J635-$I635,24),0)</f>
        <v/>
      </c>
      <c r="L635">
        <f>IF($N635=1,$E635*24+$I635,"")</f>
        <v/>
      </c>
      <c r="M635">
        <f>IF($N635=1,$L635+$K635,"")</f>
        <v/>
      </c>
      <c r="N635">
        <f>IF(ISNUMBER(SEARCH(" - ",$H635&amp;"")),1,0)</f>
        <v/>
      </c>
      <c r="O635">
        <f>IF(UPPER($H635&amp;"")="LEAVE",1,0)</f>
        <v/>
      </c>
      <c r="P635">
        <f>IF($N635=1,$K635,0)</f>
        <v/>
      </c>
      <c r="Q635">
        <f>IF($N635=0,"",IFERROR($L635-LOOKUP(2,1/(($B$2:$B634=$B635)*($N$2:$N634=1)),$M$2:$M634),""))</f>
        <v/>
      </c>
    </row>
    <row r="636">
      <c r="A636" t="n">
        <v>635</v>
      </c>
      <c r="B636">
        <f>Schedule!$A$93</f>
        <v/>
      </c>
      <c r="C636">
        <f>Schedule!$D$93</f>
        <v/>
      </c>
      <c r="D636">
        <f>Schedule!$F$93</f>
        <v/>
      </c>
      <c r="E636" t="n">
        <v>4</v>
      </c>
      <c r="F636">
        <f>Schedule!$K$1</f>
        <v/>
      </c>
      <c r="G636">
        <f>Schedule!$K$2</f>
        <v/>
      </c>
      <c r="H636">
        <f>Schedule!$K$93</f>
        <v/>
      </c>
      <c r="I636">
        <f>IF($N636=1,VALUE(LEFT($H636,2)),"")</f>
        <v/>
      </c>
      <c r="J636">
        <f>IF($N636=1,VALUE(MID($H636,9,2)),"")</f>
        <v/>
      </c>
      <c r="K636">
        <f>IF($N636=1,MOD($J636-$I636,24),0)</f>
        <v/>
      </c>
      <c r="L636">
        <f>IF($N636=1,$E636*24+$I636,"")</f>
        <v/>
      </c>
      <c r="M636">
        <f>IF($N636=1,$L636+$K636,"")</f>
        <v/>
      </c>
      <c r="N636">
        <f>IF(ISNUMBER(SEARCH(" - ",$H636&amp;"")),1,0)</f>
        <v/>
      </c>
      <c r="O636">
        <f>IF(UPPER($H636&amp;"")="LEAVE",1,0)</f>
        <v/>
      </c>
      <c r="P636">
        <f>IF($N636=1,$K636,0)</f>
        <v/>
      </c>
      <c r="Q636">
        <f>IF($N636=0,"",IFERROR($L636-LOOKUP(2,1/(($B$2:$B635=$B636)*($N$2:$N635=1)),$M$2:$M635),""))</f>
        <v/>
      </c>
    </row>
    <row r="637">
      <c r="A637" t="n">
        <v>636</v>
      </c>
      <c r="B637">
        <f>Schedule!$A$93</f>
        <v/>
      </c>
      <c r="C637">
        <f>Schedule!$D$93</f>
        <v/>
      </c>
      <c r="D637">
        <f>Schedule!$F$93</f>
        <v/>
      </c>
      <c r="E637" t="n">
        <v>5</v>
      </c>
      <c r="F637">
        <f>Schedule!$L$1</f>
        <v/>
      </c>
      <c r="G637">
        <f>Schedule!$L$2</f>
        <v/>
      </c>
      <c r="H637">
        <f>Schedule!$L$93</f>
        <v/>
      </c>
      <c r="I637">
        <f>IF($N637=1,VALUE(LEFT($H637,2)),"")</f>
        <v/>
      </c>
      <c r="J637">
        <f>IF($N637=1,VALUE(MID($H637,9,2)),"")</f>
        <v/>
      </c>
      <c r="K637">
        <f>IF($N637=1,MOD($J637-$I637,24),0)</f>
        <v/>
      </c>
      <c r="L637">
        <f>IF($N637=1,$E637*24+$I637,"")</f>
        <v/>
      </c>
      <c r="M637">
        <f>IF($N637=1,$L637+$K637,"")</f>
        <v/>
      </c>
      <c r="N637">
        <f>IF(ISNUMBER(SEARCH(" - ",$H637&amp;"")),1,0)</f>
        <v/>
      </c>
      <c r="O637">
        <f>IF(UPPER($H637&amp;"")="LEAVE",1,0)</f>
        <v/>
      </c>
      <c r="P637">
        <f>IF($N637=1,$K637,0)</f>
        <v/>
      </c>
      <c r="Q637">
        <f>IF($N637=0,"",IFERROR($L637-LOOKUP(2,1/(($B$2:$B636=$B637)*($N$2:$N636=1)),$M$2:$M636),""))</f>
        <v/>
      </c>
    </row>
    <row r="638">
      <c r="A638" t="n">
        <v>637</v>
      </c>
      <c r="B638">
        <f>Schedule!$A$93</f>
        <v/>
      </c>
      <c r="C638">
        <f>Schedule!$D$93</f>
        <v/>
      </c>
      <c r="D638">
        <f>Schedule!$F$93</f>
        <v/>
      </c>
      <c r="E638" t="n">
        <v>6</v>
      </c>
      <c r="F638">
        <f>Schedule!$M$1</f>
        <v/>
      </c>
      <c r="G638">
        <f>Schedule!$M$2</f>
        <v/>
      </c>
      <c r="H638">
        <f>Schedule!$M$93</f>
        <v/>
      </c>
      <c r="I638">
        <f>IF($N638=1,VALUE(LEFT($H638,2)),"")</f>
        <v/>
      </c>
      <c r="J638">
        <f>IF($N638=1,VALUE(MID($H638,9,2)),"")</f>
        <v/>
      </c>
      <c r="K638">
        <f>IF($N638=1,MOD($J638-$I638,24),0)</f>
        <v/>
      </c>
      <c r="L638">
        <f>IF($N638=1,$E638*24+$I638,"")</f>
        <v/>
      </c>
      <c r="M638">
        <f>IF($N638=1,$L638+$K638,"")</f>
        <v/>
      </c>
      <c r="N638">
        <f>IF(ISNUMBER(SEARCH(" - ",$H638&amp;"")),1,0)</f>
        <v/>
      </c>
      <c r="O638">
        <f>IF(UPPER($H638&amp;"")="LEAVE",1,0)</f>
        <v/>
      </c>
      <c r="P638">
        <f>IF($N638=1,$K638,0)</f>
        <v/>
      </c>
      <c r="Q638">
        <f>IF($N638=0,"",IFERROR($L638-LOOKUP(2,1/(($B$2:$B637=$B638)*($N$2:$N637=1)),$M$2:$M637),""))</f>
        <v/>
      </c>
    </row>
    <row r="639">
      <c r="A639" t="n">
        <v>638</v>
      </c>
      <c r="B639">
        <f>Schedule!$A$94</f>
        <v/>
      </c>
      <c r="C639">
        <f>Schedule!$D$94</f>
        <v/>
      </c>
      <c r="D639">
        <f>Schedule!$F$94</f>
        <v/>
      </c>
      <c r="E639" t="n">
        <v>0</v>
      </c>
      <c r="F639">
        <f>Schedule!$G$1</f>
        <v/>
      </c>
      <c r="G639">
        <f>Schedule!$G$2</f>
        <v/>
      </c>
      <c r="H639">
        <f>Schedule!$G$94</f>
        <v/>
      </c>
      <c r="I639">
        <f>IF($N639=1,VALUE(LEFT($H639,2)),"")</f>
        <v/>
      </c>
      <c r="J639">
        <f>IF($N639=1,VALUE(MID($H639,9,2)),"")</f>
        <v/>
      </c>
      <c r="K639">
        <f>IF($N639=1,MOD($J639-$I639,24),0)</f>
        <v/>
      </c>
      <c r="L639">
        <f>IF($N639=1,$E639*24+$I639,"")</f>
        <v/>
      </c>
      <c r="M639">
        <f>IF($N639=1,$L639+$K639,"")</f>
        <v/>
      </c>
      <c r="N639">
        <f>IF(ISNUMBER(SEARCH(" - ",$H639&amp;"")),1,0)</f>
        <v/>
      </c>
      <c r="O639">
        <f>IF(UPPER($H639&amp;"")="LEAVE",1,0)</f>
        <v/>
      </c>
      <c r="P639">
        <f>IF($N639=1,$K639,0)</f>
        <v/>
      </c>
      <c r="Q639">
        <f>IF($N639=0,"",IFERROR($L639-'Previous Engine'!$M$93,""))</f>
        <v/>
      </c>
    </row>
    <row r="640">
      <c r="A640" t="n">
        <v>639</v>
      </c>
      <c r="B640">
        <f>Schedule!$A$94</f>
        <v/>
      </c>
      <c r="C640">
        <f>Schedule!$D$94</f>
        <v/>
      </c>
      <c r="D640">
        <f>Schedule!$F$94</f>
        <v/>
      </c>
      <c r="E640" t="n">
        <v>1</v>
      </c>
      <c r="F640">
        <f>Schedule!$H$1</f>
        <v/>
      </c>
      <c r="G640">
        <f>Schedule!$H$2</f>
        <v/>
      </c>
      <c r="H640">
        <f>Schedule!$H$94</f>
        <v/>
      </c>
      <c r="I640">
        <f>IF($N640=1,VALUE(LEFT($H640,2)),"")</f>
        <v/>
      </c>
      <c r="J640">
        <f>IF($N640=1,VALUE(MID($H640,9,2)),"")</f>
        <v/>
      </c>
      <c r="K640">
        <f>IF($N640=1,MOD($J640-$I640,24),0)</f>
        <v/>
      </c>
      <c r="L640">
        <f>IF($N640=1,$E640*24+$I640,"")</f>
        <v/>
      </c>
      <c r="M640">
        <f>IF($N640=1,$L640+$K640,"")</f>
        <v/>
      </c>
      <c r="N640">
        <f>IF(ISNUMBER(SEARCH(" - ",$H640&amp;"")),1,0)</f>
        <v/>
      </c>
      <c r="O640">
        <f>IF(UPPER($H640&amp;"")="LEAVE",1,0)</f>
        <v/>
      </c>
      <c r="P640">
        <f>IF($N640=1,$K640,0)</f>
        <v/>
      </c>
      <c r="Q640">
        <f>IF($N640=0,"",IFERROR($L640-LOOKUP(2,1/(($B$2:$B639=$B640)*($N$2:$N639=1)),$M$2:$M639),""))</f>
        <v/>
      </c>
    </row>
    <row r="641">
      <c r="A641" t="n">
        <v>640</v>
      </c>
      <c r="B641">
        <f>Schedule!$A$94</f>
        <v/>
      </c>
      <c r="C641">
        <f>Schedule!$D$94</f>
        <v/>
      </c>
      <c r="D641">
        <f>Schedule!$F$94</f>
        <v/>
      </c>
      <c r="E641" t="n">
        <v>2</v>
      </c>
      <c r="F641">
        <f>Schedule!$I$1</f>
        <v/>
      </c>
      <c r="G641">
        <f>Schedule!$I$2</f>
        <v/>
      </c>
      <c r="H641">
        <f>Schedule!$I$94</f>
        <v/>
      </c>
      <c r="I641">
        <f>IF($N641=1,VALUE(LEFT($H641,2)),"")</f>
        <v/>
      </c>
      <c r="J641">
        <f>IF($N641=1,VALUE(MID($H641,9,2)),"")</f>
        <v/>
      </c>
      <c r="K641">
        <f>IF($N641=1,MOD($J641-$I641,24),0)</f>
        <v/>
      </c>
      <c r="L641">
        <f>IF($N641=1,$E641*24+$I641,"")</f>
        <v/>
      </c>
      <c r="M641">
        <f>IF($N641=1,$L641+$K641,"")</f>
        <v/>
      </c>
      <c r="N641">
        <f>IF(ISNUMBER(SEARCH(" - ",$H641&amp;"")),1,0)</f>
        <v/>
      </c>
      <c r="O641">
        <f>IF(UPPER($H641&amp;"")="LEAVE",1,0)</f>
        <v/>
      </c>
      <c r="P641">
        <f>IF($N641=1,$K641,0)</f>
        <v/>
      </c>
      <c r="Q641">
        <f>IF($N641=0,"",IFERROR($L641-LOOKUP(2,1/(($B$2:$B640=$B641)*($N$2:$N640=1)),$M$2:$M640),""))</f>
        <v/>
      </c>
    </row>
    <row r="642">
      <c r="A642" t="n">
        <v>641</v>
      </c>
      <c r="B642">
        <f>Schedule!$A$94</f>
        <v/>
      </c>
      <c r="C642">
        <f>Schedule!$D$94</f>
        <v/>
      </c>
      <c r="D642">
        <f>Schedule!$F$94</f>
        <v/>
      </c>
      <c r="E642" t="n">
        <v>3</v>
      </c>
      <c r="F642">
        <f>Schedule!$J$1</f>
        <v/>
      </c>
      <c r="G642">
        <f>Schedule!$J$2</f>
        <v/>
      </c>
      <c r="H642">
        <f>Schedule!$J$94</f>
        <v/>
      </c>
      <c r="I642">
        <f>IF($N642=1,VALUE(LEFT($H642,2)),"")</f>
        <v/>
      </c>
      <c r="J642">
        <f>IF($N642=1,VALUE(MID($H642,9,2)),"")</f>
        <v/>
      </c>
      <c r="K642">
        <f>IF($N642=1,MOD($J642-$I642,24),0)</f>
        <v/>
      </c>
      <c r="L642">
        <f>IF($N642=1,$E642*24+$I642,"")</f>
        <v/>
      </c>
      <c r="M642">
        <f>IF($N642=1,$L642+$K642,"")</f>
        <v/>
      </c>
      <c r="N642">
        <f>IF(ISNUMBER(SEARCH(" - ",$H642&amp;"")),1,0)</f>
        <v/>
      </c>
      <c r="O642">
        <f>IF(UPPER($H642&amp;"")="LEAVE",1,0)</f>
        <v/>
      </c>
      <c r="P642">
        <f>IF($N642=1,$K642,0)</f>
        <v/>
      </c>
      <c r="Q642">
        <f>IF($N642=0,"",IFERROR($L642-LOOKUP(2,1/(($B$2:$B641=$B642)*($N$2:$N641=1)),$M$2:$M641),""))</f>
        <v/>
      </c>
    </row>
    <row r="643">
      <c r="A643" t="n">
        <v>642</v>
      </c>
      <c r="B643">
        <f>Schedule!$A$94</f>
        <v/>
      </c>
      <c r="C643">
        <f>Schedule!$D$94</f>
        <v/>
      </c>
      <c r="D643">
        <f>Schedule!$F$94</f>
        <v/>
      </c>
      <c r="E643" t="n">
        <v>4</v>
      </c>
      <c r="F643">
        <f>Schedule!$K$1</f>
        <v/>
      </c>
      <c r="G643">
        <f>Schedule!$K$2</f>
        <v/>
      </c>
      <c r="H643">
        <f>Schedule!$K$94</f>
        <v/>
      </c>
      <c r="I643">
        <f>IF($N643=1,VALUE(LEFT($H643,2)),"")</f>
        <v/>
      </c>
      <c r="J643">
        <f>IF($N643=1,VALUE(MID($H643,9,2)),"")</f>
        <v/>
      </c>
      <c r="K643">
        <f>IF($N643=1,MOD($J643-$I643,24),0)</f>
        <v/>
      </c>
      <c r="L643">
        <f>IF($N643=1,$E643*24+$I643,"")</f>
        <v/>
      </c>
      <c r="M643">
        <f>IF($N643=1,$L643+$K643,"")</f>
        <v/>
      </c>
      <c r="N643">
        <f>IF(ISNUMBER(SEARCH(" - ",$H643&amp;"")),1,0)</f>
        <v/>
      </c>
      <c r="O643">
        <f>IF(UPPER($H643&amp;"")="LEAVE",1,0)</f>
        <v/>
      </c>
      <c r="P643">
        <f>IF($N643=1,$K643,0)</f>
        <v/>
      </c>
      <c r="Q643">
        <f>IF($N643=0,"",IFERROR($L643-LOOKUP(2,1/(($B$2:$B642=$B643)*($N$2:$N642=1)),$M$2:$M642),""))</f>
        <v/>
      </c>
    </row>
    <row r="644">
      <c r="A644" t="n">
        <v>643</v>
      </c>
      <c r="B644">
        <f>Schedule!$A$94</f>
        <v/>
      </c>
      <c r="C644">
        <f>Schedule!$D$94</f>
        <v/>
      </c>
      <c r="D644">
        <f>Schedule!$F$94</f>
        <v/>
      </c>
      <c r="E644" t="n">
        <v>5</v>
      </c>
      <c r="F644">
        <f>Schedule!$L$1</f>
        <v/>
      </c>
      <c r="G644">
        <f>Schedule!$L$2</f>
        <v/>
      </c>
      <c r="H644">
        <f>Schedule!$L$94</f>
        <v/>
      </c>
      <c r="I644">
        <f>IF($N644=1,VALUE(LEFT($H644,2)),"")</f>
        <v/>
      </c>
      <c r="J644">
        <f>IF($N644=1,VALUE(MID($H644,9,2)),"")</f>
        <v/>
      </c>
      <c r="K644">
        <f>IF($N644=1,MOD($J644-$I644,24),0)</f>
        <v/>
      </c>
      <c r="L644">
        <f>IF($N644=1,$E644*24+$I644,"")</f>
        <v/>
      </c>
      <c r="M644">
        <f>IF($N644=1,$L644+$K644,"")</f>
        <v/>
      </c>
      <c r="N644">
        <f>IF(ISNUMBER(SEARCH(" - ",$H644&amp;"")),1,0)</f>
        <v/>
      </c>
      <c r="O644">
        <f>IF(UPPER($H644&amp;"")="LEAVE",1,0)</f>
        <v/>
      </c>
      <c r="P644">
        <f>IF($N644=1,$K644,0)</f>
        <v/>
      </c>
      <c r="Q644">
        <f>IF($N644=0,"",IFERROR($L644-LOOKUP(2,1/(($B$2:$B643=$B644)*($N$2:$N643=1)),$M$2:$M643),""))</f>
        <v/>
      </c>
    </row>
    <row r="645">
      <c r="A645" t="n">
        <v>644</v>
      </c>
      <c r="B645">
        <f>Schedule!$A$94</f>
        <v/>
      </c>
      <c r="C645">
        <f>Schedule!$D$94</f>
        <v/>
      </c>
      <c r="D645">
        <f>Schedule!$F$94</f>
        <v/>
      </c>
      <c r="E645" t="n">
        <v>6</v>
      </c>
      <c r="F645">
        <f>Schedule!$M$1</f>
        <v/>
      </c>
      <c r="G645">
        <f>Schedule!$M$2</f>
        <v/>
      </c>
      <c r="H645">
        <f>Schedule!$M$94</f>
        <v/>
      </c>
      <c r="I645">
        <f>IF($N645=1,VALUE(LEFT($H645,2)),"")</f>
        <v/>
      </c>
      <c r="J645">
        <f>IF($N645=1,VALUE(MID($H645,9,2)),"")</f>
        <v/>
      </c>
      <c r="K645">
        <f>IF($N645=1,MOD($J645-$I645,24),0)</f>
        <v/>
      </c>
      <c r="L645">
        <f>IF($N645=1,$E645*24+$I645,"")</f>
        <v/>
      </c>
      <c r="M645">
        <f>IF($N645=1,$L645+$K645,"")</f>
        <v/>
      </c>
      <c r="N645">
        <f>IF(ISNUMBER(SEARCH(" - ",$H645&amp;"")),1,0)</f>
        <v/>
      </c>
      <c r="O645">
        <f>IF(UPPER($H645&amp;"")="LEAVE",1,0)</f>
        <v/>
      </c>
      <c r="P645">
        <f>IF($N645=1,$K645,0)</f>
        <v/>
      </c>
      <c r="Q645">
        <f>IF($N645=0,"",IFERROR($L645-LOOKUP(2,1/(($B$2:$B644=$B645)*($N$2:$N644=1)),$M$2:$M644),""))</f>
        <v/>
      </c>
    </row>
    <row r="646">
      <c r="A646" t="n">
        <v>645</v>
      </c>
      <c r="B646">
        <f>Schedule!$A$95</f>
        <v/>
      </c>
      <c r="C646">
        <f>Schedule!$D$95</f>
        <v/>
      </c>
      <c r="D646">
        <f>Schedule!$F$95</f>
        <v/>
      </c>
      <c r="E646" t="n">
        <v>0</v>
      </c>
      <c r="F646">
        <f>Schedule!$G$1</f>
        <v/>
      </c>
      <c r="G646">
        <f>Schedule!$G$2</f>
        <v/>
      </c>
      <c r="H646">
        <f>Schedule!$G$95</f>
        <v/>
      </c>
      <c r="I646">
        <f>IF($N646=1,VALUE(LEFT($H646,2)),"")</f>
        <v/>
      </c>
      <c r="J646">
        <f>IF($N646=1,VALUE(MID($H646,9,2)),"")</f>
        <v/>
      </c>
      <c r="K646">
        <f>IF($N646=1,MOD($J646-$I646,24),0)</f>
        <v/>
      </c>
      <c r="L646">
        <f>IF($N646=1,$E646*24+$I646,"")</f>
        <v/>
      </c>
      <c r="M646">
        <f>IF($N646=1,$L646+$K646,"")</f>
        <v/>
      </c>
      <c r="N646">
        <f>IF(ISNUMBER(SEARCH(" - ",$H646&amp;"")),1,0)</f>
        <v/>
      </c>
      <c r="O646">
        <f>IF(UPPER($H646&amp;"")="LEAVE",1,0)</f>
        <v/>
      </c>
      <c r="P646">
        <f>IF($N646=1,$K646,0)</f>
        <v/>
      </c>
      <c r="Q646">
        <f>IF($N646=0,"",IFERROR($L646-'Previous Engine'!$M$94,""))</f>
        <v/>
      </c>
    </row>
    <row r="647">
      <c r="A647" t="n">
        <v>646</v>
      </c>
      <c r="B647">
        <f>Schedule!$A$95</f>
        <v/>
      </c>
      <c r="C647">
        <f>Schedule!$D$95</f>
        <v/>
      </c>
      <c r="D647">
        <f>Schedule!$F$95</f>
        <v/>
      </c>
      <c r="E647" t="n">
        <v>1</v>
      </c>
      <c r="F647">
        <f>Schedule!$H$1</f>
        <v/>
      </c>
      <c r="G647">
        <f>Schedule!$H$2</f>
        <v/>
      </c>
      <c r="H647">
        <f>Schedule!$H$95</f>
        <v/>
      </c>
      <c r="I647">
        <f>IF($N647=1,VALUE(LEFT($H647,2)),"")</f>
        <v/>
      </c>
      <c r="J647">
        <f>IF($N647=1,VALUE(MID($H647,9,2)),"")</f>
        <v/>
      </c>
      <c r="K647">
        <f>IF($N647=1,MOD($J647-$I647,24),0)</f>
        <v/>
      </c>
      <c r="L647">
        <f>IF($N647=1,$E647*24+$I647,"")</f>
        <v/>
      </c>
      <c r="M647">
        <f>IF($N647=1,$L647+$K647,"")</f>
        <v/>
      </c>
      <c r="N647">
        <f>IF(ISNUMBER(SEARCH(" - ",$H647&amp;"")),1,0)</f>
        <v/>
      </c>
      <c r="O647">
        <f>IF(UPPER($H647&amp;"")="LEAVE",1,0)</f>
        <v/>
      </c>
      <c r="P647">
        <f>IF($N647=1,$K647,0)</f>
        <v/>
      </c>
      <c r="Q647">
        <f>IF($N647=0,"",IFERROR($L647-LOOKUP(2,1/(($B$2:$B646=$B647)*($N$2:$N646=1)),$M$2:$M646),""))</f>
        <v/>
      </c>
    </row>
    <row r="648">
      <c r="A648" t="n">
        <v>647</v>
      </c>
      <c r="B648">
        <f>Schedule!$A$95</f>
        <v/>
      </c>
      <c r="C648">
        <f>Schedule!$D$95</f>
        <v/>
      </c>
      <c r="D648">
        <f>Schedule!$F$95</f>
        <v/>
      </c>
      <c r="E648" t="n">
        <v>2</v>
      </c>
      <c r="F648">
        <f>Schedule!$I$1</f>
        <v/>
      </c>
      <c r="G648">
        <f>Schedule!$I$2</f>
        <v/>
      </c>
      <c r="H648">
        <f>Schedule!$I$95</f>
        <v/>
      </c>
      <c r="I648">
        <f>IF($N648=1,VALUE(LEFT($H648,2)),"")</f>
        <v/>
      </c>
      <c r="J648">
        <f>IF($N648=1,VALUE(MID($H648,9,2)),"")</f>
        <v/>
      </c>
      <c r="K648">
        <f>IF($N648=1,MOD($J648-$I648,24),0)</f>
        <v/>
      </c>
      <c r="L648">
        <f>IF($N648=1,$E648*24+$I648,"")</f>
        <v/>
      </c>
      <c r="M648">
        <f>IF($N648=1,$L648+$K648,"")</f>
        <v/>
      </c>
      <c r="N648">
        <f>IF(ISNUMBER(SEARCH(" - ",$H648&amp;"")),1,0)</f>
        <v/>
      </c>
      <c r="O648">
        <f>IF(UPPER($H648&amp;"")="LEAVE",1,0)</f>
        <v/>
      </c>
      <c r="P648">
        <f>IF($N648=1,$K648,0)</f>
        <v/>
      </c>
      <c r="Q648">
        <f>IF($N648=0,"",IFERROR($L648-LOOKUP(2,1/(($B$2:$B647=$B648)*($N$2:$N647=1)),$M$2:$M647),""))</f>
        <v/>
      </c>
    </row>
    <row r="649">
      <c r="A649" t="n">
        <v>648</v>
      </c>
      <c r="B649">
        <f>Schedule!$A$95</f>
        <v/>
      </c>
      <c r="C649">
        <f>Schedule!$D$95</f>
        <v/>
      </c>
      <c r="D649">
        <f>Schedule!$F$95</f>
        <v/>
      </c>
      <c r="E649" t="n">
        <v>3</v>
      </c>
      <c r="F649">
        <f>Schedule!$J$1</f>
        <v/>
      </c>
      <c r="G649">
        <f>Schedule!$J$2</f>
        <v/>
      </c>
      <c r="H649">
        <f>Schedule!$J$95</f>
        <v/>
      </c>
      <c r="I649">
        <f>IF($N649=1,VALUE(LEFT($H649,2)),"")</f>
        <v/>
      </c>
      <c r="J649">
        <f>IF($N649=1,VALUE(MID($H649,9,2)),"")</f>
        <v/>
      </c>
      <c r="K649">
        <f>IF($N649=1,MOD($J649-$I649,24),0)</f>
        <v/>
      </c>
      <c r="L649">
        <f>IF($N649=1,$E649*24+$I649,"")</f>
        <v/>
      </c>
      <c r="M649">
        <f>IF($N649=1,$L649+$K649,"")</f>
        <v/>
      </c>
      <c r="N649">
        <f>IF(ISNUMBER(SEARCH(" - ",$H649&amp;"")),1,0)</f>
        <v/>
      </c>
      <c r="O649">
        <f>IF(UPPER($H649&amp;"")="LEAVE",1,0)</f>
        <v/>
      </c>
      <c r="P649">
        <f>IF($N649=1,$K649,0)</f>
        <v/>
      </c>
      <c r="Q649">
        <f>IF($N649=0,"",IFERROR($L649-LOOKUP(2,1/(($B$2:$B648=$B649)*($N$2:$N648=1)),$M$2:$M648),""))</f>
        <v/>
      </c>
    </row>
    <row r="650">
      <c r="A650" t="n">
        <v>649</v>
      </c>
      <c r="B650">
        <f>Schedule!$A$95</f>
        <v/>
      </c>
      <c r="C650">
        <f>Schedule!$D$95</f>
        <v/>
      </c>
      <c r="D650">
        <f>Schedule!$F$95</f>
        <v/>
      </c>
      <c r="E650" t="n">
        <v>4</v>
      </c>
      <c r="F650">
        <f>Schedule!$K$1</f>
        <v/>
      </c>
      <c r="G650">
        <f>Schedule!$K$2</f>
        <v/>
      </c>
      <c r="H650">
        <f>Schedule!$K$95</f>
        <v/>
      </c>
      <c r="I650">
        <f>IF($N650=1,VALUE(LEFT($H650,2)),"")</f>
        <v/>
      </c>
      <c r="J650">
        <f>IF($N650=1,VALUE(MID($H650,9,2)),"")</f>
        <v/>
      </c>
      <c r="K650">
        <f>IF($N650=1,MOD($J650-$I650,24),0)</f>
        <v/>
      </c>
      <c r="L650">
        <f>IF($N650=1,$E650*24+$I650,"")</f>
        <v/>
      </c>
      <c r="M650">
        <f>IF($N650=1,$L650+$K650,"")</f>
        <v/>
      </c>
      <c r="N650">
        <f>IF(ISNUMBER(SEARCH(" - ",$H650&amp;"")),1,0)</f>
        <v/>
      </c>
      <c r="O650">
        <f>IF(UPPER($H650&amp;"")="LEAVE",1,0)</f>
        <v/>
      </c>
      <c r="P650">
        <f>IF($N650=1,$K650,0)</f>
        <v/>
      </c>
      <c r="Q650">
        <f>IF($N650=0,"",IFERROR($L650-LOOKUP(2,1/(($B$2:$B649=$B650)*($N$2:$N649=1)),$M$2:$M649),""))</f>
        <v/>
      </c>
    </row>
    <row r="651">
      <c r="A651" t="n">
        <v>650</v>
      </c>
      <c r="B651">
        <f>Schedule!$A$95</f>
        <v/>
      </c>
      <c r="C651">
        <f>Schedule!$D$95</f>
        <v/>
      </c>
      <c r="D651">
        <f>Schedule!$F$95</f>
        <v/>
      </c>
      <c r="E651" t="n">
        <v>5</v>
      </c>
      <c r="F651">
        <f>Schedule!$L$1</f>
        <v/>
      </c>
      <c r="G651">
        <f>Schedule!$L$2</f>
        <v/>
      </c>
      <c r="H651">
        <f>Schedule!$L$95</f>
        <v/>
      </c>
      <c r="I651">
        <f>IF($N651=1,VALUE(LEFT($H651,2)),"")</f>
        <v/>
      </c>
      <c r="J651">
        <f>IF($N651=1,VALUE(MID($H651,9,2)),"")</f>
        <v/>
      </c>
      <c r="K651">
        <f>IF($N651=1,MOD($J651-$I651,24),0)</f>
        <v/>
      </c>
      <c r="L651">
        <f>IF($N651=1,$E651*24+$I651,"")</f>
        <v/>
      </c>
      <c r="M651">
        <f>IF($N651=1,$L651+$K651,"")</f>
        <v/>
      </c>
      <c r="N651">
        <f>IF(ISNUMBER(SEARCH(" - ",$H651&amp;"")),1,0)</f>
        <v/>
      </c>
      <c r="O651">
        <f>IF(UPPER($H651&amp;"")="LEAVE",1,0)</f>
        <v/>
      </c>
      <c r="P651">
        <f>IF($N651=1,$K651,0)</f>
        <v/>
      </c>
      <c r="Q651">
        <f>IF($N651=0,"",IFERROR($L651-LOOKUP(2,1/(($B$2:$B650=$B651)*($N$2:$N650=1)),$M$2:$M650),""))</f>
        <v/>
      </c>
    </row>
    <row r="652">
      <c r="A652" t="n">
        <v>651</v>
      </c>
      <c r="B652">
        <f>Schedule!$A$95</f>
        <v/>
      </c>
      <c r="C652">
        <f>Schedule!$D$95</f>
        <v/>
      </c>
      <c r="D652">
        <f>Schedule!$F$95</f>
        <v/>
      </c>
      <c r="E652" t="n">
        <v>6</v>
      </c>
      <c r="F652">
        <f>Schedule!$M$1</f>
        <v/>
      </c>
      <c r="G652">
        <f>Schedule!$M$2</f>
        <v/>
      </c>
      <c r="H652">
        <f>Schedule!$M$95</f>
        <v/>
      </c>
      <c r="I652">
        <f>IF($N652=1,VALUE(LEFT($H652,2)),"")</f>
        <v/>
      </c>
      <c r="J652">
        <f>IF($N652=1,VALUE(MID($H652,9,2)),"")</f>
        <v/>
      </c>
      <c r="K652">
        <f>IF($N652=1,MOD($J652-$I652,24),0)</f>
        <v/>
      </c>
      <c r="L652">
        <f>IF($N652=1,$E652*24+$I652,"")</f>
        <v/>
      </c>
      <c r="M652">
        <f>IF($N652=1,$L652+$K652,"")</f>
        <v/>
      </c>
      <c r="N652">
        <f>IF(ISNUMBER(SEARCH(" - ",$H652&amp;"")),1,0)</f>
        <v/>
      </c>
      <c r="O652">
        <f>IF(UPPER($H652&amp;"")="LEAVE",1,0)</f>
        <v/>
      </c>
      <c r="P652">
        <f>IF($N652=1,$K652,0)</f>
        <v/>
      </c>
      <c r="Q652">
        <f>IF($N652=0,"",IFERROR($L652-LOOKUP(2,1/(($B$2:$B651=$B652)*($N$2:$N651=1)),$M$2:$M651),""))</f>
        <v/>
      </c>
    </row>
    <row r="653">
      <c r="A653" t="n">
        <v>652</v>
      </c>
      <c r="B653">
        <f>Schedule!$A$96</f>
        <v/>
      </c>
      <c r="C653">
        <f>Schedule!$D$96</f>
        <v/>
      </c>
      <c r="D653">
        <f>Schedule!$F$96</f>
        <v/>
      </c>
      <c r="E653" t="n">
        <v>0</v>
      </c>
      <c r="F653">
        <f>Schedule!$G$1</f>
        <v/>
      </c>
      <c r="G653">
        <f>Schedule!$G$2</f>
        <v/>
      </c>
      <c r="H653">
        <f>Schedule!$G$96</f>
        <v/>
      </c>
      <c r="I653">
        <f>IF($N653=1,VALUE(LEFT($H653,2)),"")</f>
        <v/>
      </c>
      <c r="J653">
        <f>IF($N653=1,VALUE(MID($H653,9,2)),"")</f>
        <v/>
      </c>
      <c r="K653">
        <f>IF($N653=1,MOD($J653-$I653,24),0)</f>
        <v/>
      </c>
      <c r="L653">
        <f>IF($N653=1,$E653*24+$I653,"")</f>
        <v/>
      </c>
      <c r="M653">
        <f>IF($N653=1,$L653+$K653,"")</f>
        <v/>
      </c>
      <c r="N653">
        <f>IF(ISNUMBER(SEARCH(" - ",$H653&amp;"")),1,0)</f>
        <v/>
      </c>
      <c r="O653">
        <f>IF(UPPER($H653&amp;"")="LEAVE",1,0)</f>
        <v/>
      </c>
      <c r="P653">
        <f>IF($N653=1,$K653,0)</f>
        <v/>
      </c>
      <c r="Q653">
        <f>IF($N653=0,"",IFERROR($L653-'Previous Engine'!$M$95,""))</f>
        <v/>
      </c>
    </row>
    <row r="654">
      <c r="A654" t="n">
        <v>653</v>
      </c>
      <c r="B654">
        <f>Schedule!$A$96</f>
        <v/>
      </c>
      <c r="C654">
        <f>Schedule!$D$96</f>
        <v/>
      </c>
      <c r="D654">
        <f>Schedule!$F$96</f>
        <v/>
      </c>
      <c r="E654" t="n">
        <v>1</v>
      </c>
      <c r="F654">
        <f>Schedule!$H$1</f>
        <v/>
      </c>
      <c r="G654">
        <f>Schedule!$H$2</f>
        <v/>
      </c>
      <c r="H654">
        <f>Schedule!$H$96</f>
        <v/>
      </c>
      <c r="I654">
        <f>IF($N654=1,VALUE(LEFT($H654,2)),"")</f>
        <v/>
      </c>
      <c r="J654">
        <f>IF($N654=1,VALUE(MID($H654,9,2)),"")</f>
        <v/>
      </c>
      <c r="K654">
        <f>IF($N654=1,MOD($J654-$I654,24),0)</f>
        <v/>
      </c>
      <c r="L654">
        <f>IF($N654=1,$E654*24+$I654,"")</f>
        <v/>
      </c>
      <c r="M654">
        <f>IF($N654=1,$L654+$K654,"")</f>
        <v/>
      </c>
      <c r="N654">
        <f>IF(ISNUMBER(SEARCH(" - ",$H654&amp;"")),1,0)</f>
        <v/>
      </c>
      <c r="O654">
        <f>IF(UPPER($H654&amp;"")="LEAVE",1,0)</f>
        <v/>
      </c>
      <c r="P654">
        <f>IF($N654=1,$K654,0)</f>
        <v/>
      </c>
      <c r="Q654">
        <f>IF($N654=0,"",IFERROR($L654-LOOKUP(2,1/(($B$2:$B653=$B654)*($N$2:$N653=1)),$M$2:$M653),""))</f>
        <v/>
      </c>
    </row>
    <row r="655">
      <c r="A655" t="n">
        <v>654</v>
      </c>
      <c r="B655">
        <f>Schedule!$A$96</f>
        <v/>
      </c>
      <c r="C655">
        <f>Schedule!$D$96</f>
        <v/>
      </c>
      <c r="D655">
        <f>Schedule!$F$96</f>
        <v/>
      </c>
      <c r="E655" t="n">
        <v>2</v>
      </c>
      <c r="F655">
        <f>Schedule!$I$1</f>
        <v/>
      </c>
      <c r="G655">
        <f>Schedule!$I$2</f>
        <v/>
      </c>
      <c r="H655">
        <f>Schedule!$I$96</f>
        <v/>
      </c>
      <c r="I655">
        <f>IF($N655=1,VALUE(LEFT($H655,2)),"")</f>
        <v/>
      </c>
      <c r="J655">
        <f>IF($N655=1,VALUE(MID($H655,9,2)),"")</f>
        <v/>
      </c>
      <c r="K655">
        <f>IF($N655=1,MOD($J655-$I655,24),0)</f>
        <v/>
      </c>
      <c r="L655">
        <f>IF($N655=1,$E655*24+$I655,"")</f>
        <v/>
      </c>
      <c r="M655">
        <f>IF($N655=1,$L655+$K655,"")</f>
        <v/>
      </c>
      <c r="N655">
        <f>IF(ISNUMBER(SEARCH(" - ",$H655&amp;"")),1,0)</f>
        <v/>
      </c>
      <c r="O655">
        <f>IF(UPPER($H655&amp;"")="LEAVE",1,0)</f>
        <v/>
      </c>
      <c r="P655">
        <f>IF($N655=1,$K655,0)</f>
        <v/>
      </c>
      <c r="Q655">
        <f>IF($N655=0,"",IFERROR($L655-LOOKUP(2,1/(($B$2:$B654=$B655)*($N$2:$N654=1)),$M$2:$M654),""))</f>
        <v/>
      </c>
    </row>
    <row r="656">
      <c r="A656" t="n">
        <v>655</v>
      </c>
      <c r="B656">
        <f>Schedule!$A$96</f>
        <v/>
      </c>
      <c r="C656">
        <f>Schedule!$D$96</f>
        <v/>
      </c>
      <c r="D656">
        <f>Schedule!$F$96</f>
        <v/>
      </c>
      <c r="E656" t="n">
        <v>3</v>
      </c>
      <c r="F656">
        <f>Schedule!$J$1</f>
        <v/>
      </c>
      <c r="G656">
        <f>Schedule!$J$2</f>
        <v/>
      </c>
      <c r="H656">
        <f>Schedule!$J$96</f>
        <v/>
      </c>
      <c r="I656">
        <f>IF($N656=1,VALUE(LEFT($H656,2)),"")</f>
        <v/>
      </c>
      <c r="J656">
        <f>IF($N656=1,VALUE(MID($H656,9,2)),"")</f>
        <v/>
      </c>
      <c r="K656">
        <f>IF($N656=1,MOD($J656-$I656,24),0)</f>
        <v/>
      </c>
      <c r="L656">
        <f>IF($N656=1,$E656*24+$I656,"")</f>
        <v/>
      </c>
      <c r="M656">
        <f>IF($N656=1,$L656+$K656,"")</f>
        <v/>
      </c>
      <c r="N656">
        <f>IF(ISNUMBER(SEARCH(" - ",$H656&amp;"")),1,0)</f>
        <v/>
      </c>
      <c r="O656">
        <f>IF(UPPER($H656&amp;"")="LEAVE",1,0)</f>
        <v/>
      </c>
      <c r="P656">
        <f>IF($N656=1,$K656,0)</f>
        <v/>
      </c>
      <c r="Q656">
        <f>IF($N656=0,"",IFERROR($L656-LOOKUP(2,1/(($B$2:$B655=$B656)*($N$2:$N655=1)),$M$2:$M655),""))</f>
        <v/>
      </c>
    </row>
    <row r="657">
      <c r="A657" t="n">
        <v>656</v>
      </c>
      <c r="B657">
        <f>Schedule!$A$96</f>
        <v/>
      </c>
      <c r="C657">
        <f>Schedule!$D$96</f>
        <v/>
      </c>
      <c r="D657">
        <f>Schedule!$F$96</f>
        <v/>
      </c>
      <c r="E657" t="n">
        <v>4</v>
      </c>
      <c r="F657">
        <f>Schedule!$K$1</f>
        <v/>
      </c>
      <c r="G657">
        <f>Schedule!$K$2</f>
        <v/>
      </c>
      <c r="H657">
        <f>Schedule!$K$96</f>
        <v/>
      </c>
      <c r="I657">
        <f>IF($N657=1,VALUE(LEFT($H657,2)),"")</f>
        <v/>
      </c>
      <c r="J657">
        <f>IF($N657=1,VALUE(MID($H657,9,2)),"")</f>
        <v/>
      </c>
      <c r="K657">
        <f>IF($N657=1,MOD($J657-$I657,24),0)</f>
        <v/>
      </c>
      <c r="L657">
        <f>IF($N657=1,$E657*24+$I657,"")</f>
        <v/>
      </c>
      <c r="M657">
        <f>IF($N657=1,$L657+$K657,"")</f>
        <v/>
      </c>
      <c r="N657">
        <f>IF(ISNUMBER(SEARCH(" - ",$H657&amp;"")),1,0)</f>
        <v/>
      </c>
      <c r="O657">
        <f>IF(UPPER($H657&amp;"")="LEAVE",1,0)</f>
        <v/>
      </c>
      <c r="P657">
        <f>IF($N657=1,$K657,0)</f>
        <v/>
      </c>
      <c r="Q657">
        <f>IF($N657=0,"",IFERROR($L657-LOOKUP(2,1/(($B$2:$B656=$B657)*($N$2:$N656=1)),$M$2:$M656),""))</f>
        <v/>
      </c>
    </row>
    <row r="658">
      <c r="A658" t="n">
        <v>657</v>
      </c>
      <c r="B658">
        <f>Schedule!$A$96</f>
        <v/>
      </c>
      <c r="C658">
        <f>Schedule!$D$96</f>
        <v/>
      </c>
      <c r="D658">
        <f>Schedule!$F$96</f>
        <v/>
      </c>
      <c r="E658" t="n">
        <v>5</v>
      </c>
      <c r="F658">
        <f>Schedule!$L$1</f>
        <v/>
      </c>
      <c r="G658">
        <f>Schedule!$L$2</f>
        <v/>
      </c>
      <c r="H658">
        <f>Schedule!$L$96</f>
        <v/>
      </c>
      <c r="I658">
        <f>IF($N658=1,VALUE(LEFT($H658,2)),"")</f>
        <v/>
      </c>
      <c r="J658">
        <f>IF($N658=1,VALUE(MID($H658,9,2)),"")</f>
        <v/>
      </c>
      <c r="K658">
        <f>IF($N658=1,MOD($J658-$I658,24),0)</f>
        <v/>
      </c>
      <c r="L658">
        <f>IF($N658=1,$E658*24+$I658,"")</f>
        <v/>
      </c>
      <c r="M658">
        <f>IF($N658=1,$L658+$K658,"")</f>
        <v/>
      </c>
      <c r="N658">
        <f>IF(ISNUMBER(SEARCH(" - ",$H658&amp;"")),1,0)</f>
        <v/>
      </c>
      <c r="O658">
        <f>IF(UPPER($H658&amp;"")="LEAVE",1,0)</f>
        <v/>
      </c>
      <c r="P658">
        <f>IF($N658=1,$K658,0)</f>
        <v/>
      </c>
      <c r="Q658">
        <f>IF($N658=0,"",IFERROR($L658-LOOKUP(2,1/(($B$2:$B657=$B658)*($N$2:$N657=1)),$M$2:$M657),""))</f>
        <v/>
      </c>
    </row>
    <row r="659">
      <c r="A659" t="n">
        <v>658</v>
      </c>
      <c r="B659">
        <f>Schedule!$A$96</f>
        <v/>
      </c>
      <c r="C659">
        <f>Schedule!$D$96</f>
        <v/>
      </c>
      <c r="D659">
        <f>Schedule!$F$96</f>
        <v/>
      </c>
      <c r="E659" t="n">
        <v>6</v>
      </c>
      <c r="F659">
        <f>Schedule!$M$1</f>
        <v/>
      </c>
      <c r="G659">
        <f>Schedule!$M$2</f>
        <v/>
      </c>
      <c r="H659">
        <f>Schedule!$M$96</f>
        <v/>
      </c>
      <c r="I659">
        <f>IF($N659=1,VALUE(LEFT($H659,2)),"")</f>
        <v/>
      </c>
      <c r="J659">
        <f>IF($N659=1,VALUE(MID($H659,9,2)),"")</f>
        <v/>
      </c>
      <c r="K659">
        <f>IF($N659=1,MOD($J659-$I659,24),0)</f>
        <v/>
      </c>
      <c r="L659">
        <f>IF($N659=1,$E659*24+$I659,"")</f>
        <v/>
      </c>
      <c r="M659">
        <f>IF($N659=1,$L659+$K659,"")</f>
        <v/>
      </c>
      <c r="N659">
        <f>IF(ISNUMBER(SEARCH(" - ",$H659&amp;"")),1,0)</f>
        <v/>
      </c>
      <c r="O659">
        <f>IF(UPPER($H659&amp;"")="LEAVE",1,0)</f>
        <v/>
      </c>
      <c r="P659">
        <f>IF($N659=1,$K659,0)</f>
        <v/>
      </c>
      <c r="Q659">
        <f>IF($N659=0,"",IFERROR($L659-LOOKUP(2,1/(($B$2:$B658=$B659)*($N$2:$N658=1)),$M$2:$M658),""))</f>
        <v/>
      </c>
    </row>
    <row r="660">
      <c r="A660" t="n">
        <v>659</v>
      </c>
      <c r="B660">
        <f>Schedule!$A$97</f>
        <v/>
      </c>
      <c r="C660">
        <f>Schedule!$D$97</f>
        <v/>
      </c>
      <c r="D660">
        <f>Schedule!$F$97</f>
        <v/>
      </c>
      <c r="E660" t="n">
        <v>0</v>
      </c>
      <c r="F660">
        <f>Schedule!$G$1</f>
        <v/>
      </c>
      <c r="G660">
        <f>Schedule!$G$2</f>
        <v/>
      </c>
      <c r="H660">
        <f>Schedule!$G$97</f>
        <v/>
      </c>
      <c r="I660">
        <f>IF($N660=1,VALUE(LEFT($H660,2)),"")</f>
        <v/>
      </c>
      <c r="J660">
        <f>IF($N660=1,VALUE(MID($H660,9,2)),"")</f>
        <v/>
      </c>
      <c r="K660">
        <f>IF($N660=1,MOD($J660-$I660,24),0)</f>
        <v/>
      </c>
      <c r="L660">
        <f>IF($N660=1,$E660*24+$I660,"")</f>
        <v/>
      </c>
      <c r="M660">
        <f>IF($N660=1,$L660+$K660,"")</f>
        <v/>
      </c>
      <c r="N660">
        <f>IF(ISNUMBER(SEARCH(" - ",$H660&amp;"")),1,0)</f>
        <v/>
      </c>
      <c r="O660">
        <f>IF(UPPER($H660&amp;"")="LEAVE",1,0)</f>
        <v/>
      </c>
      <c r="P660">
        <f>IF($N660=1,$K660,0)</f>
        <v/>
      </c>
      <c r="Q660">
        <f>IF($N660=0,"",IFERROR($L660-'Previous Engine'!$M$96,""))</f>
        <v/>
      </c>
    </row>
    <row r="661">
      <c r="A661" t="n">
        <v>660</v>
      </c>
      <c r="B661">
        <f>Schedule!$A$97</f>
        <v/>
      </c>
      <c r="C661">
        <f>Schedule!$D$97</f>
        <v/>
      </c>
      <c r="D661">
        <f>Schedule!$F$97</f>
        <v/>
      </c>
      <c r="E661" t="n">
        <v>1</v>
      </c>
      <c r="F661">
        <f>Schedule!$H$1</f>
        <v/>
      </c>
      <c r="G661">
        <f>Schedule!$H$2</f>
        <v/>
      </c>
      <c r="H661">
        <f>Schedule!$H$97</f>
        <v/>
      </c>
      <c r="I661">
        <f>IF($N661=1,VALUE(LEFT($H661,2)),"")</f>
        <v/>
      </c>
      <c r="J661">
        <f>IF($N661=1,VALUE(MID($H661,9,2)),"")</f>
        <v/>
      </c>
      <c r="K661">
        <f>IF($N661=1,MOD($J661-$I661,24),0)</f>
        <v/>
      </c>
      <c r="L661">
        <f>IF($N661=1,$E661*24+$I661,"")</f>
        <v/>
      </c>
      <c r="M661">
        <f>IF($N661=1,$L661+$K661,"")</f>
        <v/>
      </c>
      <c r="N661">
        <f>IF(ISNUMBER(SEARCH(" - ",$H661&amp;"")),1,0)</f>
        <v/>
      </c>
      <c r="O661">
        <f>IF(UPPER($H661&amp;"")="LEAVE",1,0)</f>
        <v/>
      </c>
      <c r="P661">
        <f>IF($N661=1,$K661,0)</f>
        <v/>
      </c>
      <c r="Q661">
        <f>IF($N661=0,"",IFERROR($L661-LOOKUP(2,1/(($B$2:$B660=$B661)*($N$2:$N660=1)),$M$2:$M660),""))</f>
        <v/>
      </c>
    </row>
    <row r="662">
      <c r="A662" t="n">
        <v>661</v>
      </c>
      <c r="B662">
        <f>Schedule!$A$97</f>
        <v/>
      </c>
      <c r="C662">
        <f>Schedule!$D$97</f>
        <v/>
      </c>
      <c r="D662">
        <f>Schedule!$F$97</f>
        <v/>
      </c>
      <c r="E662" t="n">
        <v>2</v>
      </c>
      <c r="F662">
        <f>Schedule!$I$1</f>
        <v/>
      </c>
      <c r="G662">
        <f>Schedule!$I$2</f>
        <v/>
      </c>
      <c r="H662">
        <f>Schedule!$I$97</f>
        <v/>
      </c>
      <c r="I662">
        <f>IF($N662=1,VALUE(LEFT($H662,2)),"")</f>
        <v/>
      </c>
      <c r="J662">
        <f>IF($N662=1,VALUE(MID($H662,9,2)),"")</f>
        <v/>
      </c>
      <c r="K662">
        <f>IF($N662=1,MOD($J662-$I662,24),0)</f>
        <v/>
      </c>
      <c r="L662">
        <f>IF($N662=1,$E662*24+$I662,"")</f>
        <v/>
      </c>
      <c r="M662">
        <f>IF($N662=1,$L662+$K662,"")</f>
        <v/>
      </c>
      <c r="N662">
        <f>IF(ISNUMBER(SEARCH(" - ",$H662&amp;"")),1,0)</f>
        <v/>
      </c>
      <c r="O662">
        <f>IF(UPPER($H662&amp;"")="LEAVE",1,0)</f>
        <v/>
      </c>
      <c r="P662">
        <f>IF($N662=1,$K662,0)</f>
        <v/>
      </c>
      <c r="Q662">
        <f>IF($N662=0,"",IFERROR($L662-LOOKUP(2,1/(($B$2:$B661=$B662)*($N$2:$N661=1)),$M$2:$M661),""))</f>
        <v/>
      </c>
    </row>
    <row r="663">
      <c r="A663" t="n">
        <v>662</v>
      </c>
      <c r="B663">
        <f>Schedule!$A$97</f>
        <v/>
      </c>
      <c r="C663">
        <f>Schedule!$D$97</f>
        <v/>
      </c>
      <c r="D663">
        <f>Schedule!$F$97</f>
        <v/>
      </c>
      <c r="E663" t="n">
        <v>3</v>
      </c>
      <c r="F663">
        <f>Schedule!$J$1</f>
        <v/>
      </c>
      <c r="G663">
        <f>Schedule!$J$2</f>
        <v/>
      </c>
      <c r="H663">
        <f>Schedule!$J$97</f>
        <v/>
      </c>
      <c r="I663">
        <f>IF($N663=1,VALUE(LEFT($H663,2)),"")</f>
        <v/>
      </c>
      <c r="J663">
        <f>IF($N663=1,VALUE(MID($H663,9,2)),"")</f>
        <v/>
      </c>
      <c r="K663">
        <f>IF($N663=1,MOD($J663-$I663,24),0)</f>
        <v/>
      </c>
      <c r="L663">
        <f>IF($N663=1,$E663*24+$I663,"")</f>
        <v/>
      </c>
      <c r="M663">
        <f>IF($N663=1,$L663+$K663,"")</f>
        <v/>
      </c>
      <c r="N663">
        <f>IF(ISNUMBER(SEARCH(" - ",$H663&amp;"")),1,0)</f>
        <v/>
      </c>
      <c r="O663">
        <f>IF(UPPER($H663&amp;"")="LEAVE",1,0)</f>
        <v/>
      </c>
      <c r="P663">
        <f>IF($N663=1,$K663,0)</f>
        <v/>
      </c>
      <c r="Q663">
        <f>IF($N663=0,"",IFERROR($L663-LOOKUP(2,1/(($B$2:$B662=$B663)*($N$2:$N662=1)),$M$2:$M662),""))</f>
        <v/>
      </c>
    </row>
    <row r="664">
      <c r="A664" t="n">
        <v>663</v>
      </c>
      <c r="B664">
        <f>Schedule!$A$97</f>
        <v/>
      </c>
      <c r="C664">
        <f>Schedule!$D$97</f>
        <v/>
      </c>
      <c r="D664">
        <f>Schedule!$F$97</f>
        <v/>
      </c>
      <c r="E664" t="n">
        <v>4</v>
      </c>
      <c r="F664">
        <f>Schedule!$K$1</f>
        <v/>
      </c>
      <c r="G664">
        <f>Schedule!$K$2</f>
        <v/>
      </c>
      <c r="H664">
        <f>Schedule!$K$97</f>
        <v/>
      </c>
      <c r="I664">
        <f>IF($N664=1,VALUE(LEFT($H664,2)),"")</f>
        <v/>
      </c>
      <c r="J664">
        <f>IF($N664=1,VALUE(MID($H664,9,2)),"")</f>
        <v/>
      </c>
      <c r="K664">
        <f>IF($N664=1,MOD($J664-$I664,24),0)</f>
        <v/>
      </c>
      <c r="L664">
        <f>IF($N664=1,$E664*24+$I664,"")</f>
        <v/>
      </c>
      <c r="M664">
        <f>IF($N664=1,$L664+$K664,"")</f>
        <v/>
      </c>
      <c r="N664">
        <f>IF(ISNUMBER(SEARCH(" - ",$H664&amp;"")),1,0)</f>
        <v/>
      </c>
      <c r="O664">
        <f>IF(UPPER($H664&amp;"")="LEAVE",1,0)</f>
        <v/>
      </c>
      <c r="P664">
        <f>IF($N664=1,$K664,0)</f>
        <v/>
      </c>
      <c r="Q664">
        <f>IF($N664=0,"",IFERROR($L664-LOOKUP(2,1/(($B$2:$B663=$B664)*($N$2:$N663=1)),$M$2:$M663),""))</f>
        <v/>
      </c>
    </row>
    <row r="665">
      <c r="A665" t="n">
        <v>664</v>
      </c>
      <c r="B665">
        <f>Schedule!$A$97</f>
        <v/>
      </c>
      <c r="C665">
        <f>Schedule!$D$97</f>
        <v/>
      </c>
      <c r="D665">
        <f>Schedule!$F$97</f>
        <v/>
      </c>
      <c r="E665" t="n">
        <v>5</v>
      </c>
      <c r="F665">
        <f>Schedule!$L$1</f>
        <v/>
      </c>
      <c r="G665">
        <f>Schedule!$L$2</f>
        <v/>
      </c>
      <c r="H665">
        <f>Schedule!$L$97</f>
        <v/>
      </c>
      <c r="I665">
        <f>IF($N665=1,VALUE(LEFT($H665,2)),"")</f>
        <v/>
      </c>
      <c r="J665">
        <f>IF($N665=1,VALUE(MID($H665,9,2)),"")</f>
        <v/>
      </c>
      <c r="K665">
        <f>IF($N665=1,MOD($J665-$I665,24),0)</f>
        <v/>
      </c>
      <c r="L665">
        <f>IF($N665=1,$E665*24+$I665,"")</f>
        <v/>
      </c>
      <c r="M665">
        <f>IF($N665=1,$L665+$K665,"")</f>
        <v/>
      </c>
      <c r="N665">
        <f>IF(ISNUMBER(SEARCH(" - ",$H665&amp;"")),1,0)</f>
        <v/>
      </c>
      <c r="O665">
        <f>IF(UPPER($H665&amp;"")="LEAVE",1,0)</f>
        <v/>
      </c>
      <c r="P665">
        <f>IF($N665=1,$K665,0)</f>
        <v/>
      </c>
      <c r="Q665">
        <f>IF($N665=0,"",IFERROR($L665-LOOKUP(2,1/(($B$2:$B664=$B665)*($N$2:$N664=1)),$M$2:$M664),""))</f>
        <v/>
      </c>
    </row>
    <row r="666">
      <c r="A666" t="n">
        <v>665</v>
      </c>
      <c r="B666">
        <f>Schedule!$A$97</f>
        <v/>
      </c>
      <c r="C666">
        <f>Schedule!$D$97</f>
        <v/>
      </c>
      <c r="D666">
        <f>Schedule!$F$97</f>
        <v/>
      </c>
      <c r="E666" t="n">
        <v>6</v>
      </c>
      <c r="F666">
        <f>Schedule!$M$1</f>
        <v/>
      </c>
      <c r="G666">
        <f>Schedule!$M$2</f>
        <v/>
      </c>
      <c r="H666">
        <f>Schedule!$M$97</f>
        <v/>
      </c>
      <c r="I666">
        <f>IF($N666=1,VALUE(LEFT($H666,2)),"")</f>
        <v/>
      </c>
      <c r="J666">
        <f>IF($N666=1,VALUE(MID($H666,9,2)),"")</f>
        <v/>
      </c>
      <c r="K666">
        <f>IF($N666=1,MOD($J666-$I666,24),0)</f>
        <v/>
      </c>
      <c r="L666">
        <f>IF($N666=1,$E666*24+$I666,"")</f>
        <v/>
      </c>
      <c r="M666">
        <f>IF($N666=1,$L666+$K666,"")</f>
        <v/>
      </c>
      <c r="N666">
        <f>IF(ISNUMBER(SEARCH(" - ",$H666&amp;"")),1,0)</f>
        <v/>
      </c>
      <c r="O666">
        <f>IF(UPPER($H666&amp;"")="LEAVE",1,0)</f>
        <v/>
      </c>
      <c r="P666">
        <f>IF($N666=1,$K666,0)</f>
        <v/>
      </c>
      <c r="Q666">
        <f>IF($N666=0,"",IFERROR($L666-LOOKUP(2,1/(($B$2:$B665=$B666)*($N$2:$N665=1)),$M$2:$M665),""))</f>
        <v/>
      </c>
    </row>
    <row r="667">
      <c r="A667" t="n">
        <v>666</v>
      </c>
      <c r="B667">
        <f>Schedule!$A$98</f>
        <v/>
      </c>
      <c r="C667">
        <f>Schedule!$D$98</f>
        <v/>
      </c>
      <c r="D667">
        <f>Schedule!$F$98</f>
        <v/>
      </c>
      <c r="E667" t="n">
        <v>0</v>
      </c>
      <c r="F667">
        <f>Schedule!$G$1</f>
        <v/>
      </c>
      <c r="G667">
        <f>Schedule!$G$2</f>
        <v/>
      </c>
      <c r="H667">
        <f>Schedule!$G$98</f>
        <v/>
      </c>
      <c r="I667">
        <f>IF($N667=1,VALUE(LEFT($H667,2)),"")</f>
        <v/>
      </c>
      <c r="J667">
        <f>IF($N667=1,VALUE(MID($H667,9,2)),"")</f>
        <v/>
      </c>
      <c r="K667">
        <f>IF($N667=1,MOD($J667-$I667,24),0)</f>
        <v/>
      </c>
      <c r="L667">
        <f>IF($N667=1,$E667*24+$I667,"")</f>
        <v/>
      </c>
      <c r="M667">
        <f>IF($N667=1,$L667+$K667,"")</f>
        <v/>
      </c>
      <c r="N667">
        <f>IF(ISNUMBER(SEARCH(" - ",$H667&amp;"")),1,0)</f>
        <v/>
      </c>
      <c r="O667">
        <f>IF(UPPER($H667&amp;"")="LEAVE",1,0)</f>
        <v/>
      </c>
      <c r="P667">
        <f>IF($N667=1,$K667,0)</f>
        <v/>
      </c>
      <c r="Q667">
        <f>IF($N667=0,"",IFERROR($L667-'Previous Engine'!$M$97,""))</f>
        <v/>
      </c>
    </row>
    <row r="668">
      <c r="A668" t="n">
        <v>667</v>
      </c>
      <c r="B668">
        <f>Schedule!$A$98</f>
        <v/>
      </c>
      <c r="C668">
        <f>Schedule!$D$98</f>
        <v/>
      </c>
      <c r="D668">
        <f>Schedule!$F$98</f>
        <v/>
      </c>
      <c r="E668" t="n">
        <v>1</v>
      </c>
      <c r="F668">
        <f>Schedule!$H$1</f>
        <v/>
      </c>
      <c r="G668">
        <f>Schedule!$H$2</f>
        <v/>
      </c>
      <c r="H668">
        <f>Schedule!$H$98</f>
        <v/>
      </c>
      <c r="I668">
        <f>IF($N668=1,VALUE(LEFT($H668,2)),"")</f>
        <v/>
      </c>
      <c r="J668">
        <f>IF($N668=1,VALUE(MID($H668,9,2)),"")</f>
        <v/>
      </c>
      <c r="K668">
        <f>IF($N668=1,MOD($J668-$I668,24),0)</f>
        <v/>
      </c>
      <c r="L668">
        <f>IF($N668=1,$E668*24+$I668,"")</f>
        <v/>
      </c>
      <c r="M668">
        <f>IF($N668=1,$L668+$K668,"")</f>
        <v/>
      </c>
      <c r="N668">
        <f>IF(ISNUMBER(SEARCH(" - ",$H668&amp;"")),1,0)</f>
        <v/>
      </c>
      <c r="O668">
        <f>IF(UPPER($H668&amp;"")="LEAVE",1,0)</f>
        <v/>
      </c>
      <c r="P668">
        <f>IF($N668=1,$K668,0)</f>
        <v/>
      </c>
      <c r="Q668">
        <f>IF($N668=0,"",IFERROR($L668-LOOKUP(2,1/(($B$2:$B667=$B668)*($N$2:$N667=1)),$M$2:$M667),""))</f>
        <v/>
      </c>
    </row>
    <row r="669">
      <c r="A669" t="n">
        <v>668</v>
      </c>
      <c r="B669">
        <f>Schedule!$A$98</f>
        <v/>
      </c>
      <c r="C669">
        <f>Schedule!$D$98</f>
        <v/>
      </c>
      <c r="D669">
        <f>Schedule!$F$98</f>
        <v/>
      </c>
      <c r="E669" t="n">
        <v>2</v>
      </c>
      <c r="F669">
        <f>Schedule!$I$1</f>
        <v/>
      </c>
      <c r="G669">
        <f>Schedule!$I$2</f>
        <v/>
      </c>
      <c r="H669">
        <f>Schedule!$I$98</f>
        <v/>
      </c>
      <c r="I669">
        <f>IF($N669=1,VALUE(LEFT($H669,2)),"")</f>
        <v/>
      </c>
      <c r="J669">
        <f>IF($N669=1,VALUE(MID($H669,9,2)),"")</f>
        <v/>
      </c>
      <c r="K669">
        <f>IF($N669=1,MOD($J669-$I669,24),0)</f>
        <v/>
      </c>
      <c r="L669">
        <f>IF($N669=1,$E669*24+$I669,"")</f>
        <v/>
      </c>
      <c r="M669">
        <f>IF($N669=1,$L669+$K669,"")</f>
        <v/>
      </c>
      <c r="N669">
        <f>IF(ISNUMBER(SEARCH(" - ",$H669&amp;"")),1,0)</f>
        <v/>
      </c>
      <c r="O669">
        <f>IF(UPPER($H669&amp;"")="LEAVE",1,0)</f>
        <v/>
      </c>
      <c r="P669">
        <f>IF($N669=1,$K669,0)</f>
        <v/>
      </c>
      <c r="Q669">
        <f>IF($N669=0,"",IFERROR($L669-LOOKUP(2,1/(($B$2:$B668=$B669)*($N$2:$N668=1)),$M$2:$M668),""))</f>
        <v/>
      </c>
    </row>
    <row r="670">
      <c r="A670" t="n">
        <v>669</v>
      </c>
      <c r="B670">
        <f>Schedule!$A$98</f>
        <v/>
      </c>
      <c r="C670">
        <f>Schedule!$D$98</f>
        <v/>
      </c>
      <c r="D670">
        <f>Schedule!$F$98</f>
        <v/>
      </c>
      <c r="E670" t="n">
        <v>3</v>
      </c>
      <c r="F670">
        <f>Schedule!$J$1</f>
        <v/>
      </c>
      <c r="G670">
        <f>Schedule!$J$2</f>
        <v/>
      </c>
      <c r="H670">
        <f>Schedule!$J$98</f>
        <v/>
      </c>
      <c r="I670">
        <f>IF($N670=1,VALUE(LEFT($H670,2)),"")</f>
        <v/>
      </c>
      <c r="J670">
        <f>IF($N670=1,VALUE(MID($H670,9,2)),"")</f>
        <v/>
      </c>
      <c r="K670">
        <f>IF($N670=1,MOD($J670-$I670,24),0)</f>
        <v/>
      </c>
      <c r="L670">
        <f>IF($N670=1,$E670*24+$I670,"")</f>
        <v/>
      </c>
      <c r="M670">
        <f>IF($N670=1,$L670+$K670,"")</f>
        <v/>
      </c>
      <c r="N670">
        <f>IF(ISNUMBER(SEARCH(" - ",$H670&amp;"")),1,0)</f>
        <v/>
      </c>
      <c r="O670">
        <f>IF(UPPER($H670&amp;"")="LEAVE",1,0)</f>
        <v/>
      </c>
      <c r="P670">
        <f>IF($N670=1,$K670,0)</f>
        <v/>
      </c>
      <c r="Q670">
        <f>IF($N670=0,"",IFERROR($L670-LOOKUP(2,1/(($B$2:$B669=$B670)*($N$2:$N669=1)),$M$2:$M669),""))</f>
        <v/>
      </c>
    </row>
    <row r="671">
      <c r="A671" t="n">
        <v>670</v>
      </c>
      <c r="B671">
        <f>Schedule!$A$98</f>
        <v/>
      </c>
      <c r="C671">
        <f>Schedule!$D$98</f>
        <v/>
      </c>
      <c r="D671">
        <f>Schedule!$F$98</f>
        <v/>
      </c>
      <c r="E671" t="n">
        <v>4</v>
      </c>
      <c r="F671">
        <f>Schedule!$K$1</f>
        <v/>
      </c>
      <c r="G671">
        <f>Schedule!$K$2</f>
        <v/>
      </c>
      <c r="H671">
        <f>Schedule!$K$98</f>
        <v/>
      </c>
      <c r="I671">
        <f>IF($N671=1,VALUE(LEFT($H671,2)),"")</f>
        <v/>
      </c>
      <c r="J671">
        <f>IF($N671=1,VALUE(MID($H671,9,2)),"")</f>
        <v/>
      </c>
      <c r="K671">
        <f>IF($N671=1,MOD($J671-$I671,24),0)</f>
        <v/>
      </c>
      <c r="L671">
        <f>IF($N671=1,$E671*24+$I671,"")</f>
        <v/>
      </c>
      <c r="M671">
        <f>IF($N671=1,$L671+$K671,"")</f>
        <v/>
      </c>
      <c r="N671">
        <f>IF(ISNUMBER(SEARCH(" - ",$H671&amp;"")),1,0)</f>
        <v/>
      </c>
      <c r="O671">
        <f>IF(UPPER($H671&amp;"")="LEAVE",1,0)</f>
        <v/>
      </c>
      <c r="P671">
        <f>IF($N671=1,$K671,0)</f>
        <v/>
      </c>
      <c r="Q671">
        <f>IF($N671=0,"",IFERROR($L671-LOOKUP(2,1/(($B$2:$B670=$B671)*($N$2:$N670=1)),$M$2:$M670),""))</f>
        <v/>
      </c>
    </row>
    <row r="672">
      <c r="A672" t="n">
        <v>671</v>
      </c>
      <c r="B672">
        <f>Schedule!$A$98</f>
        <v/>
      </c>
      <c r="C672">
        <f>Schedule!$D$98</f>
        <v/>
      </c>
      <c r="D672">
        <f>Schedule!$F$98</f>
        <v/>
      </c>
      <c r="E672" t="n">
        <v>5</v>
      </c>
      <c r="F672">
        <f>Schedule!$L$1</f>
        <v/>
      </c>
      <c r="G672">
        <f>Schedule!$L$2</f>
        <v/>
      </c>
      <c r="H672">
        <f>Schedule!$L$98</f>
        <v/>
      </c>
      <c r="I672">
        <f>IF($N672=1,VALUE(LEFT($H672,2)),"")</f>
        <v/>
      </c>
      <c r="J672">
        <f>IF($N672=1,VALUE(MID($H672,9,2)),"")</f>
        <v/>
      </c>
      <c r="K672">
        <f>IF($N672=1,MOD($J672-$I672,24),0)</f>
        <v/>
      </c>
      <c r="L672">
        <f>IF($N672=1,$E672*24+$I672,"")</f>
        <v/>
      </c>
      <c r="M672">
        <f>IF($N672=1,$L672+$K672,"")</f>
        <v/>
      </c>
      <c r="N672">
        <f>IF(ISNUMBER(SEARCH(" - ",$H672&amp;"")),1,0)</f>
        <v/>
      </c>
      <c r="O672">
        <f>IF(UPPER($H672&amp;"")="LEAVE",1,0)</f>
        <v/>
      </c>
      <c r="P672">
        <f>IF($N672=1,$K672,0)</f>
        <v/>
      </c>
      <c r="Q672">
        <f>IF($N672=0,"",IFERROR($L672-LOOKUP(2,1/(($B$2:$B671=$B672)*($N$2:$N671=1)),$M$2:$M671),""))</f>
        <v/>
      </c>
    </row>
    <row r="673">
      <c r="A673" t="n">
        <v>672</v>
      </c>
      <c r="B673">
        <f>Schedule!$A$98</f>
        <v/>
      </c>
      <c r="C673">
        <f>Schedule!$D$98</f>
        <v/>
      </c>
      <c r="D673">
        <f>Schedule!$F$98</f>
        <v/>
      </c>
      <c r="E673" t="n">
        <v>6</v>
      </c>
      <c r="F673">
        <f>Schedule!$M$1</f>
        <v/>
      </c>
      <c r="G673">
        <f>Schedule!$M$2</f>
        <v/>
      </c>
      <c r="H673">
        <f>Schedule!$M$98</f>
        <v/>
      </c>
      <c r="I673">
        <f>IF($N673=1,VALUE(LEFT($H673,2)),"")</f>
        <v/>
      </c>
      <c r="J673">
        <f>IF($N673=1,VALUE(MID($H673,9,2)),"")</f>
        <v/>
      </c>
      <c r="K673">
        <f>IF($N673=1,MOD($J673-$I673,24),0)</f>
        <v/>
      </c>
      <c r="L673">
        <f>IF($N673=1,$E673*24+$I673,"")</f>
        <v/>
      </c>
      <c r="M673">
        <f>IF($N673=1,$L673+$K673,"")</f>
        <v/>
      </c>
      <c r="N673">
        <f>IF(ISNUMBER(SEARCH(" - ",$H673&amp;"")),1,0)</f>
        <v/>
      </c>
      <c r="O673">
        <f>IF(UPPER($H673&amp;"")="LEAVE",1,0)</f>
        <v/>
      </c>
      <c r="P673">
        <f>IF($N673=1,$K673,0)</f>
        <v/>
      </c>
      <c r="Q673">
        <f>IF($N673=0,"",IFERROR($L673-LOOKUP(2,1/(($B$2:$B672=$B673)*($N$2:$N672=1)),$M$2:$M672),""))</f>
        <v/>
      </c>
    </row>
    <row r="674">
      <c r="A674" t="n">
        <v>673</v>
      </c>
      <c r="B674">
        <f>Schedule!$A$99</f>
        <v/>
      </c>
      <c r="C674">
        <f>Schedule!$D$99</f>
        <v/>
      </c>
      <c r="D674">
        <f>Schedule!$F$99</f>
        <v/>
      </c>
      <c r="E674" t="n">
        <v>0</v>
      </c>
      <c r="F674">
        <f>Schedule!$G$1</f>
        <v/>
      </c>
      <c r="G674">
        <f>Schedule!$G$2</f>
        <v/>
      </c>
      <c r="H674">
        <f>Schedule!$G$99</f>
        <v/>
      </c>
      <c r="I674">
        <f>IF($N674=1,VALUE(LEFT($H674,2)),"")</f>
        <v/>
      </c>
      <c r="J674">
        <f>IF($N674=1,VALUE(MID($H674,9,2)),"")</f>
        <v/>
      </c>
      <c r="K674">
        <f>IF($N674=1,MOD($J674-$I674,24),0)</f>
        <v/>
      </c>
      <c r="L674">
        <f>IF($N674=1,$E674*24+$I674,"")</f>
        <v/>
      </c>
      <c r="M674">
        <f>IF($N674=1,$L674+$K674,"")</f>
        <v/>
      </c>
      <c r="N674">
        <f>IF(ISNUMBER(SEARCH(" - ",$H674&amp;"")),1,0)</f>
        <v/>
      </c>
      <c r="O674">
        <f>IF(UPPER($H674&amp;"")="LEAVE",1,0)</f>
        <v/>
      </c>
      <c r="P674">
        <f>IF($N674=1,$K674,0)</f>
        <v/>
      </c>
      <c r="Q674">
        <f>IF($N674=0,"",IFERROR($L674-'Previous Engine'!$M$98,""))</f>
        <v/>
      </c>
    </row>
    <row r="675">
      <c r="A675" t="n">
        <v>674</v>
      </c>
      <c r="B675">
        <f>Schedule!$A$99</f>
        <v/>
      </c>
      <c r="C675">
        <f>Schedule!$D$99</f>
        <v/>
      </c>
      <c r="D675">
        <f>Schedule!$F$99</f>
        <v/>
      </c>
      <c r="E675" t="n">
        <v>1</v>
      </c>
      <c r="F675">
        <f>Schedule!$H$1</f>
        <v/>
      </c>
      <c r="G675">
        <f>Schedule!$H$2</f>
        <v/>
      </c>
      <c r="H675">
        <f>Schedule!$H$99</f>
        <v/>
      </c>
      <c r="I675">
        <f>IF($N675=1,VALUE(LEFT($H675,2)),"")</f>
        <v/>
      </c>
      <c r="J675">
        <f>IF($N675=1,VALUE(MID($H675,9,2)),"")</f>
        <v/>
      </c>
      <c r="K675">
        <f>IF($N675=1,MOD($J675-$I675,24),0)</f>
        <v/>
      </c>
      <c r="L675">
        <f>IF($N675=1,$E675*24+$I675,"")</f>
        <v/>
      </c>
      <c r="M675">
        <f>IF($N675=1,$L675+$K675,"")</f>
        <v/>
      </c>
      <c r="N675">
        <f>IF(ISNUMBER(SEARCH(" - ",$H675&amp;"")),1,0)</f>
        <v/>
      </c>
      <c r="O675">
        <f>IF(UPPER($H675&amp;"")="LEAVE",1,0)</f>
        <v/>
      </c>
      <c r="P675">
        <f>IF($N675=1,$K675,0)</f>
        <v/>
      </c>
      <c r="Q675">
        <f>IF($N675=0,"",IFERROR($L675-LOOKUP(2,1/(($B$2:$B674=$B675)*($N$2:$N674=1)),$M$2:$M674),""))</f>
        <v/>
      </c>
    </row>
    <row r="676">
      <c r="A676" t="n">
        <v>675</v>
      </c>
      <c r="B676">
        <f>Schedule!$A$99</f>
        <v/>
      </c>
      <c r="C676">
        <f>Schedule!$D$99</f>
        <v/>
      </c>
      <c r="D676">
        <f>Schedule!$F$99</f>
        <v/>
      </c>
      <c r="E676" t="n">
        <v>2</v>
      </c>
      <c r="F676">
        <f>Schedule!$I$1</f>
        <v/>
      </c>
      <c r="G676">
        <f>Schedule!$I$2</f>
        <v/>
      </c>
      <c r="H676">
        <f>Schedule!$I$99</f>
        <v/>
      </c>
      <c r="I676">
        <f>IF($N676=1,VALUE(LEFT($H676,2)),"")</f>
        <v/>
      </c>
      <c r="J676">
        <f>IF($N676=1,VALUE(MID($H676,9,2)),"")</f>
        <v/>
      </c>
      <c r="K676">
        <f>IF($N676=1,MOD($J676-$I676,24),0)</f>
        <v/>
      </c>
      <c r="L676">
        <f>IF($N676=1,$E676*24+$I676,"")</f>
        <v/>
      </c>
      <c r="M676">
        <f>IF($N676=1,$L676+$K676,"")</f>
        <v/>
      </c>
      <c r="N676">
        <f>IF(ISNUMBER(SEARCH(" - ",$H676&amp;"")),1,0)</f>
        <v/>
      </c>
      <c r="O676">
        <f>IF(UPPER($H676&amp;"")="LEAVE",1,0)</f>
        <v/>
      </c>
      <c r="P676">
        <f>IF($N676=1,$K676,0)</f>
        <v/>
      </c>
      <c r="Q676">
        <f>IF($N676=0,"",IFERROR($L676-LOOKUP(2,1/(($B$2:$B675=$B676)*($N$2:$N675=1)),$M$2:$M675),""))</f>
        <v/>
      </c>
    </row>
    <row r="677">
      <c r="A677" t="n">
        <v>676</v>
      </c>
      <c r="B677">
        <f>Schedule!$A$99</f>
        <v/>
      </c>
      <c r="C677">
        <f>Schedule!$D$99</f>
        <v/>
      </c>
      <c r="D677">
        <f>Schedule!$F$99</f>
        <v/>
      </c>
      <c r="E677" t="n">
        <v>3</v>
      </c>
      <c r="F677">
        <f>Schedule!$J$1</f>
        <v/>
      </c>
      <c r="G677">
        <f>Schedule!$J$2</f>
        <v/>
      </c>
      <c r="H677">
        <f>Schedule!$J$99</f>
        <v/>
      </c>
      <c r="I677">
        <f>IF($N677=1,VALUE(LEFT($H677,2)),"")</f>
        <v/>
      </c>
      <c r="J677">
        <f>IF($N677=1,VALUE(MID($H677,9,2)),"")</f>
        <v/>
      </c>
      <c r="K677">
        <f>IF($N677=1,MOD($J677-$I677,24),0)</f>
        <v/>
      </c>
      <c r="L677">
        <f>IF($N677=1,$E677*24+$I677,"")</f>
        <v/>
      </c>
      <c r="M677">
        <f>IF($N677=1,$L677+$K677,"")</f>
        <v/>
      </c>
      <c r="N677">
        <f>IF(ISNUMBER(SEARCH(" - ",$H677&amp;"")),1,0)</f>
        <v/>
      </c>
      <c r="O677">
        <f>IF(UPPER($H677&amp;"")="LEAVE",1,0)</f>
        <v/>
      </c>
      <c r="P677">
        <f>IF($N677=1,$K677,0)</f>
        <v/>
      </c>
      <c r="Q677">
        <f>IF($N677=0,"",IFERROR($L677-LOOKUP(2,1/(($B$2:$B676=$B677)*($N$2:$N676=1)),$M$2:$M676),""))</f>
        <v/>
      </c>
    </row>
    <row r="678">
      <c r="A678" t="n">
        <v>677</v>
      </c>
      <c r="B678">
        <f>Schedule!$A$99</f>
        <v/>
      </c>
      <c r="C678">
        <f>Schedule!$D$99</f>
        <v/>
      </c>
      <c r="D678">
        <f>Schedule!$F$99</f>
        <v/>
      </c>
      <c r="E678" t="n">
        <v>4</v>
      </c>
      <c r="F678">
        <f>Schedule!$K$1</f>
        <v/>
      </c>
      <c r="G678">
        <f>Schedule!$K$2</f>
        <v/>
      </c>
      <c r="H678">
        <f>Schedule!$K$99</f>
        <v/>
      </c>
      <c r="I678">
        <f>IF($N678=1,VALUE(LEFT($H678,2)),"")</f>
        <v/>
      </c>
      <c r="J678">
        <f>IF($N678=1,VALUE(MID($H678,9,2)),"")</f>
        <v/>
      </c>
      <c r="K678">
        <f>IF($N678=1,MOD($J678-$I678,24),0)</f>
        <v/>
      </c>
      <c r="L678">
        <f>IF($N678=1,$E678*24+$I678,"")</f>
        <v/>
      </c>
      <c r="M678">
        <f>IF($N678=1,$L678+$K678,"")</f>
        <v/>
      </c>
      <c r="N678">
        <f>IF(ISNUMBER(SEARCH(" - ",$H678&amp;"")),1,0)</f>
        <v/>
      </c>
      <c r="O678">
        <f>IF(UPPER($H678&amp;"")="LEAVE",1,0)</f>
        <v/>
      </c>
      <c r="P678">
        <f>IF($N678=1,$K678,0)</f>
        <v/>
      </c>
      <c r="Q678">
        <f>IF($N678=0,"",IFERROR($L678-LOOKUP(2,1/(($B$2:$B677=$B678)*($N$2:$N677=1)),$M$2:$M677),""))</f>
        <v/>
      </c>
    </row>
    <row r="679">
      <c r="A679" t="n">
        <v>678</v>
      </c>
      <c r="B679">
        <f>Schedule!$A$99</f>
        <v/>
      </c>
      <c r="C679">
        <f>Schedule!$D$99</f>
        <v/>
      </c>
      <c r="D679">
        <f>Schedule!$F$99</f>
        <v/>
      </c>
      <c r="E679" t="n">
        <v>5</v>
      </c>
      <c r="F679">
        <f>Schedule!$L$1</f>
        <v/>
      </c>
      <c r="G679">
        <f>Schedule!$L$2</f>
        <v/>
      </c>
      <c r="H679">
        <f>Schedule!$L$99</f>
        <v/>
      </c>
      <c r="I679">
        <f>IF($N679=1,VALUE(LEFT($H679,2)),"")</f>
        <v/>
      </c>
      <c r="J679">
        <f>IF($N679=1,VALUE(MID($H679,9,2)),"")</f>
        <v/>
      </c>
      <c r="K679">
        <f>IF($N679=1,MOD($J679-$I679,24),0)</f>
        <v/>
      </c>
      <c r="L679">
        <f>IF($N679=1,$E679*24+$I679,"")</f>
        <v/>
      </c>
      <c r="M679">
        <f>IF($N679=1,$L679+$K679,"")</f>
        <v/>
      </c>
      <c r="N679">
        <f>IF(ISNUMBER(SEARCH(" - ",$H679&amp;"")),1,0)</f>
        <v/>
      </c>
      <c r="O679">
        <f>IF(UPPER($H679&amp;"")="LEAVE",1,0)</f>
        <v/>
      </c>
      <c r="P679">
        <f>IF($N679=1,$K679,0)</f>
        <v/>
      </c>
      <c r="Q679">
        <f>IF($N679=0,"",IFERROR($L679-LOOKUP(2,1/(($B$2:$B678=$B679)*($N$2:$N678=1)),$M$2:$M678),""))</f>
        <v/>
      </c>
    </row>
    <row r="680">
      <c r="A680" t="n">
        <v>679</v>
      </c>
      <c r="B680">
        <f>Schedule!$A$99</f>
        <v/>
      </c>
      <c r="C680">
        <f>Schedule!$D$99</f>
        <v/>
      </c>
      <c r="D680">
        <f>Schedule!$F$99</f>
        <v/>
      </c>
      <c r="E680" t="n">
        <v>6</v>
      </c>
      <c r="F680">
        <f>Schedule!$M$1</f>
        <v/>
      </c>
      <c r="G680">
        <f>Schedule!$M$2</f>
        <v/>
      </c>
      <c r="H680">
        <f>Schedule!$M$99</f>
        <v/>
      </c>
      <c r="I680">
        <f>IF($N680=1,VALUE(LEFT($H680,2)),"")</f>
        <v/>
      </c>
      <c r="J680">
        <f>IF($N680=1,VALUE(MID($H680,9,2)),"")</f>
        <v/>
      </c>
      <c r="K680">
        <f>IF($N680=1,MOD($J680-$I680,24),0)</f>
        <v/>
      </c>
      <c r="L680">
        <f>IF($N680=1,$E680*24+$I680,"")</f>
        <v/>
      </c>
      <c r="M680">
        <f>IF($N680=1,$L680+$K680,"")</f>
        <v/>
      </c>
      <c r="N680">
        <f>IF(ISNUMBER(SEARCH(" - ",$H680&amp;"")),1,0)</f>
        <v/>
      </c>
      <c r="O680">
        <f>IF(UPPER($H680&amp;"")="LEAVE",1,0)</f>
        <v/>
      </c>
      <c r="P680">
        <f>IF($N680=1,$K680,0)</f>
        <v/>
      </c>
      <c r="Q680">
        <f>IF($N680=0,"",IFERROR($L680-LOOKUP(2,1/(($B$2:$B679=$B680)*($N$2:$N679=1)),$M$2:$M679),""))</f>
        <v/>
      </c>
    </row>
    <row r="681">
      <c r="A681" t="n">
        <v>680</v>
      </c>
      <c r="B681">
        <f>Schedule!$A$100</f>
        <v/>
      </c>
      <c r="C681">
        <f>Schedule!$D$100</f>
        <v/>
      </c>
      <c r="D681">
        <f>Schedule!$F$100</f>
        <v/>
      </c>
      <c r="E681" t="n">
        <v>0</v>
      </c>
      <c r="F681">
        <f>Schedule!$G$1</f>
        <v/>
      </c>
      <c r="G681">
        <f>Schedule!$G$2</f>
        <v/>
      </c>
      <c r="H681">
        <f>Schedule!$G$100</f>
        <v/>
      </c>
      <c r="I681">
        <f>IF($N681=1,VALUE(LEFT($H681,2)),"")</f>
        <v/>
      </c>
      <c r="J681">
        <f>IF($N681=1,VALUE(MID($H681,9,2)),"")</f>
        <v/>
      </c>
      <c r="K681">
        <f>IF($N681=1,MOD($J681-$I681,24),0)</f>
        <v/>
      </c>
      <c r="L681">
        <f>IF($N681=1,$E681*24+$I681,"")</f>
        <v/>
      </c>
      <c r="M681">
        <f>IF($N681=1,$L681+$K681,"")</f>
        <v/>
      </c>
      <c r="N681">
        <f>IF(ISNUMBER(SEARCH(" - ",$H681&amp;"")),1,0)</f>
        <v/>
      </c>
      <c r="O681">
        <f>IF(UPPER($H681&amp;"")="LEAVE",1,0)</f>
        <v/>
      </c>
      <c r="P681">
        <f>IF($N681=1,$K681,0)</f>
        <v/>
      </c>
      <c r="Q681">
        <f>IF($N681=0,"",IFERROR($L681-'Previous Engine'!$M$99,""))</f>
        <v/>
      </c>
    </row>
    <row r="682">
      <c r="A682" t="n">
        <v>681</v>
      </c>
      <c r="B682">
        <f>Schedule!$A$100</f>
        <v/>
      </c>
      <c r="C682">
        <f>Schedule!$D$100</f>
        <v/>
      </c>
      <c r="D682">
        <f>Schedule!$F$100</f>
        <v/>
      </c>
      <c r="E682" t="n">
        <v>1</v>
      </c>
      <c r="F682">
        <f>Schedule!$H$1</f>
        <v/>
      </c>
      <c r="G682">
        <f>Schedule!$H$2</f>
        <v/>
      </c>
      <c r="H682">
        <f>Schedule!$H$100</f>
        <v/>
      </c>
      <c r="I682">
        <f>IF($N682=1,VALUE(LEFT($H682,2)),"")</f>
        <v/>
      </c>
      <c r="J682">
        <f>IF($N682=1,VALUE(MID($H682,9,2)),"")</f>
        <v/>
      </c>
      <c r="K682">
        <f>IF($N682=1,MOD($J682-$I682,24),0)</f>
        <v/>
      </c>
      <c r="L682">
        <f>IF($N682=1,$E682*24+$I682,"")</f>
        <v/>
      </c>
      <c r="M682">
        <f>IF($N682=1,$L682+$K682,"")</f>
        <v/>
      </c>
      <c r="N682">
        <f>IF(ISNUMBER(SEARCH(" - ",$H682&amp;"")),1,0)</f>
        <v/>
      </c>
      <c r="O682">
        <f>IF(UPPER($H682&amp;"")="LEAVE",1,0)</f>
        <v/>
      </c>
      <c r="P682">
        <f>IF($N682=1,$K682,0)</f>
        <v/>
      </c>
      <c r="Q682">
        <f>IF($N682=0,"",IFERROR($L682-LOOKUP(2,1/(($B$2:$B681=$B682)*($N$2:$N681=1)),$M$2:$M681),""))</f>
        <v/>
      </c>
    </row>
    <row r="683">
      <c r="A683" t="n">
        <v>682</v>
      </c>
      <c r="B683">
        <f>Schedule!$A$100</f>
        <v/>
      </c>
      <c r="C683">
        <f>Schedule!$D$100</f>
        <v/>
      </c>
      <c r="D683">
        <f>Schedule!$F$100</f>
        <v/>
      </c>
      <c r="E683" t="n">
        <v>2</v>
      </c>
      <c r="F683">
        <f>Schedule!$I$1</f>
        <v/>
      </c>
      <c r="G683">
        <f>Schedule!$I$2</f>
        <v/>
      </c>
      <c r="H683">
        <f>Schedule!$I$100</f>
        <v/>
      </c>
      <c r="I683">
        <f>IF($N683=1,VALUE(LEFT($H683,2)),"")</f>
        <v/>
      </c>
      <c r="J683">
        <f>IF($N683=1,VALUE(MID($H683,9,2)),"")</f>
        <v/>
      </c>
      <c r="K683">
        <f>IF($N683=1,MOD($J683-$I683,24),0)</f>
        <v/>
      </c>
      <c r="L683">
        <f>IF($N683=1,$E683*24+$I683,"")</f>
        <v/>
      </c>
      <c r="M683">
        <f>IF($N683=1,$L683+$K683,"")</f>
        <v/>
      </c>
      <c r="N683">
        <f>IF(ISNUMBER(SEARCH(" - ",$H683&amp;"")),1,0)</f>
        <v/>
      </c>
      <c r="O683">
        <f>IF(UPPER($H683&amp;"")="LEAVE",1,0)</f>
        <v/>
      </c>
      <c r="P683">
        <f>IF($N683=1,$K683,0)</f>
        <v/>
      </c>
      <c r="Q683">
        <f>IF($N683=0,"",IFERROR($L683-LOOKUP(2,1/(($B$2:$B682=$B683)*($N$2:$N682=1)),$M$2:$M682),""))</f>
        <v/>
      </c>
    </row>
    <row r="684">
      <c r="A684" t="n">
        <v>683</v>
      </c>
      <c r="B684">
        <f>Schedule!$A$100</f>
        <v/>
      </c>
      <c r="C684">
        <f>Schedule!$D$100</f>
        <v/>
      </c>
      <c r="D684">
        <f>Schedule!$F$100</f>
        <v/>
      </c>
      <c r="E684" t="n">
        <v>3</v>
      </c>
      <c r="F684">
        <f>Schedule!$J$1</f>
        <v/>
      </c>
      <c r="G684">
        <f>Schedule!$J$2</f>
        <v/>
      </c>
      <c r="H684">
        <f>Schedule!$J$100</f>
        <v/>
      </c>
      <c r="I684">
        <f>IF($N684=1,VALUE(LEFT($H684,2)),"")</f>
        <v/>
      </c>
      <c r="J684">
        <f>IF($N684=1,VALUE(MID($H684,9,2)),"")</f>
        <v/>
      </c>
      <c r="K684">
        <f>IF($N684=1,MOD($J684-$I684,24),0)</f>
        <v/>
      </c>
      <c r="L684">
        <f>IF($N684=1,$E684*24+$I684,"")</f>
        <v/>
      </c>
      <c r="M684">
        <f>IF($N684=1,$L684+$K684,"")</f>
        <v/>
      </c>
      <c r="N684">
        <f>IF(ISNUMBER(SEARCH(" - ",$H684&amp;"")),1,0)</f>
        <v/>
      </c>
      <c r="O684">
        <f>IF(UPPER($H684&amp;"")="LEAVE",1,0)</f>
        <v/>
      </c>
      <c r="P684">
        <f>IF($N684=1,$K684,0)</f>
        <v/>
      </c>
      <c r="Q684">
        <f>IF($N684=0,"",IFERROR($L684-LOOKUP(2,1/(($B$2:$B683=$B684)*($N$2:$N683=1)),$M$2:$M683),""))</f>
        <v/>
      </c>
    </row>
    <row r="685">
      <c r="A685" t="n">
        <v>684</v>
      </c>
      <c r="B685">
        <f>Schedule!$A$100</f>
        <v/>
      </c>
      <c r="C685">
        <f>Schedule!$D$100</f>
        <v/>
      </c>
      <c r="D685">
        <f>Schedule!$F$100</f>
        <v/>
      </c>
      <c r="E685" t="n">
        <v>4</v>
      </c>
      <c r="F685">
        <f>Schedule!$K$1</f>
        <v/>
      </c>
      <c r="G685">
        <f>Schedule!$K$2</f>
        <v/>
      </c>
      <c r="H685">
        <f>Schedule!$K$100</f>
        <v/>
      </c>
      <c r="I685">
        <f>IF($N685=1,VALUE(LEFT($H685,2)),"")</f>
        <v/>
      </c>
      <c r="J685">
        <f>IF($N685=1,VALUE(MID($H685,9,2)),"")</f>
        <v/>
      </c>
      <c r="K685">
        <f>IF($N685=1,MOD($J685-$I685,24),0)</f>
        <v/>
      </c>
      <c r="L685">
        <f>IF($N685=1,$E685*24+$I685,"")</f>
        <v/>
      </c>
      <c r="M685">
        <f>IF($N685=1,$L685+$K685,"")</f>
        <v/>
      </c>
      <c r="N685">
        <f>IF(ISNUMBER(SEARCH(" - ",$H685&amp;"")),1,0)</f>
        <v/>
      </c>
      <c r="O685">
        <f>IF(UPPER($H685&amp;"")="LEAVE",1,0)</f>
        <v/>
      </c>
      <c r="P685">
        <f>IF($N685=1,$K685,0)</f>
        <v/>
      </c>
      <c r="Q685">
        <f>IF($N685=0,"",IFERROR($L685-LOOKUP(2,1/(($B$2:$B684=$B685)*($N$2:$N684=1)),$M$2:$M684),""))</f>
        <v/>
      </c>
    </row>
    <row r="686">
      <c r="A686" t="n">
        <v>685</v>
      </c>
      <c r="B686">
        <f>Schedule!$A$100</f>
        <v/>
      </c>
      <c r="C686">
        <f>Schedule!$D$100</f>
        <v/>
      </c>
      <c r="D686">
        <f>Schedule!$F$100</f>
        <v/>
      </c>
      <c r="E686" t="n">
        <v>5</v>
      </c>
      <c r="F686">
        <f>Schedule!$L$1</f>
        <v/>
      </c>
      <c r="G686">
        <f>Schedule!$L$2</f>
        <v/>
      </c>
      <c r="H686">
        <f>Schedule!$L$100</f>
        <v/>
      </c>
      <c r="I686">
        <f>IF($N686=1,VALUE(LEFT($H686,2)),"")</f>
        <v/>
      </c>
      <c r="J686">
        <f>IF($N686=1,VALUE(MID($H686,9,2)),"")</f>
        <v/>
      </c>
      <c r="K686">
        <f>IF($N686=1,MOD($J686-$I686,24),0)</f>
        <v/>
      </c>
      <c r="L686">
        <f>IF($N686=1,$E686*24+$I686,"")</f>
        <v/>
      </c>
      <c r="M686">
        <f>IF($N686=1,$L686+$K686,"")</f>
        <v/>
      </c>
      <c r="N686">
        <f>IF(ISNUMBER(SEARCH(" - ",$H686&amp;"")),1,0)</f>
        <v/>
      </c>
      <c r="O686">
        <f>IF(UPPER($H686&amp;"")="LEAVE",1,0)</f>
        <v/>
      </c>
      <c r="P686">
        <f>IF($N686=1,$K686,0)</f>
        <v/>
      </c>
      <c r="Q686">
        <f>IF($N686=0,"",IFERROR($L686-LOOKUP(2,1/(($B$2:$B685=$B686)*($N$2:$N685=1)),$M$2:$M685),""))</f>
        <v/>
      </c>
    </row>
    <row r="687">
      <c r="A687" t="n">
        <v>686</v>
      </c>
      <c r="B687">
        <f>Schedule!$A$100</f>
        <v/>
      </c>
      <c r="C687">
        <f>Schedule!$D$100</f>
        <v/>
      </c>
      <c r="D687">
        <f>Schedule!$F$100</f>
        <v/>
      </c>
      <c r="E687" t="n">
        <v>6</v>
      </c>
      <c r="F687">
        <f>Schedule!$M$1</f>
        <v/>
      </c>
      <c r="G687">
        <f>Schedule!$M$2</f>
        <v/>
      </c>
      <c r="H687">
        <f>Schedule!$M$100</f>
        <v/>
      </c>
      <c r="I687">
        <f>IF($N687=1,VALUE(LEFT($H687,2)),"")</f>
        <v/>
      </c>
      <c r="J687">
        <f>IF($N687=1,VALUE(MID($H687,9,2)),"")</f>
        <v/>
      </c>
      <c r="K687">
        <f>IF($N687=1,MOD($J687-$I687,24),0)</f>
        <v/>
      </c>
      <c r="L687">
        <f>IF($N687=1,$E687*24+$I687,"")</f>
        <v/>
      </c>
      <c r="M687">
        <f>IF($N687=1,$L687+$K687,"")</f>
        <v/>
      </c>
      <c r="N687">
        <f>IF(ISNUMBER(SEARCH(" - ",$H687&amp;"")),1,0)</f>
        <v/>
      </c>
      <c r="O687">
        <f>IF(UPPER($H687&amp;"")="LEAVE",1,0)</f>
        <v/>
      </c>
      <c r="P687">
        <f>IF($N687=1,$K687,0)</f>
        <v/>
      </c>
      <c r="Q687">
        <f>IF($N687=0,"",IFERROR($L687-LOOKUP(2,1/(($B$2:$B686=$B687)*($N$2:$N686=1)),$M$2:$M686),""))</f>
        <v/>
      </c>
    </row>
    <row r="688">
      <c r="A688" t="n">
        <v>687</v>
      </c>
      <c r="B688">
        <f>Schedule!$A$101</f>
        <v/>
      </c>
      <c r="C688">
        <f>Schedule!$D$101</f>
        <v/>
      </c>
      <c r="D688">
        <f>Schedule!$F$101</f>
        <v/>
      </c>
      <c r="E688" t="n">
        <v>0</v>
      </c>
      <c r="F688">
        <f>Schedule!$G$1</f>
        <v/>
      </c>
      <c r="G688">
        <f>Schedule!$G$2</f>
        <v/>
      </c>
      <c r="H688">
        <f>Schedule!$G$101</f>
        <v/>
      </c>
      <c r="I688">
        <f>IF($N688=1,VALUE(LEFT($H688,2)),"")</f>
        <v/>
      </c>
      <c r="J688">
        <f>IF($N688=1,VALUE(MID($H688,9,2)),"")</f>
        <v/>
      </c>
      <c r="K688">
        <f>IF($N688=1,MOD($J688-$I688,24),0)</f>
        <v/>
      </c>
      <c r="L688">
        <f>IF($N688=1,$E688*24+$I688,"")</f>
        <v/>
      </c>
      <c r="M688">
        <f>IF($N688=1,$L688+$K688,"")</f>
        <v/>
      </c>
      <c r="N688">
        <f>IF(ISNUMBER(SEARCH(" - ",$H688&amp;"")),1,0)</f>
        <v/>
      </c>
      <c r="O688">
        <f>IF(UPPER($H688&amp;"")="LEAVE",1,0)</f>
        <v/>
      </c>
      <c r="P688">
        <f>IF($N688=1,$K688,0)</f>
        <v/>
      </c>
      <c r="Q688">
        <f>IF($N688=0,"",IFERROR($L688-'Previous Engine'!$M$100,""))</f>
        <v/>
      </c>
    </row>
    <row r="689">
      <c r="A689" t="n">
        <v>688</v>
      </c>
      <c r="B689">
        <f>Schedule!$A$101</f>
        <v/>
      </c>
      <c r="C689">
        <f>Schedule!$D$101</f>
        <v/>
      </c>
      <c r="D689">
        <f>Schedule!$F$101</f>
        <v/>
      </c>
      <c r="E689" t="n">
        <v>1</v>
      </c>
      <c r="F689">
        <f>Schedule!$H$1</f>
        <v/>
      </c>
      <c r="G689">
        <f>Schedule!$H$2</f>
        <v/>
      </c>
      <c r="H689">
        <f>Schedule!$H$101</f>
        <v/>
      </c>
      <c r="I689">
        <f>IF($N689=1,VALUE(LEFT($H689,2)),"")</f>
        <v/>
      </c>
      <c r="J689">
        <f>IF($N689=1,VALUE(MID($H689,9,2)),"")</f>
        <v/>
      </c>
      <c r="K689">
        <f>IF($N689=1,MOD($J689-$I689,24),0)</f>
        <v/>
      </c>
      <c r="L689">
        <f>IF($N689=1,$E689*24+$I689,"")</f>
        <v/>
      </c>
      <c r="M689">
        <f>IF($N689=1,$L689+$K689,"")</f>
        <v/>
      </c>
      <c r="N689">
        <f>IF(ISNUMBER(SEARCH(" - ",$H689&amp;"")),1,0)</f>
        <v/>
      </c>
      <c r="O689">
        <f>IF(UPPER($H689&amp;"")="LEAVE",1,0)</f>
        <v/>
      </c>
      <c r="P689">
        <f>IF($N689=1,$K689,0)</f>
        <v/>
      </c>
      <c r="Q689">
        <f>IF($N689=0,"",IFERROR($L689-LOOKUP(2,1/(($B$2:$B688=$B689)*($N$2:$N688=1)),$M$2:$M688),""))</f>
        <v/>
      </c>
    </row>
    <row r="690">
      <c r="A690" t="n">
        <v>689</v>
      </c>
      <c r="B690">
        <f>Schedule!$A$101</f>
        <v/>
      </c>
      <c r="C690">
        <f>Schedule!$D$101</f>
        <v/>
      </c>
      <c r="D690">
        <f>Schedule!$F$101</f>
        <v/>
      </c>
      <c r="E690" t="n">
        <v>2</v>
      </c>
      <c r="F690">
        <f>Schedule!$I$1</f>
        <v/>
      </c>
      <c r="G690">
        <f>Schedule!$I$2</f>
        <v/>
      </c>
      <c r="H690">
        <f>Schedule!$I$101</f>
        <v/>
      </c>
      <c r="I690">
        <f>IF($N690=1,VALUE(LEFT($H690,2)),"")</f>
        <v/>
      </c>
      <c r="J690">
        <f>IF($N690=1,VALUE(MID($H690,9,2)),"")</f>
        <v/>
      </c>
      <c r="K690">
        <f>IF($N690=1,MOD($J690-$I690,24),0)</f>
        <v/>
      </c>
      <c r="L690">
        <f>IF($N690=1,$E690*24+$I690,"")</f>
        <v/>
      </c>
      <c r="M690">
        <f>IF($N690=1,$L690+$K690,"")</f>
        <v/>
      </c>
      <c r="N690">
        <f>IF(ISNUMBER(SEARCH(" - ",$H690&amp;"")),1,0)</f>
        <v/>
      </c>
      <c r="O690">
        <f>IF(UPPER($H690&amp;"")="LEAVE",1,0)</f>
        <v/>
      </c>
      <c r="P690">
        <f>IF($N690=1,$K690,0)</f>
        <v/>
      </c>
      <c r="Q690">
        <f>IF($N690=0,"",IFERROR($L690-LOOKUP(2,1/(($B$2:$B689=$B690)*($N$2:$N689=1)),$M$2:$M689),""))</f>
        <v/>
      </c>
    </row>
    <row r="691">
      <c r="A691" t="n">
        <v>690</v>
      </c>
      <c r="B691">
        <f>Schedule!$A$101</f>
        <v/>
      </c>
      <c r="C691">
        <f>Schedule!$D$101</f>
        <v/>
      </c>
      <c r="D691">
        <f>Schedule!$F$101</f>
        <v/>
      </c>
      <c r="E691" t="n">
        <v>3</v>
      </c>
      <c r="F691">
        <f>Schedule!$J$1</f>
        <v/>
      </c>
      <c r="G691">
        <f>Schedule!$J$2</f>
        <v/>
      </c>
      <c r="H691">
        <f>Schedule!$J$101</f>
        <v/>
      </c>
      <c r="I691">
        <f>IF($N691=1,VALUE(LEFT($H691,2)),"")</f>
        <v/>
      </c>
      <c r="J691">
        <f>IF($N691=1,VALUE(MID($H691,9,2)),"")</f>
        <v/>
      </c>
      <c r="K691">
        <f>IF($N691=1,MOD($J691-$I691,24),0)</f>
        <v/>
      </c>
      <c r="L691">
        <f>IF($N691=1,$E691*24+$I691,"")</f>
        <v/>
      </c>
      <c r="M691">
        <f>IF($N691=1,$L691+$K691,"")</f>
        <v/>
      </c>
      <c r="N691">
        <f>IF(ISNUMBER(SEARCH(" - ",$H691&amp;"")),1,0)</f>
        <v/>
      </c>
      <c r="O691">
        <f>IF(UPPER($H691&amp;"")="LEAVE",1,0)</f>
        <v/>
      </c>
      <c r="P691">
        <f>IF($N691=1,$K691,0)</f>
        <v/>
      </c>
      <c r="Q691">
        <f>IF($N691=0,"",IFERROR($L691-LOOKUP(2,1/(($B$2:$B690=$B691)*($N$2:$N690=1)),$M$2:$M690),""))</f>
        <v/>
      </c>
    </row>
    <row r="692">
      <c r="A692" t="n">
        <v>691</v>
      </c>
      <c r="B692">
        <f>Schedule!$A$101</f>
        <v/>
      </c>
      <c r="C692">
        <f>Schedule!$D$101</f>
        <v/>
      </c>
      <c r="D692">
        <f>Schedule!$F$101</f>
        <v/>
      </c>
      <c r="E692" t="n">
        <v>4</v>
      </c>
      <c r="F692">
        <f>Schedule!$K$1</f>
        <v/>
      </c>
      <c r="G692">
        <f>Schedule!$K$2</f>
        <v/>
      </c>
      <c r="H692">
        <f>Schedule!$K$101</f>
        <v/>
      </c>
      <c r="I692">
        <f>IF($N692=1,VALUE(LEFT($H692,2)),"")</f>
        <v/>
      </c>
      <c r="J692">
        <f>IF($N692=1,VALUE(MID($H692,9,2)),"")</f>
        <v/>
      </c>
      <c r="K692">
        <f>IF($N692=1,MOD($J692-$I692,24),0)</f>
        <v/>
      </c>
      <c r="L692">
        <f>IF($N692=1,$E692*24+$I692,"")</f>
        <v/>
      </c>
      <c r="M692">
        <f>IF($N692=1,$L692+$K692,"")</f>
        <v/>
      </c>
      <c r="N692">
        <f>IF(ISNUMBER(SEARCH(" - ",$H692&amp;"")),1,0)</f>
        <v/>
      </c>
      <c r="O692">
        <f>IF(UPPER($H692&amp;"")="LEAVE",1,0)</f>
        <v/>
      </c>
      <c r="P692">
        <f>IF($N692=1,$K692,0)</f>
        <v/>
      </c>
      <c r="Q692">
        <f>IF($N692=0,"",IFERROR($L692-LOOKUP(2,1/(($B$2:$B691=$B692)*($N$2:$N691=1)),$M$2:$M691),""))</f>
        <v/>
      </c>
    </row>
    <row r="693">
      <c r="A693" t="n">
        <v>692</v>
      </c>
      <c r="B693">
        <f>Schedule!$A$101</f>
        <v/>
      </c>
      <c r="C693">
        <f>Schedule!$D$101</f>
        <v/>
      </c>
      <c r="D693">
        <f>Schedule!$F$101</f>
        <v/>
      </c>
      <c r="E693" t="n">
        <v>5</v>
      </c>
      <c r="F693">
        <f>Schedule!$L$1</f>
        <v/>
      </c>
      <c r="G693">
        <f>Schedule!$L$2</f>
        <v/>
      </c>
      <c r="H693">
        <f>Schedule!$L$101</f>
        <v/>
      </c>
      <c r="I693">
        <f>IF($N693=1,VALUE(LEFT($H693,2)),"")</f>
        <v/>
      </c>
      <c r="J693">
        <f>IF($N693=1,VALUE(MID($H693,9,2)),"")</f>
        <v/>
      </c>
      <c r="K693">
        <f>IF($N693=1,MOD($J693-$I693,24),0)</f>
        <v/>
      </c>
      <c r="L693">
        <f>IF($N693=1,$E693*24+$I693,"")</f>
        <v/>
      </c>
      <c r="M693">
        <f>IF($N693=1,$L693+$K693,"")</f>
        <v/>
      </c>
      <c r="N693">
        <f>IF(ISNUMBER(SEARCH(" - ",$H693&amp;"")),1,0)</f>
        <v/>
      </c>
      <c r="O693">
        <f>IF(UPPER($H693&amp;"")="LEAVE",1,0)</f>
        <v/>
      </c>
      <c r="P693">
        <f>IF($N693=1,$K693,0)</f>
        <v/>
      </c>
      <c r="Q693">
        <f>IF($N693=0,"",IFERROR($L693-LOOKUP(2,1/(($B$2:$B692=$B693)*($N$2:$N692=1)),$M$2:$M692),""))</f>
        <v/>
      </c>
    </row>
    <row r="694">
      <c r="A694" t="n">
        <v>693</v>
      </c>
      <c r="B694">
        <f>Schedule!$A$101</f>
        <v/>
      </c>
      <c r="C694">
        <f>Schedule!$D$101</f>
        <v/>
      </c>
      <c r="D694">
        <f>Schedule!$F$101</f>
        <v/>
      </c>
      <c r="E694" t="n">
        <v>6</v>
      </c>
      <c r="F694">
        <f>Schedule!$M$1</f>
        <v/>
      </c>
      <c r="G694">
        <f>Schedule!$M$2</f>
        <v/>
      </c>
      <c r="H694">
        <f>Schedule!$M$101</f>
        <v/>
      </c>
      <c r="I694">
        <f>IF($N694=1,VALUE(LEFT($H694,2)),"")</f>
        <v/>
      </c>
      <c r="J694">
        <f>IF($N694=1,VALUE(MID($H694,9,2)),"")</f>
        <v/>
      </c>
      <c r="K694">
        <f>IF($N694=1,MOD($J694-$I694,24),0)</f>
        <v/>
      </c>
      <c r="L694">
        <f>IF($N694=1,$E694*24+$I694,"")</f>
        <v/>
      </c>
      <c r="M694">
        <f>IF($N694=1,$L694+$K694,"")</f>
        <v/>
      </c>
      <c r="N694">
        <f>IF(ISNUMBER(SEARCH(" - ",$H694&amp;"")),1,0)</f>
        <v/>
      </c>
      <c r="O694">
        <f>IF(UPPER($H694&amp;"")="LEAVE",1,0)</f>
        <v/>
      </c>
      <c r="P694">
        <f>IF($N694=1,$K694,0)</f>
        <v/>
      </c>
      <c r="Q694">
        <f>IF($N694=0,"",IFERROR($L694-LOOKUP(2,1/(($B$2:$B693=$B694)*($N$2:$N693=1)),$M$2:$M693),""))</f>
        <v/>
      </c>
    </row>
    <row r="695">
      <c r="A695" t="n">
        <v>694</v>
      </c>
      <c r="B695">
        <f>Schedule!$A$102</f>
        <v/>
      </c>
      <c r="C695">
        <f>Schedule!$D$102</f>
        <v/>
      </c>
      <c r="D695">
        <f>Schedule!$F$102</f>
        <v/>
      </c>
      <c r="E695" t="n">
        <v>0</v>
      </c>
      <c r="F695">
        <f>Schedule!$G$1</f>
        <v/>
      </c>
      <c r="G695">
        <f>Schedule!$G$2</f>
        <v/>
      </c>
      <c r="H695">
        <f>Schedule!$G$102</f>
        <v/>
      </c>
      <c r="I695">
        <f>IF($N695=1,VALUE(LEFT($H695,2)),"")</f>
        <v/>
      </c>
      <c r="J695">
        <f>IF($N695=1,VALUE(MID($H695,9,2)),"")</f>
        <v/>
      </c>
      <c r="K695">
        <f>IF($N695=1,MOD($J695-$I695,24),0)</f>
        <v/>
      </c>
      <c r="L695">
        <f>IF($N695=1,$E695*24+$I695,"")</f>
        <v/>
      </c>
      <c r="M695">
        <f>IF($N695=1,$L695+$K695,"")</f>
        <v/>
      </c>
      <c r="N695">
        <f>IF(ISNUMBER(SEARCH(" - ",$H695&amp;"")),1,0)</f>
        <v/>
      </c>
      <c r="O695">
        <f>IF(UPPER($H695&amp;"")="LEAVE",1,0)</f>
        <v/>
      </c>
      <c r="P695">
        <f>IF($N695=1,$K695,0)</f>
        <v/>
      </c>
      <c r="Q695">
        <f>IF($N695=0,"",IFERROR($L695-'Previous Engine'!$M$101,""))</f>
        <v/>
      </c>
    </row>
    <row r="696">
      <c r="A696" t="n">
        <v>695</v>
      </c>
      <c r="B696">
        <f>Schedule!$A$102</f>
        <v/>
      </c>
      <c r="C696">
        <f>Schedule!$D$102</f>
        <v/>
      </c>
      <c r="D696">
        <f>Schedule!$F$102</f>
        <v/>
      </c>
      <c r="E696" t="n">
        <v>1</v>
      </c>
      <c r="F696">
        <f>Schedule!$H$1</f>
        <v/>
      </c>
      <c r="G696">
        <f>Schedule!$H$2</f>
        <v/>
      </c>
      <c r="H696">
        <f>Schedule!$H$102</f>
        <v/>
      </c>
      <c r="I696">
        <f>IF($N696=1,VALUE(LEFT($H696,2)),"")</f>
        <v/>
      </c>
      <c r="J696">
        <f>IF($N696=1,VALUE(MID($H696,9,2)),"")</f>
        <v/>
      </c>
      <c r="K696">
        <f>IF($N696=1,MOD($J696-$I696,24),0)</f>
        <v/>
      </c>
      <c r="L696">
        <f>IF($N696=1,$E696*24+$I696,"")</f>
        <v/>
      </c>
      <c r="M696">
        <f>IF($N696=1,$L696+$K696,"")</f>
        <v/>
      </c>
      <c r="N696">
        <f>IF(ISNUMBER(SEARCH(" - ",$H696&amp;"")),1,0)</f>
        <v/>
      </c>
      <c r="O696">
        <f>IF(UPPER($H696&amp;"")="LEAVE",1,0)</f>
        <v/>
      </c>
      <c r="P696">
        <f>IF($N696=1,$K696,0)</f>
        <v/>
      </c>
      <c r="Q696">
        <f>IF($N696=0,"",IFERROR($L696-LOOKUP(2,1/(($B$2:$B695=$B696)*($N$2:$N695=1)),$M$2:$M695),""))</f>
        <v/>
      </c>
    </row>
    <row r="697">
      <c r="A697" t="n">
        <v>696</v>
      </c>
      <c r="B697">
        <f>Schedule!$A$102</f>
        <v/>
      </c>
      <c r="C697">
        <f>Schedule!$D$102</f>
        <v/>
      </c>
      <c r="D697">
        <f>Schedule!$F$102</f>
        <v/>
      </c>
      <c r="E697" t="n">
        <v>2</v>
      </c>
      <c r="F697">
        <f>Schedule!$I$1</f>
        <v/>
      </c>
      <c r="G697">
        <f>Schedule!$I$2</f>
        <v/>
      </c>
      <c r="H697">
        <f>Schedule!$I$102</f>
        <v/>
      </c>
      <c r="I697">
        <f>IF($N697=1,VALUE(LEFT($H697,2)),"")</f>
        <v/>
      </c>
      <c r="J697">
        <f>IF($N697=1,VALUE(MID($H697,9,2)),"")</f>
        <v/>
      </c>
      <c r="K697">
        <f>IF($N697=1,MOD($J697-$I697,24),0)</f>
        <v/>
      </c>
      <c r="L697">
        <f>IF($N697=1,$E697*24+$I697,"")</f>
        <v/>
      </c>
      <c r="M697">
        <f>IF($N697=1,$L697+$K697,"")</f>
        <v/>
      </c>
      <c r="N697">
        <f>IF(ISNUMBER(SEARCH(" - ",$H697&amp;"")),1,0)</f>
        <v/>
      </c>
      <c r="O697">
        <f>IF(UPPER($H697&amp;"")="LEAVE",1,0)</f>
        <v/>
      </c>
      <c r="P697">
        <f>IF($N697=1,$K697,0)</f>
        <v/>
      </c>
      <c r="Q697">
        <f>IF($N697=0,"",IFERROR($L697-LOOKUP(2,1/(($B$2:$B696=$B697)*($N$2:$N696=1)),$M$2:$M696),""))</f>
        <v/>
      </c>
    </row>
    <row r="698">
      <c r="A698" t="n">
        <v>697</v>
      </c>
      <c r="B698">
        <f>Schedule!$A$102</f>
        <v/>
      </c>
      <c r="C698">
        <f>Schedule!$D$102</f>
        <v/>
      </c>
      <c r="D698">
        <f>Schedule!$F$102</f>
        <v/>
      </c>
      <c r="E698" t="n">
        <v>3</v>
      </c>
      <c r="F698">
        <f>Schedule!$J$1</f>
        <v/>
      </c>
      <c r="G698">
        <f>Schedule!$J$2</f>
        <v/>
      </c>
      <c r="H698">
        <f>Schedule!$J$102</f>
        <v/>
      </c>
      <c r="I698">
        <f>IF($N698=1,VALUE(LEFT($H698,2)),"")</f>
        <v/>
      </c>
      <c r="J698">
        <f>IF($N698=1,VALUE(MID($H698,9,2)),"")</f>
        <v/>
      </c>
      <c r="K698">
        <f>IF($N698=1,MOD($J698-$I698,24),0)</f>
        <v/>
      </c>
      <c r="L698">
        <f>IF($N698=1,$E698*24+$I698,"")</f>
        <v/>
      </c>
      <c r="M698">
        <f>IF($N698=1,$L698+$K698,"")</f>
        <v/>
      </c>
      <c r="N698">
        <f>IF(ISNUMBER(SEARCH(" - ",$H698&amp;"")),1,0)</f>
        <v/>
      </c>
      <c r="O698">
        <f>IF(UPPER($H698&amp;"")="LEAVE",1,0)</f>
        <v/>
      </c>
      <c r="P698">
        <f>IF($N698=1,$K698,0)</f>
        <v/>
      </c>
      <c r="Q698">
        <f>IF($N698=0,"",IFERROR($L698-LOOKUP(2,1/(($B$2:$B697=$B698)*($N$2:$N697=1)),$M$2:$M697),""))</f>
        <v/>
      </c>
    </row>
    <row r="699">
      <c r="A699" t="n">
        <v>698</v>
      </c>
      <c r="B699">
        <f>Schedule!$A$102</f>
        <v/>
      </c>
      <c r="C699">
        <f>Schedule!$D$102</f>
        <v/>
      </c>
      <c r="D699">
        <f>Schedule!$F$102</f>
        <v/>
      </c>
      <c r="E699" t="n">
        <v>4</v>
      </c>
      <c r="F699">
        <f>Schedule!$K$1</f>
        <v/>
      </c>
      <c r="G699">
        <f>Schedule!$K$2</f>
        <v/>
      </c>
      <c r="H699">
        <f>Schedule!$K$102</f>
        <v/>
      </c>
      <c r="I699">
        <f>IF($N699=1,VALUE(LEFT($H699,2)),"")</f>
        <v/>
      </c>
      <c r="J699">
        <f>IF($N699=1,VALUE(MID($H699,9,2)),"")</f>
        <v/>
      </c>
      <c r="K699">
        <f>IF($N699=1,MOD($J699-$I699,24),0)</f>
        <v/>
      </c>
      <c r="L699">
        <f>IF($N699=1,$E699*24+$I699,"")</f>
        <v/>
      </c>
      <c r="M699">
        <f>IF($N699=1,$L699+$K699,"")</f>
        <v/>
      </c>
      <c r="N699">
        <f>IF(ISNUMBER(SEARCH(" - ",$H699&amp;"")),1,0)</f>
        <v/>
      </c>
      <c r="O699">
        <f>IF(UPPER($H699&amp;"")="LEAVE",1,0)</f>
        <v/>
      </c>
      <c r="P699">
        <f>IF($N699=1,$K699,0)</f>
        <v/>
      </c>
      <c r="Q699">
        <f>IF($N699=0,"",IFERROR($L699-LOOKUP(2,1/(($B$2:$B698=$B699)*($N$2:$N698=1)),$M$2:$M698),""))</f>
        <v/>
      </c>
    </row>
    <row r="700">
      <c r="A700" t="n">
        <v>699</v>
      </c>
      <c r="B700">
        <f>Schedule!$A$102</f>
        <v/>
      </c>
      <c r="C700">
        <f>Schedule!$D$102</f>
        <v/>
      </c>
      <c r="D700">
        <f>Schedule!$F$102</f>
        <v/>
      </c>
      <c r="E700" t="n">
        <v>5</v>
      </c>
      <c r="F700">
        <f>Schedule!$L$1</f>
        <v/>
      </c>
      <c r="G700">
        <f>Schedule!$L$2</f>
        <v/>
      </c>
      <c r="H700">
        <f>Schedule!$L$102</f>
        <v/>
      </c>
      <c r="I700">
        <f>IF($N700=1,VALUE(LEFT($H700,2)),"")</f>
        <v/>
      </c>
      <c r="J700">
        <f>IF($N700=1,VALUE(MID($H700,9,2)),"")</f>
        <v/>
      </c>
      <c r="K700">
        <f>IF($N700=1,MOD($J700-$I700,24),0)</f>
        <v/>
      </c>
      <c r="L700">
        <f>IF($N700=1,$E700*24+$I700,"")</f>
        <v/>
      </c>
      <c r="M700">
        <f>IF($N700=1,$L700+$K700,"")</f>
        <v/>
      </c>
      <c r="N700">
        <f>IF(ISNUMBER(SEARCH(" - ",$H700&amp;"")),1,0)</f>
        <v/>
      </c>
      <c r="O700">
        <f>IF(UPPER($H700&amp;"")="LEAVE",1,0)</f>
        <v/>
      </c>
      <c r="P700">
        <f>IF($N700=1,$K700,0)</f>
        <v/>
      </c>
      <c r="Q700">
        <f>IF($N700=0,"",IFERROR($L700-LOOKUP(2,1/(($B$2:$B699=$B700)*($N$2:$N699=1)),$M$2:$M699),""))</f>
        <v/>
      </c>
    </row>
    <row r="701">
      <c r="A701" t="n">
        <v>700</v>
      </c>
      <c r="B701">
        <f>Schedule!$A$102</f>
        <v/>
      </c>
      <c r="C701">
        <f>Schedule!$D$102</f>
        <v/>
      </c>
      <c r="D701">
        <f>Schedule!$F$102</f>
        <v/>
      </c>
      <c r="E701" t="n">
        <v>6</v>
      </c>
      <c r="F701">
        <f>Schedule!$M$1</f>
        <v/>
      </c>
      <c r="G701">
        <f>Schedule!$M$2</f>
        <v/>
      </c>
      <c r="H701">
        <f>Schedule!$M$102</f>
        <v/>
      </c>
      <c r="I701">
        <f>IF($N701=1,VALUE(LEFT($H701,2)),"")</f>
        <v/>
      </c>
      <c r="J701">
        <f>IF($N701=1,VALUE(MID($H701,9,2)),"")</f>
        <v/>
      </c>
      <c r="K701">
        <f>IF($N701=1,MOD($J701-$I701,24),0)</f>
        <v/>
      </c>
      <c r="L701">
        <f>IF($N701=1,$E701*24+$I701,"")</f>
        <v/>
      </c>
      <c r="M701">
        <f>IF($N701=1,$L701+$K701,"")</f>
        <v/>
      </c>
      <c r="N701">
        <f>IF(ISNUMBER(SEARCH(" - ",$H701&amp;"")),1,0)</f>
        <v/>
      </c>
      <c r="O701">
        <f>IF(UPPER($H701&amp;"")="LEAVE",1,0)</f>
        <v/>
      </c>
      <c r="P701">
        <f>IF($N701=1,$K701,0)</f>
        <v/>
      </c>
      <c r="Q701">
        <f>IF($N701=0,"",IFERROR($L701-LOOKUP(2,1/(($B$2:$B700=$B701)*($N$2:$N700=1)),$M$2:$M700),""))</f>
        <v/>
      </c>
    </row>
    <row r="702">
      <c r="A702" t="n">
        <v>701</v>
      </c>
      <c r="B702">
        <f>Schedule!$A$103</f>
        <v/>
      </c>
      <c r="C702">
        <f>Schedule!$D$103</f>
        <v/>
      </c>
      <c r="D702">
        <f>Schedule!$F$103</f>
        <v/>
      </c>
      <c r="E702" t="n">
        <v>0</v>
      </c>
      <c r="F702">
        <f>Schedule!$G$1</f>
        <v/>
      </c>
      <c r="G702">
        <f>Schedule!$G$2</f>
        <v/>
      </c>
      <c r="H702">
        <f>Schedule!$G$103</f>
        <v/>
      </c>
      <c r="I702">
        <f>IF($N702=1,VALUE(LEFT($H702,2)),"")</f>
        <v/>
      </c>
      <c r="J702">
        <f>IF($N702=1,VALUE(MID($H702,9,2)),"")</f>
        <v/>
      </c>
      <c r="K702">
        <f>IF($N702=1,MOD($J702-$I702,24),0)</f>
        <v/>
      </c>
      <c r="L702">
        <f>IF($N702=1,$E702*24+$I702,"")</f>
        <v/>
      </c>
      <c r="M702">
        <f>IF($N702=1,$L702+$K702,"")</f>
        <v/>
      </c>
      <c r="N702">
        <f>IF(ISNUMBER(SEARCH(" - ",$H702&amp;"")),1,0)</f>
        <v/>
      </c>
      <c r="O702">
        <f>IF(UPPER($H702&amp;"")="LEAVE",1,0)</f>
        <v/>
      </c>
      <c r="P702">
        <f>IF($N702=1,$K702,0)</f>
        <v/>
      </c>
      <c r="Q702">
        <f>IF($N702=0,"",IFERROR($L702-'Previous Engine'!$M$102,""))</f>
        <v/>
      </c>
    </row>
    <row r="703">
      <c r="A703" t="n">
        <v>702</v>
      </c>
      <c r="B703">
        <f>Schedule!$A$103</f>
        <v/>
      </c>
      <c r="C703">
        <f>Schedule!$D$103</f>
        <v/>
      </c>
      <c r="D703">
        <f>Schedule!$F$103</f>
        <v/>
      </c>
      <c r="E703" t="n">
        <v>1</v>
      </c>
      <c r="F703">
        <f>Schedule!$H$1</f>
        <v/>
      </c>
      <c r="G703">
        <f>Schedule!$H$2</f>
        <v/>
      </c>
      <c r="H703">
        <f>Schedule!$H$103</f>
        <v/>
      </c>
      <c r="I703">
        <f>IF($N703=1,VALUE(LEFT($H703,2)),"")</f>
        <v/>
      </c>
      <c r="J703">
        <f>IF($N703=1,VALUE(MID($H703,9,2)),"")</f>
        <v/>
      </c>
      <c r="K703">
        <f>IF($N703=1,MOD($J703-$I703,24),0)</f>
        <v/>
      </c>
      <c r="L703">
        <f>IF($N703=1,$E703*24+$I703,"")</f>
        <v/>
      </c>
      <c r="M703">
        <f>IF($N703=1,$L703+$K703,"")</f>
        <v/>
      </c>
      <c r="N703">
        <f>IF(ISNUMBER(SEARCH(" - ",$H703&amp;"")),1,0)</f>
        <v/>
      </c>
      <c r="O703">
        <f>IF(UPPER($H703&amp;"")="LEAVE",1,0)</f>
        <v/>
      </c>
      <c r="P703">
        <f>IF($N703=1,$K703,0)</f>
        <v/>
      </c>
      <c r="Q703">
        <f>IF($N703=0,"",IFERROR($L703-LOOKUP(2,1/(($B$2:$B702=$B703)*($N$2:$N702=1)),$M$2:$M702),""))</f>
        <v/>
      </c>
    </row>
    <row r="704">
      <c r="A704" t="n">
        <v>703</v>
      </c>
      <c r="B704">
        <f>Schedule!$A$103</f>
        <v/>
      </c>
      <c r="C704">
        <f>Schedule!$D$103</f>
        <v/>
      </c>
      <c r="D704">
        <f>Schedule!$F$103</f>
        <v/>
      </c>
      <c r="E704" t="n">
        <v>2</v>
      </c>
      <c r="F704">
        <f>Schedule!$I$1</f>
        <v/>
      </c>
      <c r="G704">
        <f>Schedule!$I$2</f>
        <v/>
      </c>
      <c r="H704">
        <f>Schedule!$I$103</f>
        <v/>
      </c>
      <c r="I704">
        <f>IF($N704=1,VALUE(LEFT($H704,2)),"")</f>
        <v/>
      </c>
      <c r="J704">
        <f>IF($N704=1,VALUE(MID($H704,9,2)),"")</f>
        <v/>
      </c>
      <c r="K704">
        <f>IF($N704=1,MOD($J704-$I704,24),0)</f>
        <v/>
      </c>
      <c r="L704">
        <f>IF($N704=1,$E704*24+$I704,"")</f>
        <v/>
      </c>
      <c r="M704">
        <f>IF($N704=1,$L704+$K704,"")</f>
        <v/>
      </c>
      <c r="N704">
        <f>IF(ISNUMBER(SEARCH(" - ",$H704&amp;"")),1,0)</f>
        <v/>
      </c>
      <c r="O704">
        <f>IF(UPPER($H704&amp;"")="LEAVE",1,0)</f>
        <v/>
      </c>
      <c r="P704">
        <f>IF($N704=1,$K704,0)</f>
        <v/>
      </c>
      <c r="Q704">
        <f>IF($N704=0,"",IFERROR($L704-LOOKUP(2,1/(($B$2:$B703=$B704)*($N$2:$N703=1)),$M$2:$M703),""))</f>
        <v/>
      </c>
    </row>
    <row r="705">
      <c r="A705" t="n">
        <v>704</v>
      </c>
      <c r="B705">
        <f>Schedule!$A$103</f>
        <v/>
      </c>
      <c r="C705">
        <f>Schedule!$D$103</f>
        <v/>
      </c>
      <c r="D705">
        <f>Schedule!$F$103</f>
        <v/>
      </c>
      <c r="E705" t="n">
        <v>3</v>
      </c>
      <c r="F705">
        <f>Schedule!$J$1</f>
        <v/>
      </c>
      <c r="G705">
        <f>Schedule!$J$2</f>
        <v/>
      </c>
      <c r="H705">
        <f>Schedule!$J$103</f>
        <v/>
      </c>
      <c r="I705">
        <f>IF($N705=1,VALUE(LEFT($H705,2)),"")</f>
        <v/>
      </c>
      <c r="J705">
        <f>IF($N705=1,VALUE(MID($H705,9,2)),"")</f>
        <v/>
      </c>
      <c r="K705">
        <f>IF($N705=1,MOD($J705-$I705,24),0)</f>
        <v/>
      </c>
      <c r="L705">
        <f>IF($N705=1,$E705*24+$I705,"")</f>
        <v/>
      </c>
      <c r="M705">
        <f>IF($N705=1,$L705+$K705,"")</f>
        <v/>
      </c>
      <c r="N705">
        <f>IF(ISNUMBER(SEARCH(" - ",$H705&amp;"")),1,0)</f>
        <v/>
      </c>
      <c r="O705">
        <f>IF(UPPER($H705&amp;"")="LEAVE",1,0)</f>
        <v/>
      </c>
      <c r="P705">
        <f>IF($N705=1,$K705,0)</f>
        <v/>
      </c>
      <c r="Q705">
        <f>IF($N705=0,"",IFERROR($L705-LOOKUP(2,1/(($B$2:$B704=$B705)*($N$2:$N704=1)),$M$2:$M704),""))</f>
        <v/>
      </c>
    </row>
    <row r="706">
      <c r="A706" t="n">
        <v>705</v>
      </c>
      <c r="B706">
        <f>Schedule!$A$103</f>
        <v/>
      </c>
      <c r="C706">
        <f>Schedule!$D$103</f>
        <v/>
      </c>
      <c r="D706">
        <f>Schedule!$F$103</f>
        <v/>
      </c>
      <c r="E706" t="n">
        <v>4</v>
      </c>
      <c r="F706">
        <f>Schedule!$K$1</f>
        <v/>
      </c>
      <c r="G706">
        <f>Schedule!$K$2</f>
        <v/>
      </c>
      <c r="H706">
        <f>Schedule!$K$103</f>
        <v/>
      </c>
      <c r="I706">
        <f>IF($N706=1,VALUE(LEFT($H706,2)),"")</f>
        <v/>
      </c>
      <c r="J706">
        <f>IF($N706=1,VALUE(MID($H706,9,2)),"")</f>
        <v/>
      </c>
      <c r="K706">
        <f>IF($N706=1,MOD($J706-$I706,24),0)</f>
        <v/>
      </c>
      <c r="L706">
        <f>IF($N706=1,$E706*24+$I706,"")</f>
        <v/>
      </c>
      <c r="M706">
        <f>IF($N706=1,$L706+$K706,"")</f>
        <v/>
      </c>
      <c r="N706">
        <f>IF(ISNUMBER(SEARCH(" - ",$H706&amp;"")),1,0)</f>
        <v/>
      </c>
      <c r="O706">
        <f>IF(UPPER($H706&amp;"")="LEAVE",1,0)</f>
        <v/>
      </c>
      <c r="P706">
        <f>IF($N706=1,$K706,0)</f>
        <v/>
      </c>
      <c r="Q706">
        <f>IF($N706=0,"",IFERROR($L706-LOOKUP(2,1/(($B$2:$B705=$B706)*($N$2:$N705=1)),$M$2:$M705),""))</f>
        <v/>
      </c>
    </row>
    <row r="707">
      <c r="A707" t="n">
        <v>706</v>
      </c>
      <c r="B707">
        <f>Schedule!$A$103</f>
        <v/>
      </c>
      <c r="C707">
        <f>Schedule!$D$103</f>
        <v/>
      </c>
      <c r="D707">
        <f>Schedule!$F$103</f>
        <v/>
      </c>
      <c r="E707" t="n">
        <v>5</v>
      </c>
      <c r="F707">
        <f>Schedule!$L$1</f>
        <v/>
      </c>
      <c r="G707">
        <f>Schedule!$L$2</f>
        <v/>
      </c>
      <c r="H707">
        <f>Schedule!$L$103</f>
        <v/>
      </c>
      <c r="I707">
        <f>IF($N707=1,VALUE(LEFT($H707,2)),"")</f>
        <v/>
      </c>
      <c r="J707">
        <f>IF($N707=1,VALUE(MID($H707,9,2)),"")</f>
        <v/>
      </c>
      <c r="K707">
        <f>IF($N707=1,MOD($J707-$I707,24),0)</f>
        <v/>
      </c>
      <c r="L707">
        <f>IF($N707=1,$E707*24+$I707,"")</f>
        <v/>
      </c>
      <c r="M707">
        <f>IF($N707=1,$L707+$K707,"")</f>
        <v/>
      </c>
      <c r="N707">
        <f>IF(ISNUMBER(SEARCH(" - ",$H707&amp;"")),1,0)</f>
        <v/>
      </c>
      <c r="O707">
        <f>IF(UPPER($H707&amp;"")="LEAVE",1,0)</f>
        <v/>
      </c>
      <c r="P707">
        <f>IF($N707=1,$K707,0)</f>
        <v/>
      </c>
      <c r="Q707">
        <f>IF($N707=0,"",IFERROR($L707-LOOKUP(2,1/(($B$2:$B706=$B707)*($N$2:$N706=1)),$M$2:$M706),""))</f>
        <v/>
      </c>
    </row>
    <row r="708">
      <c r="A708" t="n">
        <v>707</v>
      </c>
      <c r="B708">
        <f>Schedule!$A$103</f>
        <v/>
      </c>
      <c r="C708">
        <f>Schedule!$D$103</f>
        <v/>
      </c>
      <c r="D708">
        <f>Schedule!$F$103</f>
        <v/>
      </c>
      <c r="E708" t="n">
        <v>6</v>
      </c>
      <c r="F708">
        <f>Schedule!$M$1</f>
        <v/>
      </c>
      <c r="G708">
        <f>Schedule!$M$2</f>
        <v/>
      </c>
      <c r="H708">
        <f>Schedule!$M$103</f>
        <v/>
      </c>
      <c r="I708">
        <f>IF($N708=1,VALUE(LEFT($H708,2)),"")</f>
        <v/>
      </c>
      <c r="J708">
        <f>IF($N708=1,VALUE(MID($H708,9,2)),"")</f>
        <v/>
      </c>
      <c r="K708">
        <f>IF($N708=1,MOD($J708-$I708,24),0)</f>
        <v/>
      </c>
      <c r="L708">
        <f>IF($N708=1,$E708*24+$I708,"")</f>
        <v/>
      </c>
      <c r="M708">
        <f>IF($N708=1,$L708+$K708,"")</f>
        <v/>
      </c>
      <c r="N708">
        <f>IF(ISNUMBER(SEARCH(" - ",$H708&amp;"")),1,0)</f>
        <v/>
      </c>
      <c r="O708">
        <f>IF(UPPER($H708&amp;"")="LEAVE",1,0)</f>
        <v/>
      </c>
      <c r="P708">
        <f>IF($N708=1,$K708,0)</f>
        <v/>
      </c>
      <c r="Q708">
        <f>IF($N708=0,"",IFERROR($L708-LOOKUP(2,1/(($B$2:$B707=$B708)*($N$2:$N707=1)),$M$2:$M707),""))</f>
        <v/>
      </c>
    </row>
    <row r="709">
      <c r="A709" t="n">
        <v>708</v>
      </c>
      <c r="B709">
        <f>Schedule!$A$104</f>
        <v/>
      </c>
      <c r="C709">
        <f>Schedule!$D$104</f>
        <v/>
      </c>
      <c r="D709">
        <f>Schedule!$F$104</f>
        <v/>
      </c>
      <c r="E709" t="n">
        <v>0</v>
      </c>
      <c r="F709">
        <f>Schedule!$G$1</f>
        <v/>
      </c>
      <c r="G709">
        <f>Schedule!$G$2</f>
        <v/>
      </c>
      <c r="H709">
        <f>Schedule!$G$104</f>
        <v/>
      </c>
      <c r="I709">
        <f>IF($N709=1,VALUE(LEFT($H709,2)),"")</f>
        <v/>
      </c>
      <c r="J709">
        <f>IF($N709=1,VALUE(MID($H709,9,2)),"")</f>
        <v/>
      </c>
      <c r="K709">
        <f>IF($N709=1,MOD($J709-$I709,24),0)</f>
        <v/>
      </c>
      <c r="L709">
        <f>IF($N709=1,$E709*24+$I709,"")</f>
        <v/>
      </c>
      <c r="M709">
        <f>IF($N709=1,$L709+$K709,"")</f>
        <v/>
      </c>
      <c r="N709">
        <f>IF(ISNUMBER(SEARCH(" - ",$H709&amp;"")),1,0)</f>
        <v/>
      </c>
      <c r="O709">
        <f>IF(UPPER($H709&amp;"")="LEAVE",1,0)</f>
        <v/>
      </c>
      <c r="P709">
        <f>IF($N709=1,$K709,0)</f>
        <v/>
      </c>
      <c r="Q709">
        <f>IF($N709=0,"",IFERROR($L709-'Previous Engine'!$M$103,""))</f>
        <v/>
      </c>
    </row>
    <row r="710">
      <c r="A710" t="n">
        <v>709</v>
      </c>
      <c r="B710">
        <f>Schedule!$A$104</f>
        <v/>
      </c>
      <c r="C710">
        <f>Schedule!$D$104</f>
        <v/>
      </c>
      <c r="D710">
        <f>Schedule!$F$104</f>
        <v/>
      </c>
      <c r="E710" t="n">
        <v>1</v>
      </c>
      <c r="F710">
        <f>Schedule!$H$1</f>
        <v/>
      </c>
      <c r="G710">
        <f>Schedule!$H$2</f>
        <v/>
      </c>
      <c r="H710">
        <f>Schedule!$H$104</f>
        <v/>
      </c>
      <c r="I710">
        <f>IF($N710=1,VALUE(LEFT($H710,2)),"")</f>
        <v/>
      </c>
      <c r="J710">
        <f>IF($N710=1,VALUE(MID($H710,9,2)),"")</f>
        <v/>
      </c>
      <c r="K710">
        <f>IF($N710=1,MOD($J710-$I710,24),0)</f>
        <v/>
      </c>
      <c r="L710">
        <f>IF($N710=1,$E710*24+$I710,"")</f>
        <v/>
      </c>
      <c r="M710">
        <f>IF($N710=1,$L710+$K710,"")</f>
        <v/>
      </c>
      <c r="N710">
        <f>IF(ISNUMBER(SEARCH(" - ",$H710&amp;"")),1,0)</f>
        <v/>
      </c>
      <c r="O710">
        <f>IF(UPPER($H710&amp;"")="LEAVE",1,0)</f>
        <v/>
      </c>
      <c r="P710">
        <f>IF($N710=1,$K710,0)</f>
        <v/>
      </c>
      <c r="Q710">
        <f>IF($N710=0,"",IFERROR($L710-LOOKUP(2,1/(($B$2:$B709=$B710)*($N$2:$N709=1)),$M$2:$M709),""))</f>
        <v/>
      </c>
    </row>
    <row r="711">
      <c r="A711" t="n">
        <v>710</v>
      </c>
      <c r="B711">
        <f>Schedule!$A$104</f>
        <v/>
      </c>
      <c r="C711">
        <f>Schedule!$D$104</f>
        <v/>
      </c>
      <c r="D711">
        <f>Schedule!$F$104</f>
        <v/>
      </c>
      <c r="E711" t="n">
        <v>2</v>
      </c>
      <c r="F711">
        <f>Schedule!$I$1</f>
        <v/>
      </c>
      <c r="G711">
        <f>Schedule!$I$2</f>
        <v/>
      </c>
      <c r="H711">
        <f>Schedule!$I$104</f>
        <v/>
      </c>
      <c r="I711">
        <f>IF($N711=1,VALUE(LEFT($H711,2)),"")</f>
        <v/>
      </c>
      <c r="J711">
        <f>IF($N711=1,VALUE(MID($H711,9,2)),"")</f>
        <v/>
      </c>
      <c r="K711">
        <f>IF($N711=1,MOD($J711-$I711,24),0)</f>
        <v/>
      </c>
      <c r="L711">
        <f>IF($N711=1,$E711*24+$I711,"")</f>
        <v/>
      </c>
      <c r="M711">
        <f>IF($N711=1,$L711+$K711,"")</f>
        <v/>
      </c>
      <c r="N711">
        <f>IF(ISNUMBER(SEARCH(" - ",$H711&amp;"")),1,0)</f>
        <v/>
      </c>
      <c r="O711">
        <f>IF(UPPER($H711&amp;"")="LEAVE",1,0)</f>
        <v/>
      </c>
      <c r="P711">
        <f>IF($N711=1,$K711,0)</f>
        <v/>
      </c>
      <c r="Q711">
        <f>IF($N711=0,"",IFERROR($L711-LOOKUP(2,1/(($B$2:$B710=$B711)*($N$2:$N710=1)),$M$2:$M710),""))</f>
        <v/>
      </c>
    </row>
    <row r="712">
      <c r="A712" t="n">
        <v>711</v>
      </c>
      <c r="B712">
        <f>Schedule!$A$104</f>
        <v/>
      </c>
      <c r="C712">
        <f>Schedule!$D$104</f>
        <v/>
      </c>
      <c r="D712">
        <f>Schedule!$F$104</f>
        <v/>
      </c>
      <c r="E712" t="n">
        <v>3</v>
      </c>
      <c r="F712">
        <f>Schedule!$J$1</f>
        <v/>
      </c>
      <c r="G712">
        <f>Schedule!$J$2</f>
        <v/>
      </c>
      <c r="H712">
        <f>Schedule!$J$104</f>
        <v/>
      </c>
      <c r="I712">
        <f>IF($N712=1,VALUE(LEFT($H712,2)),"")</f>
        <v/>
      </c>
      <c r="J712">
        <f>IF($N712=1,VALUE(MID($H712,9,2)),"")</f>
        <v/>
      </c>
      <c r="K712">
        <f>IF($N712=1,MOD($J712-$I712,24),0)</f>
        <v/>
      </c>
      <c r="L712">
        <f>IF($N712=1,$E712*24+$I712,"")</f>
        <v/>
      </c>
      <c r="M712">
        <f>IF($N712=1,$L712+$K712,"")</f>
        <v/>
      </c>
      <c r="N712">
        <f>IF(ISNUMBER(SEARCH(" - ",$H712&amp;"")),1,0)</f>
        <v/>
      </c>
      <c r="O712">
        <f>IF(UPPER($H712&amp;"")="LEAVE",1,0)</f>
        <v/>
      </c>
      <c r="P712">
        <f>IF($N712=1,$K712,0)</f>
        <v/>
      </c>
      <c r="Q712">
        <f>IF($N712=0,"",IFERROR($L712-LOOKUP(2,1/(($B$2:$B711=$B712)*($N$2:$N711=1)),$M$2:$M711),""))</f>
        <v/>
      </c>
    </row>
    <row r="713">
      <c r="A713" t="n">
        <v>712</v>
      </c>
      <c r="B713">
        <f>Schedule!$A$104</f>
        <v/>
      </c>
      <c r="C713">
        <f>Schedule!$D$104</f>
        <v/>
      </c>
      <c r="D713">
        <f>Schedule!$F$104</f>
        <v/>
      </c>
      <c r="E713" t="n">
        <v>4</v>
      </c>
      <c r="F713">
        <f>Schedule!$K$1</f>
        <v/>
      </c>
      <c r="G713">
        <f>Schedule!$K$2</f>
        <v/>
      </c>
      <c r="H713">
        <f>Schedule!$K$104</f>
        <v/>
      </c>
      <c r="I713">
        <f>IF($N713=1,VALUE(LEFT($H713,2)),"")</f>
        <v/>
      </c>
      <c r="J713">
        <f>IF($N713=1,VALUE(MID($H713,9,2)),"")</f>
        <v/>
      </c>
      <c r="K713">
        <f>IF($N713=1,MOD($J713-$I713,24),0)</f>
        <v/>
      </c>
      <c r="L713">
        <f>IF($N713=1,$E713*24+$I713,"")</f>
        <v/>
      </c>
      <c r="M713">
        <f>IF($N713=1,$L713+$K713,"")</f>
        <v/>
      </c>
      <c r="N713">
        <f>IF(ISNUMBER(SEARCH(" - ",$H713&amp;"")),1,0)</f>
        <v/>
      </c>
      <c r="O713">
        <f>IF(UPPER($H713&amp;"")="LEAVE",1,0)</f>
        <v/>
      </c>
      <c r="P713">
        <f>IF($N713=1,$K713,0)</f>
        <v/>
      </c>
      <c r="Q713">
        <f>IF($N713=0,"",IFERROR($L713-LOOKUP(2,1/(($B$2:$B712=$B713)*($N$2:$N712=1)),$M$2:$M712),""))</f>
        <v/>
      </c>
    </row>
    <row r="714">
      <c r="A714" t="n">
        <v>713</v>
      </c>
      <c r="B714">
        <f>Schedule!$A$104</f>
        <v/>
      </c>
      <c r="C714">
        <f>Schedule!$D$104</f>
        <v/>
      </c>
      <c r="D714">
        <f>Schedule!$F$104</f>
        <v/>
      </c>
      <c r="E714" t="n">
        <v>5</v>
      </c>
      <c r="F714">
        <f>Schedule!$L$1</f>
        <v/>
      </c>
      <c r="G714">
        <f>Schedule!$L$2</f>
        <v/>
      </c>
      <c r="H714">
        <f>Schedule!$L$104</f>
        <v/>
      </c>
      <c r="I714">
        <f>IF($N714=1,VALUE(LEFT($H714,2)),"")</f>
        <v/>
      </c>
      <c r="J714">
        <f>IF($N714=1,VALUE(MID($H714,9,2)),"")</f>
        <v/>
      </c>
      <c r="K714">
        <f>IF($N714=1,MOD($J714-$I714,24),0)</f>
        <v/>
      </c>
      <c r="L714">
        <f>IF($N714=1,$E714*24+$I714,"")</f>
        <v/>
      </c>
      <c r="M714">
        <f>IF($N714=1,$L714+$K714,"")</f>
        <v/>
      </c>
      <c r="N714">
        <f>IF(ISNUMBER(SEARCH(" - ",$H714&amp;"")),1,0)</f>
        <v/>
      </c>
      <c r="O714">
        <f>IF(UPPER($H714&amp;"")="LEAVE",1,0)</f>
        <v/>
      </c>
      <c r="P714">
        <f>IF($N714=1,$K714,0)</f>
        <v/>
      </c>
      <c r="Q714">
        <f>IF($N714=0,"",IFERROR($L714-LOOKUP(2,1/(($B$2:$B713=$B714)*($N$2:$N713=1)),$M$2:$M713),""))</f>
        <v/>
      </c>
    </row>
    <row r="715">
      <c r="A715" t="n">
        <v>714</v>
      </c>
      <c r="B715">
        <f>Schedule!$A$104</f>
        <v/>
      </c>
      <c r="C715">
        <f>Schedule!$D$104</f>
        <v/>
      </c>
      <c r="D715">
        <f>Schedule!$F$104</f>
        <v/>
      </c>
      <c r="E715" t="n">
        <v>6</v>
      </c>
      <c r="F715">
        <f>Schedule!$M$1</f>
        <v/>
      </c>
      <c r="G715">
        <f>Schedule!$M$2</f>
        <v/>
      </c>
      <c r="H715">
        <f>Schedule!$M$104</f>
        <v/>
      </c>
      <c r="I715">
        <f>IF($N715=1,VALUE(LEFT($H715,2)),"")</f>
        <v/>
      </c>
      <c r="J715">
        <f>IF($N715=1,VALUE(MID($H715,9,2)),"")</f>
        <v/>
      </c>
      <c r="K715">
        <f>IF($N715=1,MOD($J715-$I715,24),0)</f>
        <v/>
      </c>
      <c r="L715">
        <f>IF($N715=1,$E715*24+$I715,"")</f>
        <v/>
      </c>
      <c r="M715">
        <f>IF($N715=1,$L715+$K715,"")</f>
        <v/>
      </c>
      <c r="N715">
        <f>IF(ISNUMBER(SEARCH(" - ",$H715&amp;"")),1,0)</f>
        <v/>
      </c>
      <c r="O715">
        <f>IF(UPPER($H715&amp;"")="LEAVE",1,0)</f>
        <v/>
      </c>
      <c r="P715">
        <f>IF($N715=1,$K715,0)</f>
        <v/>
      </c>
      <c r="Q715">
        <f>IF($N715=0,"",IFERROR($L715-LOOKUP(2,1/(($B$2:$B714=$B715)*($N$2:$N714=1)),$M$2:$M714),""))</f>
        <v/>
      </c>
    </row>
    <row r="716">
      <c r="A716" t="n">
        <v>715</v>
      </c>
      <c r="B716">
        <f>Schedule!$A$105</f>
        <v/>
      </c>
      <c r="C716">
        <f>Schedule!$D$105</f>
        <v/>
      </c>
      <c r="D716">
        <f>Schedule!$F$105</f>
        <v/>
      </c>
      <c r="E716" t="n">
        <v>0</v>
      </c>
      <c r="F716">
        <f>Schedule!$G$1</f>
        <v/>
      </c>
      <c r="G716">
        <f>Schedule!$G$2</f>
        <v/>
      </c>
      <c r="H716">
        <f>Schedule!$G$105</f>
        <v/>
      </c>
      <c r="I716">
        <f>IF($N716=1,VALUE(LEFT($H716,2)),"")</f>
        <v/>
      </c>
      <c r="J716">
        <f>IF($N716=1,VALUE(MID($H716,9,2)),"")</f>
        <v/>
      </c>
      <c r="K716">
        <f>IF($N716=1,MOD($J716-$I716,24),0)</f>
        <v/>
      </c>
      <c r="L716">
        <f>IF($N716=1,$E716*24+$I716,"")</f>
        <v/>
      </c>
      <c r="M716">
        <f>IF($N716=1,$L716+$K716,"")</f>
        <v/>
      </c>
      <c r="N716">
        <f>IF(ISNUMBER(SEARCH(" - ",$H716&amp;"")),1,0)</f>
        <v/>
      </c>
      <c r="O716">
        <f>IF(UPPER($H716&amp;"")="LEAVE",1,0)</f>
        <v/>
      </c>
      <c r="P716">
        <f>IF($N716=1,$K716,0)</f>
        <v/>
      </c>
      <c r="Q716">
        <f>IF($N716=0,"",IFERROR($L716-'Previous Engine'!$M$104,""))</f>
        <v/>
      </c>
    </row>
    <row r="717">
      <c r="A717" t="n">
        <v>716</v>
      </c>
      <c r="B717">
        <f>Schedule!$A$105</f>
        <v/>
      </c>
      <c r="C717">
        <f>Schedule!$D$105</f>
        <v/>
      </c>
      <c r="D717">
        <f>Schedule!$F$105</f>
        <v/>
      </c>
      <c r="E717" t="n">
        <v>1</v>
      </c>
      <c r="F717">
        <f>Schedule!$H$1</f>
        <v/>
      </c>
      <c r="G717">
        <f>Schedule!$H$2</f>
        <v/>
      </c>
      <c r="H717">
        <f>Schedule!$H$105</f>
        <v/>
      </c>
      <c r="I717">
        <f>IF($N717=1,VALUE(LEFT($H717,2)),"")</f>
        <v/>
      </c>
      <c r="J717">
        <f>IF($N717=1,VALUE(MID($H717,9,2)),"")</f>
        <v/>
      </c>
      <c r="K717">
        <f>IF($N717=1,MOD($J717-$I717,24),0)</f>
        <v/>
      </c>
      <c r="L717">
        <f>IF($N717=1,$E717*24+$I717,"")</f>
        <v/>
      </c>
      <c r="M717">
        <f>IF($N717=1,$L717+$K717,"")</f>
        <v/>
      </c>
      <c r="N717">
        <f>IF(ISNUMBER(SEARCH(" - ",$H717&amp;"")),1,0)</f>
        <v/>
      </c>
      <c r="O717">
        <f>IF(UPPER($H717&amp;"")="LEAVE",1,0)</f>
        <v/>
      </c>
      <c r="P717">
        <f>IF($N717=1,$K717,0)</f>
        <v/>
      </c>
      <c r="Q717">
        <f>IF($N717=0,"",IFERROR($L717-LOOKUP(2,1/(($B$2:$B716=$B717)*($N$2:$N716=1)),$M$2:$M716),""))</f>
        <v/>
      </c>
    </row>
    <row r="718">
      <c r="A718" t="n">
        <v>717</v>
      </c>
      <c r="B718">
        <f>Schedule!$A$105</f>
        <v/>
      </c>
      <c r="C718">
        <f>Schedule!$D$105</f>
        <v/>
      </c>
      <c r="D718">
        <f>Schedule!$F$105</f>
        <v/>
      </c>
      <c r="E718" t="n">
        <v>2</v>
      </c>
      <c r="F718">
        <f>Schedule!$I$1</f>
        <v/>
      </c>
      <c r="G718">
        <f>Schedule!$I$2</f>
        <v/>
      </c>
      <c r="H718">
        <f>Schedule!$I$105</f>
        <v/>
      </c>
      <c r="I718">
        <f>IF($N718=1,VALUE(LEFT($H718,2)),"")</f>
        <v/>
      </c>
      <c r="J718">
        <f>IF($N718=1,VALUE(MID($H718,9,2)),"")</f>
        <v/>
      </c>
      <c r="K718">
        <f>IF($N718=1,MOD($J718-$I718,24),0)</f>
        <v/>
      </c>
      <c r="L718">
        <f>IF($N718=1,$E718*24+$I718,"")</f>
        <v/>
      </c>
      <c r="M718">
        <f>IF($N718=1,$L718+$K718,"")</f>
        <v/>
      </c>
      <c r="N718">
        <f>IF(ISNUMBER(SEARCH(" - ",$H718&amp;"")),1,0)</f>
        <v/>
      </c>
      <c r="O718">
        <f>IF(UPPER($H718&amp;"")="LEAVE",1,0)</f>
        <v/>
      </c>
      <c r="P718">
        <f>IF($N718=1,$K718,0)</f>
        <v/>
      </c>
      <c r="Q718">
        <f>IF($N718=0,"",IFERROR($L718-LOOKUP(2,1/(($B$2:$B717=$B718)*($N$2:$N717=1)),$M$2:$M717),""))</f>
        <v/>
      </c>
    </row>
    <row r="719">
      <c r="A719" t="n">
        <v>718</v>
      </c>
      <c r="B719">
        <f>Schedule!$A$105</f>
        <v/>
      </c>
      <c r="C719">
        <f>Schedule!$D$105</f>
        <v/>
      </c>
      <c r="D719">
        <f>Schedule!$F$105</f>
        <v/>
      </c>
      <c r="E719" t="n">
        <v>3</v>
      </c>
      <c r="F719">
        <f>Schedule!$J$1</f>
        <v/>
      </c>
      <c r="G719">
        <f>Schedule!$J$2</f>
        <v/>
      </c>
      <c r="H719">
        <f>Schedule!$J$105</f>
        <v/>
      </c>
      <c r="I719">
        <f>IF($N719=1,VALUE(LEFT($H719,2)),"")</f>
        <v/>
      </c>
      <c r="J719">
        <f>IF($N719=1,VALUE(MID($H719,9,2)),"")</f>
        <v/>
      </c>
      <c r="K719">
        <f>IF($N719=1,MOD($J719-$I719,24),0)</f>
        <v/>
      </c>
      <c r="L719">
        <f>IF($N719=1,$E719*24+$I719,"")</f>
        <v/>
      </c>
      <c r="M719">
        <f>IF($N719=1,$L719+$K719,"")</f>
        <v/>
      </c>
      <c r="N719">
        <f>IF(ISNUMBER(SEARCH(" - ",$H719&amp;"")),1,0)</f>
        <v/>
      </c>
      <c r="O719">
        <f>IF(UPPER($H719&amp;"")="LEAVE",1,0)</f>
        <v/>
      </c>
      <c r="P719">
        <f>IF($N719=1,$K719,0)</f>
        <v/>
      </c>
      <c r="Q719">
        <f>IF($N719=0,"",IFERROR($L719-LOOKUP(2,1/(($B$2:$B718=$B719)*($N$2:$N718=1)),$M$2:$M718),""))</f>
        <v/>
      </c>
    </row>
    <row r="720">
      <c r="A720" t="n">
        <v>719</v>
      </c>
      <c r="B720">
        <f>Schedule!$A$105</f>
        <v/>
      </c>
      <c r="C720">
        <f>Schedule!$D$105</f>
        <v/>
      </c>
      <c r="D720">
        <f>Schedule!$F$105</f>
        <v/>
      </c>
      <c r="E720" t="n">
        <v>4</v>
      </c>
      <c r="F720">
        <f>Schedule!$K$1</f>
        <v/>
      </c>
      <c r="G720">
        <f>Schedule!$K$2</f>
        <v/>
      </c>
      <c r="H720">
        <f>Schedule!$K$105</f>
        <v/>
      </c>
      <c r="I720">
        <f>IF($N720=1,VALUE(LEFT($H720,2)),"")</f>
        <v/>
      </c>
      <c r="J720">
        <f>IF($N720=1,VALUE(MID($H720,9,2)),"")</f>
        <v/>
      </c>
      <c r="K720">
        <f>IF($N720=1,MOD($J720-$I720,24),0)</f>
        <v/>
      </c>
      <c r="L720">
        <f>IF($N720=1,$E720*24+$I720,"")</f>
        <v/>
      </c>
      <c r="M720">
        <f>IF($N720=1,$L720+$K720,"")</f>
        <v/>
      </c>
      <c r="N720">
        <f>IF(ISNUMBER(SEARCH(" - ",$H720&amp;"")),1,0)</f>
        <v/>
      </c>
      <c r="O720">
        <f>IF(UPPER($H720&amp;"")="LEAVE",1,0)</f>
        <v/>
      </c>
      <c r="P720">
        <f>IF($N720=1,$K720,0)</f>
        <v/>
      </c>
      <c r="Q720">
        <f>IF($N720=0,"",IFERROR($L720-LOOKUP(2,1/(($B$2:$B719=$B720)*($N$2:$N719=1)),$M$2:$M719),""))</f>
        <v/>
      </c>
    </row>
    <row r="721">
      <c r="A721" t="n">
        <v>720</v>
      </c>
      <c r="B721">
        <f>Schedule!$A$105</f>
        <v/>
      </c>
      <c r="C721">
        <f>Schedule!$D$105</f>
        <v/>
      </c>
      <c r="D721">
        <f>Schedule!$F$105</f>
        <v/>
      </c>
      <c r="E721" t="n">
        <v>5</v>
      </c>
      <c r="F721">
        <f>Schedule!$L$1</f>
        <v/>
      </c>
      <c r="G721">
        <f>Schedule!$L$2</f>
        <v/>
      </c>
      <c r="H721">
        <f>Schedule!$L$105</f>
        <v/>
      </c>
      <c r="I721">
        <f>IF($N721=1,VALUE(LEFT($H721,2)),"")</f>
        <v/>
      </c>
      <c r="J721">
        <f>IF($N721=1,VALUE(MID($H721,9,2)),"")</f>
        <v/>
      </c>
      <c r="K721">
        <f>IF($N721=1,MOD($J721-$I721,24),0)</f>
        <v/>
      </c>
      <c r="L721">
        <f>IF($N721=1,$E721*24+$I721,"")</f>
        <v/>
      </c>
      <c r="M721">
        <f>IF($N721=1,$L721+$K721,"")</f>
        <v/>
      </c>
      <c r="N721">
        <f>IF(ISNUMBER(SEARCH(" - ",$H721&amp;"")),1,0)</f>
        <v/>
      </c>
      <c r="O721">
        <f>IF(UPPER($H721&amp;"")="LEAVE",1,0)</f>
        <v/>
      </c>
      <c r="P721">
        <f>IF($N721=1,$K721,0)</f>
        <v/>
      </c>
      <c r="Q721">
        <f>IF($N721=0,"",IFERROR($L721-LOOKUP(2,1/(($B$2:$B720=$B721)*($N$2:$N720=1)),$M$2:$M720),""))</f>
        <v/>
      </c>
    </row>
    <row r="722">
      <c r="A722" t="n">
        <v>721</v>
      </c>
      <c r="B722">
        <f>Schedule!$A$105</f>
        <v/>
      </c>
      <c r="C722">
        <f>Schedule!$D$105</f>
        <v/>
      </c>
      <c r="D722">
        <f>Schedule!$F$105</f>
        <v/>
      </c>
      <c r="E722" t="n">
        <v>6</v>
      </c>
      <c r="F722">
        <f>Schedule!$M$1</f>
        <v/>
      </c>
      <c r="G722">
        <f>Schedule!$M$2</f>
        <v/>
      </c>
      <c r="H722">
        <f>Schedule!$M$105</f>
        <v/>
      </c>
      <c r="I722">
        <f>IF($N722=1,VALUE(LEFT($H722,2)),"")</f>
        <v/>
      </c>
      <c r="J722">
        <f>IF($N722=1,VALUE(MID($H722,9,2)),"")</f>
        <v/>
      </c>
      <c r="K722">
        <f>IF($N722=1,MOD($J722-$I722,24),0)</f>
        <v/>
      </c>
      <c r="L722">
        <f>IF($N722=1,$E722*24+$I722,"")</f>
        <v/>
      </c>
      <c r="M722">
        <f>IF($N722=1,$L722+$K722,"")</f>
        <v/>
      </c>
      <c r="N722">
        <f>IF(ISNUMBER(SEARCH(" - ",$H722&amp;"")),1,0)</f>
        <v/>
      </c>
      <c r="O722">
        <f>IF(UPPER($H722&amp;"")="LEAVE",1,0)</f>
        <v/>
      </c>
      <c r="P722">
        <f>IF($N722=1,$K722,0)</f>
        <v/>
      </c>
      <c r="Q722">
        <f>IF($N722=0,"",IFERROR($L722-LOOKUP(2,1/(($B$2:$B721=$B722)*($N$2:$N721=1)),$M$2:$M721),""))</f>
        <v/>
      </c>
    </row>
    <row r="723">
      <c r="A723" t="n">
        <v>722</v>
      </c>
      <c r="B723">
        <f>Schedule!$A$106</f>
        <v/>
      </c>
      <c r="C723">
        <f>Schedule!$D$106</f>
        <v/>
      </c>
      <c r="D723">
        <f>Schedule!$F$106</f>
        <v/>
      </c>
      <c r="E723" t="n">
        <v>0</v>
      </c>
      <c r="F723">
        <f>Schedule!$G$1</f>
        <v/>
      </c>
      <c r="G723">
        <f>Schedule!$G$2</f>
        <v/>
      </c>
      <c r="H723">
        <f>Schedule!$G$106</f>
        <v/>
      </c>
      <c r="I723">
        <f>IF($N723=1,VALUE(LEFT($H723,2)),"")</f>
        <v/>
      </c>
      <c r="J723">
        <f>IF($N723=1,VALUE(MID($H723,9,2)),"")</f>
        <v/>
      </c>
      <c r="K723">
        <f>IF($N723=1,MOD($J723-$I723,24),0)</f>
        <v/>
      </c>
      <c r="L723">
        <f>IF($N723=1,$E723*24+$I723,"")</f>
        <v/>
      </c>
      <c r="M723">
        <f>IF($N723=1,$L723+$K723,"")</f>
        <v/>
      </c>
      <c r="N723">
        <f>IF(ISNUMBER(SEARCH(" - ",$H723&amp;"")),1,0)</f>
        <v/>
      </c>
      <c r="O723">
        <f>IF(UPPER($H723&amp;"")="LEAVE",1,0)</f>
        <v/>
      </c>
      <c r="P723">
        <f>IF($N723=1,$K723,0)</f>
        <v/>
      </c>
      <c r="Q723">
        <f>IF($N723=0,"",IFERROR($L723-'Previous Engine'!$M$105,""))</f>
        <v/>
      </c>
    </row>
    <row r="724">
      <c r="A724" t="n">
        <v>723</v>
      </c>
      <c r="B724">
        <f>Schedule!$A$106</f>
        <v/>
      </c>
      <c r="C724">
        <f>Schedule!$D$106</f>
        <v/>
      </c>
      <c r="D724">
        <f>Schedule!$F$106</f>
        <v/>
      </c>
      <c r="E724" t="n">
        <v>1</v>
      </c>
      <c r="F724">
        <f>Schedule!$H$1</f>
        <v/>
      </c>
      <c r="G724">
        <f>Schedule!$H$2</f>
        <v/>
      </c>
      <c r="H724">
        <f>Schedule!$H$106</f>
        <v/>
      </c>
      <c r="I724">
        <f>IF($N724=1,VALUE(LEFT($H724,2)),"")</f>
        <v/>
      </c>
      <c r="J724">
        <f>IF($N724=1,VALUE(MID($H724,9,2)),"")</f>
        <v/>
      </c>
      <c r="K724">
        <f>IF($N724=1,MOD($J724-$I724,24),0)</f>
        <v/>
      </c>
      <c r="L724">
        <f>IF($N724=1,$E724*24+$I724,"")</f>
        <v/>
      </c>
      <c r="M724">
        <f>IF($N724=1,$L724+$K724,"")</f>
        <v/>
      </c>
      <c r="N724">
        <f>IF(ISNUMBER(SEARCH(" - ",$H724&amp;"")),1,0)</f>
        <v/>
      </c>
      <c r="O724">
        <f>IF(UPPER($H724&amp;"")="LEAVE",1,0)</f>
        <v/>
      </c>
      <c r="P724">
        <f>IF($N724=1,$K724,0)</f>
        <v/>
      </c>
      <c r="Q724">
        <f>IF($N724=0,"",IFERROR($L724-LOOKUP(2,1/(($B$2:$B723=$B724)*($N$2:$N723=1)),$M$2:$M723),""))</f>
        <v/>
      </c>
    </row>
    <row r="725">
      <c r="A725" t="n">
        <v>724</v>
      </c>
      <c r="B725">
        <f>Schedule!$A$106</f>
        <v/>
      </c>
      <c r="C725">
        <f>Schedule!$D$106</f>
        <v/>
      </c>
      <c r="D725">
        <f>Schedule!$F$106</f>
        <v/>
      </c>
      <c r="E725" t="n">
        <v>2</v>
      </c>
      <c r="F725">
        <f>Schedule!$I$1</f>
        <v/>
      </c>
      <c r="G725">
        <f>Schedule!$I$2</f>
        <v/>
      </c>
      <c r="H725">
        <f>Schedule!$I$106</f>
        <v/>
      </c>
      <c r="I725">
        <f>IF($N725=1,VALUE(LEFT($H725,2)),"")</f>
        <v/>
      </c>
      <c r="J725">
        <f>IF($N725=1,VALUE(MID($H725,9,2)),"")</f>
        <v/>
      </c>
      <c r="K725">
        <f>IF($N725=1,MOD($J725-$I725,24),0)</f>
        <v/>
      </c>
      <c r="L725">
        <f>IF($N725=1,$E725*24+$I725,"")</f>
        <v/>
      </c>
      <c r="M725">
        <f>IF($N725=1,$L725+$K725,"")</f>
        <v/>
      </c>
      <c r="N725">
        <f>IF(ISNUMBER(SEARCH(" - ",$H725&amp;"")),1,0)</f>
        <v/>
      </c>
      <c r="O725">
        <f>IF(UPPER($H725&amp;"")="LEAVE",1,0)</f>
        <v/>
      </c>
      <c r="P725">
        <f>IF($N725=1,$K725,0)</f>
        <v/>
      </c>
      <c r="Q725">
        <f>IF($N725=0,"",IFERROR($L725-LOOKUP(2,1/(($B$2:$B724=$B725)*($N$2:$N724=1)),$M$2:$M724),""))</f>
        <v/>
      </c>
    </row>
    <row r="726">
      <c r="A726" t="n">
        <v>725</v>
      </c>
      <c r="B726">
        <f>Schedule!$A$106</f>
        <v/>
      </c>
      <c r="C726">
        <f>Schedule!$D$106</f>
        <v/>
      </c>
      <c r="D726">
        <f>Schedule!$F$106</f>
        <v/>
      </c>
      <c r="E726" t="n">
        <v>3</v>
      </c>
      <c r="F726">
        <f>Schedule!$J$1</f>
        <v/>
      </c>
      <c r="G726">
        <f>Schedule!$J$2</f>
        <v/>
      </c>
      <c r="H726">
        <f>Schedule!$J$106</f>
        <v/>
      </c>
      <c r="I726">
        <f>IF($N726=1,VALUE(LEFT($H726,2)),"")</f>
        <v/>
      </c>
      <c r="J726">
        <f>IF($N726=1,VALUE(MID($H726,9,2)),"")</f>
        <v/>
      </c>
      <c r="K726">
        <f>IF($N726=1,MOD($J726-$I726,24),0)</f>
        <v/>
      </c>
      <c r="L726">
        <f>IF($N726=1,$E726*24+$I726,"")</f>
        <v/>
      </c>
      <c r="M726">
        <f>IF($N726=1,$L726+$K726,"")</f>
        <v/>
      </c>
      <c r="N726">
        <f>IF(ISNUMBER(SEARCH(" - ",$H726&amp;"")),1,0)</f>
        <v/>
      </c>
      <c r="O726">
        <f>IF(UPPER($H726&amp;"")="LEAVE",1,0)</f>
        <v/>
      </c>
      <c r="P726">
        <f>IF($N726=1,$K726,0)</f>
        <v/>
      </c>
      <c r="Q726">
        <f>IF($N726=0,"",IFERROR($L726-LOOKUP(2,1/(($B$2:$B725=$B726)*($N$2:$N725=1)),$M$2:$M725),""))</f>
        <v/>
      </c>
    </row>
    <row r="727">
      <c r="A727" t="n">
        <v>726</v>
      </c>
      <c r="B727">
        <f>Schedule!$A$106</f>
        <v/>
      </c>
      <c r="C727">
        <f>Schedule!$D$106</f>
        <v/>
      </c>
      <c r="D727">
        <f>Schedule!$F$106</f>
        <v/>
      </c>
      <c r="E727" t="n">
        <v>4</v>
      </c>
      <c r="F727">
        <f>Schedule!$K$1</f>
        <v/>
      </c>
      <c r="G727">
        <f>Schedule!$K$2</f>
        <v/>
      </c>
      <c r="H727">
        <f>Schedule!$K$106</f>
        <v/>
      </c>
      <c r="I727">
        <f>IF($N727=1,VALUE(LEFT($H727,2)),"")</f>
        <v/>
      </c>
      <c r="J727">
        <f>IF($N727=1,VALUE(MID($H727,9,2)),"")</f>
        <v/>
      </c>
      <c r="K727">
        <f>IF($N727=1,MOD($J727-$I727,24),0)</f>
        <v/>
      </c>
      <c r="L727">
        <f>IF($N727=1,$E727*24+$I727,"")</f>
        <v/>
      </c>
      <c r="M727">
        <f>IF($N727=1,$L727+$K727,"")</f>
        <v/>
      </c>
      <c r="N727">
        <f>IF(ISNUMBER(SEARCH(" - ",$H727&amp;"")),1,0)</f>
        <v/>
      </c>
      <c r="O727">
        <f>IF(UPPER($H727&amp;"")="LEAVE",1,0)</f>
        <v/>
      </c>
      <c r="P727">
        <f>IF($N727=1,$K727,0)</f>
        <v/>
      </c>
      <c r="Q727">
        <f>IF($N727=0,"",IFERROR($L727-LOOKUP(2,1/(($B$2:$B726=$B727)*($N$2:$N726=1)),$M$2:$M726),""))</f>
        <v/>
      </c>
    </row>
    <row r="728">
      <c r="A728" t="n">
        <v>727</v>
      </c>
      <c r="B728">
        <f>Schedule!$A$106</f>
        <v/>
      </c>
      <c r="C728">
        <f>Schedule!$D$106</f>
        <v/>
      </c>
      <c r="D728">
        <f>Schedule!$F$106</f>
        <v/>
      </c>
      <c r="E728" t="n">
        <v>5</v>
      </c>
      <c r="F728">
        <f>Schedule!$L$1</f>
        <v/>
      </c>
      <c r="G728">
        <f>Schedule!$L$2</f>
        <v/>
      </c>
      <c r="H728">
        <f>Schedule!$L$106</f>
        <v/>
      </c>
      <c r="I728">
        <f>IF($N728=1,VALUE(LEFT($H728,2)),"")</f>
        <v/>
      </c>
      <c r="J728">
        <f>IF($N728=1,VALUE(MID($H728,9,2)),"")</f>
        <v/>
      </c>
      <c r="K728">
        <f>IF($N728=1,MOD($J728-$I728,24),0)</f>
        <v/>
      </c>
      <c r="L728">
        <f>IF($N728=1,$E728*24+$I728,"")</f>
        <v/>
      </c>
      <c r="M728">
        <f>IF($N728=1,$L728+$K728,"")</f>
        <v/>
      </c>
      <c r="N728">
        <f>IF(ISNUMBER(SEARCH(" - ",$H728&amp;"")),1,0)</f>
        <v/>
      </c>
      <c r="O728">
        <f>IF(UPPER($H728&amp;"")="LEAVE",1,0)</f>
        <v/>
      </c>
      <c r="P728">
        <f>IF($N728=1,$K728,0)</f>
        <v/>
      </c>
      <c r="Q728">
        <f>IF($N728=0,"",IFERROR($L728-LOOKUP(2,1/(($B$2:$B727=$B728)*($N$2:$N727=1)),$M$2:$M727),""))</f>
        <v/>
      </c>
    </row>
    <row r="729">
      <c r="A729" t="n">
        <v>728</v>
      </c>
      <c r="B729">
        <f>Schedule!$A$106</f>
        <v/>
      </c>
      <c r="C729">
        <f>Schedule!$D$106</f>
        <v/>
      </c>
      <c r="D729">
        <f>Schedule!$F$106</f>
        <v/>
      </c>
      <c r="E729" t="n">
        <v>6</v>
      </c>
      <c r="F729">
        <f>Schedule!$M$1</f>
        <v/>
      </c>
      <c r="G729">
        <f>Schedule!$M$2</f>
        <v/>
      </c>
      <c r="H729">
        <f>Schedule!$M$106</f>
        <v/>
      </c>
      <c r="I729">
        <f>IF($N729=1,VALUE(LEFT($H729,2)),"")</f>
        <v/>
      </c>
      <c r="J729">
        <f>IF($N729=1,VALUE(MID($H729,9,2)),"")</f>
        <v/>
      </c>
      <c r="K729">
        <f>IF($N729=1,MOD($J729-$I729,24),0)</f>
        <v/>
      </c>
      <c r="L729">
        <f>IF($N729=1,$E729*24+$I729,"")</f>
        <v/>
      </c>
      <c r="M729">
        <f>IF($N729=1,$L729+$K729,"")</f>
        <v/>
      </c>
      <c r="N729">
        <f>IF(ISNUMBER(SEARCH(" - ",$H729&amp;"")),1,0)</f>
        <v/>
      </c>
      <c r="O729">
        <f>IF(UPPER($H729&amp;"")="LEAVE",1,0)</f>
        <v/>
      </c>
      <c r="P729">
        <f>IF($N729=1,$K729,0)</f>
        <v/>
      </c>
      <c r="Q729">
        <f>IF($N729=0,"",IFERROR($L729-LOOKUP(2,1/(($B$2:$B728=$B729)*($N$2:$N728=1)),$M$2:$M728),""))</f>
        <v/>
      </c>
    </row>
    <row r="730">
      <c r="A730" t="n">
        <v>729</v>
      </c>
      <c r="B730">
        <f>Schedule!$A$107</f>
        <v/>
      </c>
      <c r="C730">
        <f>Schedule!$D$107</f>
        <v/>
      </c>
      <c r="D730">
        <f>Schedule!$F$107</f>
        <v/>
      </c>
      <c r="E730" t="n">
        <v>0</v>
      </c>
      <c r="F730">
        <f>Schedule!$G$1</f>
        <v/>
      </c>
      <c r="G730">
        <f>Schedule!$G$2</f>
        <v/>
      </c>
      <c r="H730">
        <f>Schedule!$G$107</f>
        <v/>
      </c>
      <c r="I730">
        <f>IF($N730=1,VALUE(LEFT($H730,2)),"")</f>
        <v/>
      </c>
      <c r="J730">
        <f>IF($N730=1,VALUE(MID($H730,9,2)),"")</f>
        <v/>
      </c>
      <c r="K730">
        <f>IF($N730=1,MOD($J730-$I730,24),0)</f>
        <v/>
      </c>
      <c r="L730">
        <f>IF($N730=1,$E730*24+$I730,"")</f>
        <v/>
      </c>
      <c r="M730">
        <f>IF($N730=1,$L730+$K730,"")</f>
        <v/>
      </c>
      <c r="N730">
        <f>IF(ISNUMBER(SEARCH(" - ",$H730&amp;"")),1,0)</f>
        <v/>
      </c>
      <c r="O730">
        <f>IF(UPPER($H730&amp;"")="LEAVE",1,0)</f>
        <v/>
      </c>
      <c r="P730">
        <f>IF($N730=1,$K730,0)</f>
        <v/>
      </c>
      <c r="Q730">
        <f>IF($N730=0,"",IFERROR($L730-'Previous Engine'!$M$106,""))</f>
        <v/>
      </c>
    </row>
    <row r="731">
      <c r="A731" t="n">
        <v>730</v>
      </c>
      <c r="B731">
        <f>Schedule!$A$107</f>
        <v/>
      </c>
      <c r="C731">
        <f>Schedule!$D$107</f>
        <v/>
      </c>
      <c r="D731">
        <f>Schedule!$F$107</f>
        <v/>
      </c>
      <c r="E731" t="n">
        <v>1</v>
      </c>
      <c r="F731">
        <f>Schedule!$H$1</f>
        <v/>
      </c>
      <c r="G731">
        <f>Schedule!$H$2</f>
        <v/>
      </c>
      <c r="H731">
        <f>Schedule!$H$107</f>
        <v/>
      </c>
      <c r="I731">
        <f>IF($N731=1,VALUE(LEFT($H731,2)),"")</f>
        <v/>
      </c>
      <c r="J731">
        <f>IF($N731=1,VALUE(MID($H731,9,2)),"")</f>
        <v/>
      </c>
      <c r="K731">
        <f>IF($N731=1,MOD($J731-$I731,24),0)</f>
        <v/>
      </c>
      <c r="L731">
        <f>IF($N731=1,$E731*24+$I731,"")</f>
        <v/>
      </c>
      <c r="M731">
        <f>IF($N731=1,$L731+$K731,"")</f>
        <v/>
      </c>
      <c r="N731">
        <f>IF(ISNUMBER(SEARCH(" - ",$H731&amp;"")),1,0)</f>
        <v/>
      </c>
      <c r="O731">
        <f>IF(UPPER($H731&amp;"")="LEAVE",1,0)</f>
        <v/>
      </c>
      <c r="P731">
        <f>IF($N731=1,$K731,0)</f>
        <v/>
      </c>
      <c r="Q731">
        <f>IF($N731=0,"",IFERROR($L731-LOOKUP(2,1/(($B$2:$B730=$B731)*($N$2:$N730=1)),$M$2:$M730),""))</f>
        <v/>
      </c>
    </row>
    <row r="732">
      <c r="A732" t="n">
        <v>731</v>
      </c>
      <c r="B732">
        <f>Schedule!$A$107</f>
        <v/>
      </c>
      <c r="C732">
        <f>Schedule!$D$107</f>
        <v/>
      </c>
      <c r="D732">
        <f>Schedule!$F$107</f>
        <v/>
      </c>
      <c r="E732" t="n">
        <v>2</v>
      </c>
      <c r="F732">
        <f>Schedule!$I$1</f>
        <v/>
      </c>
      <c r="G732">
        <f>Schedule!$I$2</f>
        <v/>
      </c>
      <c r="H732">
        <f>Schedule!$I$107</f>
        <v/>
      </c>
      <c r="I732">
        <f>IF($N732=1,VALUE(LEFT($H732,2)),"")</f>
        <v/>
      </c>
      <c r="J732">
        <f>IF($N732=1,VALUE(MID($H732,9,2)),"")</f>
        <v/>
      </c>
      <c r="K732">
        <f>IF($N732=1,MOD($J732-$I732,24),0)</f>
        <v/>
      </c>
      <c r="L732">
        <f>IF($N732=1,$E732*24+$I732,"")</f>
        <v/>
      </c>
      <c r="M732">
        <f>IF($N732=1,$L732+$K732,"")</f>
        <v/>
      </c>
      <c r="N732">
        <f>IF(ISNUMBER(SEARCH(" - ",$H732&amp;"")),1,0)</f>
        <v/>
      </c>
      <c r="O732">
        <f>IF(UPPER($H732&amp;"")="LEAVE",1,0)</f>
        <v/>
      </c>
      <c r="P732">
        <f>IF($N732=1,$K732,0)</f>
        <v/>
      </c>
      <c r="Q732">
        <f>IF($N732=0,"",IFERROR($L732-LOOKUP(2,1/(($B$2:$B731=$B732)*($N$2:$N731=1)),$M$2:$M731),""))</f>
        <v/>
      </c>
    </row>
    <row r="733">
      <c r="A733" t="n">
        <v>732</v>
      </c>
      <c r="B733">
        <f>Schedule!$A$107</f>
        <v/>
      </c>
      <c r="C733">
        <f>Schedule!$D$107</f>
        <v/>
      </c>
      <c r="D733">
        <f>Schedule!$F$107</f>
        <v/>
      </c>
      <c r="E733" t="n">
        <v>3</v>
      </c>
      <c r="F733">
        <f>Schedule!$J$1</f>
        <v/>
      </c>
      <c r="G733">
        <f>Schedule!$J$2</f>
        <v/>
      </c>
      <c r="H733">
        <f>Schedule!$J$107</f>
        <v/>
      </c>
      <c r="I733">
        <f>IF($N733=1,VALUE(LEFT($H733,2)),"")</f>
        <v/>
      </c>
      <c r="J733">
        <f>IF($N733=1,VALUE(MID($H733,9,2)),"")</f>
        <v/>
      </c>
      <c r="K733">
        <f>IF($N733=1,MOD($J733-$I733,24),0)</f>
        <v/>
      </c>
      <c r="L733">
        <f>IF($N733=1,$E733*24+$I733,"")</f>
        <v/>
      </c>
      <c r="M733">
        <f>IF($N733=1,$L733+$K733,"")</f>
        <v/>
      </c>
      <c r="N733">
        <f>IF(ISNUMBER(SEARCH(" - ",$H733&amp;"")),1,0)</f>
        <v/>
      </c>
      <c r="O733">
        <f>IF(UPPER($H733&amp;"")="LEAVE",1,0)</f>
        <v/>
      </c>
      <c r="P733">
        <f>IF($N733=1,$K733,0)</f>
        <v/>
      </c>
      <c r="Q733">
        <f>IF($N733=0,"",IFERROR($L733-LOOKUP(2,1/(($B$2:$B732=$B733)*($N$2:$N732=1)),$M$2:$M732),""))</f>
        <v/>
      </c>
    </row>
    <row r="734">
      <c r="A734" t="n">
        <v>733</v>
      </c>
      <c r="B734">
        <f>Schedule!$A$107</f>
        <v/>
      </c>
      <c r="C734">
        <f>Schedule!$D$107</f>
        <v/>
      </c>
      <c r="D734">
        <f>Schedule!$F$107</f>
        <v/>
      </c>
      <c r="E734" t="n">
        <v>4</v>
      </c>
      <c r="F734">
        <f>Schedule!$K$1</f>
        <v/>
      </c>
      <c r="G734">
        <f>Schedule!$K$2</f>
        <v/>
      </c>
      <c r="H734">
        <f>Schedule!$K$107</f>
        <v/>
      </c>
      <c r="I734">
        <f>IF($N734=1,VALUE(LEFT($H734,2)),"")</f>
        <v/>
      </c>
      <c r="J734">
        <f>IF($N734=1,VALUE(MID($H734,9,2)),"")</f>
        <v/>
      </c>
      <c r="K734">
        <f>IF($N734=1,MOD($J734-$I734,24),0)</f>
        <v/>
      </c>
      <c r="L734">
        <f>IF($N734=1,$E734*24+$I734,"")</f>
        <v/>
      </c>
      <c r="M734">
        <f>IF($N734=1,$L734+$K734,"")</f>
        <v/>
      </c>
      <c r="N734">
        <f>IF(ISNUMBER(SEARCH(" - ",$H734&amp;"")),1,0)</f>
        <v/>
      </c>
      <c r="O734">
        <f>IF(UPPER($H734&amp;"")="LEAVE",1,0)</f>
        <v/>
      </c>
      <c r="P734">
        <f>IF($N734=1,$K734,0)</f>
        <v/>
      </c>
      <c r="Q734">
        <f>IF($N734=0,"",IFERROR($L734-LOOKUP(2,1/(($B$2:$B733=$B734)*($N$2:$N733=1)),$M$2:$M733),""))</f>
        <v/>
      </c>
    </row>
    <row r="735">
      <c r="A735" t="n">
        <v>734</v>
      </c>
      <c r="B735">
        <f>Schedule!$A$107</f>
        <v/>
      </c>
      <c r="C735">
        <f>Schedule!$D$107</f>
        <v/>
      </c>
      <c r="D735">
        <f>Schedule!$F$107</f>
        <v/>
      </c>
      <c r="E735" t="n">
        <v>5</v>
      </c>
      <c r="F735">
        <f>Schedule!$L$1</f>
        <v/>
      </c>
      <c r="G735">
        <f>Schedule!$L$2</f>
        <v/>
      </c>
      <c r="H735">
        <f>Schedule!$L$107</f>
        <v/>
      </c>
      <c r="I735">
        <f>IF($N735=1,VALUE(LEFT($H735,2)),"")</f>
        <v/>
      </c>
      <c r="J735">
        <f>IF($N735=1,VALUE(MID($H735,9,2)),"")</f>
        <v/>
      </c>
      <c r="K735">
        <f>IF($N735=1,MOD($J735-$I735,24),0)</f>
        <v/>
      </c>
      <c r="L735">
        <f>IF($N735=1,$E735*24+$I735,"")</f>
        <v/>
      </c>
      <c r="M735">
        <f>IF($N735=1,$L735+$K735,"")</f>
        <v/>
      </c>
      <c r="N735">
        <f>IF(ISNUMBER(SEARCH(" - ",$H735&amp;"")),1,0)</f>
        <v/>
      </c>
      <c r="O735">
        <f>IF(UPPER($H735&amp;"")="LEAVE",1,0)</f>
        <v/>
      </c>
      <c r="P735">
        <f>IF($N735=1,$K735,0)</f>
        <v/>
      </c>
      <c r="Q735">
        <f>IF($N735=0,"",IFERROR($L735-LOOKUP(2,1/(($B$2:$B734=$B735)*($N$2:$N734=1)),$M$2:$M734),""))</f>
        <v/>
      </c>
    </row>
    <row r="736">
      <c r="A736" t="n">
        <v>735</v>
      </c>
      <c r="B736">
        <f>Schedule!$A$107</f>
        <v/>
      </c>
      <c r="C736">
        <f>Schedule!$D$107</f>
        <v/>
      </c>
      <c r="D736">
        <f>Schedule!$F$107</f>
        <v/>
      </c>
      <c r="E736" t="n">
        <v>6</v>
      </c>
      <c r="F736">
        <f>Schedule!$M$1</f>
        <v/>
      </c>
      <c r="G736">
        <f>Schedule!$M$2</f>
        <v/>
      </c>
      <c r="H736">
        <f>Schedule!$M$107</f>
        <v/>
      </c>
      <c r="I736">
        <f>IF($N736=1,VALUE(LEFT($H736,2)),"")</f>
        <v/>
      </c>
      <c r="J736">
        <f>IF($N736=1,VALUE(MID($H736,9,2)),"")</f>
        <v/>
      </c>
      <c r="K736">
        <f>IF($N736=1,MOD($J736-$I736,24),0)</f>
        <v/>
      </c>
      <c r="L736">
        <f>IF($N736=1,$E736*24+$I736,"")</f>
        <v/>
      </c>
      <c r="M736">
        <f>IF($N736=1,$L736+$K736,"")</f>
        <v/>
      </c>
      <c r="N736">
        <f>IF(ISNUMBER(SEARCH(" - ",$H736&amp;"")),1,0)</f>
        <v/>
      </c>
      <c r="O736">
        <f>IF(UPPER($H736&amp;"")="LEAVE",1,0)</f>
        <v/>
      </c>
      <c r="P736">
        <f>IF($N736=1,$K736,0)</f>
        <v/>
      </c>
      <c r="Q736">
        <f>IF($N736=0,"",IFERROR($L736-LOOKUP(2,1/(($B$2:$B735=$B736)*($N$2:$N735=1)),$M$2:$M735),""))</f>
        <v/>
      </c>
    </row>
    <row r="737">
      <c r="A737" t="n">
        <v>736</v>
      </c>
      <c r="B737">
        <f>Schedule!$A$108</f>
        <v/>
      </c>
      <c r="C737">
        <f>Schedule!$D$108</f>
        <v/>
      </c>
      <c r="D737">
        <f>Schedule!$F$108</f>
        <v/>
      </c>
      <c r="E737" t="n">
        <v>0</v>
      </c>
      <c r="F737">
        <f>Schedule!$G$1</f>
        <v/>
      </c>
      <c r="G737">
        <f>Schedule!$G$2</f>
        <v/>
      </c>
      <c r="H737">
        <f>Schedule!$G$108</f>
        <v/>
      </c>
      <c r="I737">
        <f>IF($N737=1,VALUE(LEFT($H737,2)),"")</f>
        <v/>
      </c>
      <c r="J737">
        <f>IF($N737=1,VALUE(MID($H737,9,2)),"")</f>
        <v/>
      </c>
      <c r="K737">
        <f>IF($N737=1,MOD($J737-$I737,24),0)</f>
        <v/>
      </c>
      <c r="L737">
        <f>IF($N737=1,$E737*24+$I737,"")</f>
        <v/>
      </c>
      <c r="M737">
        <f>IF($N737=1,$L737+$K737,"")</f>
        <v/>
      </c>
      <c r="N737">
        <f>IF(ISNUMBER(SEARCH(" - ",$H737&amp;"")),1,0)</f>
        <v/>
      </c>
      <c r="O737">
        <f>IF(UPPER($H737&amp;"")="LEAVE",1,0)</f>
        <v/>
      </c>
      <c r="P737">
        <f>IF($N737=1,$K737,0)</f>
        <v/>
      </c>
      <c r="Q737">
        <f>IF($N737=0,"",IFERROR($L737-'Previous Engine'!$M$107,""))</f>
        <v/>
      </c>
    </row>
    <row r="738">
      <c r="A738" t="n">
        <v>737</v>
      </c>
      <c r="B738">
        <f>Schedule!$A$108</f>
        <v/>
      </c>
      <c r="C738">
        <f>Schedule!$D$108</f>
        <v/>
      </c>
      <c r="D738">
        <f>Schedule!$F$108</f>
        <v/>
      </c>
      <c r="E738" t="n">
        <v>1</v>
      </c>
      <c r="F738">
        <f>Schedule!$H$1</f>
        <v/>
      </c>
      <c r="G738">
        <f>Schedule!$H$2</f>
        <v/>
      </c>
      <c r="H738">
        <f>Schedule!$H$108</f>
        <v/>
      </c>
      <c r="I738">
        <f>IF($N738=1,VALUE(LEFT($H738,2)),"")</f>
        <v/>
      </c>
      <c r="J738">
        <f>IF($N738=1,VALUE(MID($H738,9,2)),"")</f>
        <v/>
      </c>
      <c r="K738">
        <f>IF($N738=1,MOD($J738-$I738,24),0)</f>
        <v/>
      </c>
      <c r="L738">
        <f>IF($N738=1,$E738*24+$I738,"")</f>
        <v/>
      </c>
      <c r="M738">
        <f>IF($N738=1,$L738+$K738,"")</f>
        <v/>
      </c>
      <c r="N738">
        <f>IF(ISNUMBER(SEARCH(" - ",$H738&amp;"")),1,0)</f>
        <v/>
      </c>
      <c r="O738">
        <f>IF(UPPER($H738&amp;"")="LEAVE",1,0)</f>
        <v/>
      </c>
      <c r="P738">
        <f>IF($N738=1,$K738,0)</f>
        <v/>
      </c>
      <c r="Q738">
        <f>IF($N738=0,"",IFERROR($L738-LOOKUP(2,1/(($B$2:$B737=$B738)*($N$2:$N737=1)),$M$2:$M737),""))</f>
        <v/>
      </c>
    </row>
    <row r="739">
      <c r="A739" t="n">
        <v>738</v>
      </c>
      <c r="B739">
        <f>Schedule!$A$108</f>
        <v/>
      </c>
      <c r="C739">
        <f>Schedule!$D$108</f>
        <v/>
      </c>
      <c r="D739">
        <f>Schedule!$F$108</f>
        <v/>
      </c>
      <c r="E739" t="n">
        <v>2</v>
      </c>
      <c r="F739">
        <f>Schedule!$I$1</f>
        <v/>
      </c>
      <c r="G739">
        <f>Schedule!$I$2</f>
        <v/>
      </c>
      <c r="H739">
        <f>Schedule!$I$108</f>
        <v/>
      </c>
      <c r="I739">
        <f>IF($N739=1,VALUE(LEFT($H739,2)),"")</f>
        <v/>
      </c>
      <c r="J739">
        <f>IF($N739=1,VALUE(MID($H739,9,2)),"")</f>
        <v/>
      </c>
      <c r="K739">
        <f>IF($N739=1,MOD($J739-$I739,24),0)</f>
        <v/>
      </c>
      <c r="L739">
        <f>IF($N739=1,$E739*24+$I739,"")</f>
        <v/>
      </c>
      <c r="M739">
        <f>IF($N739=1,$L739+$K739,"")</f>
        <v/>
      </c>
      <c r="N739">
        <f>IF(ISNUMBER(SEARCH(" - ",$H739&amp;"")),1,0)</f>
        <v/>
      </c>
      <c r="O739">
        <f>IF(UPPER($H739&amp;"")="LEAVE",1,0)</f>
        <v/>
      </c>
      <c r="P739">
        <f>IF($N739=1,$K739,0)</f>
        <v/>
      </c>
      <c r="Q739">
        <f>IF($N739=0,"",IFERROR($L739-LOOKUP(2,1/(($B$2:$B738=$B739)*($N$2:$N738=1)),$M$2:$M738),""))</f>
        <v/>
      </c>
    </row>
    <row r="740">
      <c r="A740" t="n">
        <v>739</v>
      </c>
      <c r="B740">
        <f>Schedule!$A$108</f>
        <v/>
      </c>
      <c r="C740">
        <f>Schedule!$D$108</f>
        <v/>
      </c>
      <c r="D740">
        <f>Schedule!$F$108</f>
        <v/>
      </c>
      <c r="E740" t="n">
        <v>3</v>
      </c>
      <c r="F740">
        <f>Schedule!$J$1</f>
        <v/>
      </c>
      <c r="G740">
        <f>Schedule!$J$2</f>
        <v/>
      </c>
      <c r="H740">
        <f>Schedule!$J$108</f>
        <v/>
      </c>
      <c r="I740">
        <f>IF($N740=1,VALUE(LEFT($H740,2)),"")</f>
        <v/>
      </c>
      <c r="J740">
        <f>IF($N740=1,VALUE(MID($H740,9,2)),"")</f>
        <v/>
      </c>
      <c r="K740">
        <f>IF($N740=1,MOD($J740-$I740,24),0)</f>
        <v/>
      </c>
      <c r="L740">
        <f>IF($N740=1,$E740*24+$I740,"")</f>
        <v/>
      </c>
      <c r="M740">
        <f>IF($N740=1,$L740+$K740,"")</f>
        <v/>
      </c>
      <c r="N740">
        <f>IF(ISNUMBER(SEARCH(" - ",$H740&amp;"")),1,0)</f>
        <v/>
      </c>
      <c r="O740">
        <f>IF(UPPER($H740&amp;"")="LEAVE",1,0)</f>
        <v/>
      </c>
      <c r="P740">
        <f>IF($N740=1,$K740,0)</f>
        <v/>
      </c>
      <c r="Q740">
        <f>IF($N740=0,"",IFERROR($L740-LOOKUP(2,1/(($B$2:$B739=$B740)*($N$2:$N739=1)),$M$2:$M739),""))</f>
        <v/>
      </c>
    </row>
    <row r="741">
      <c r="A741" t="n">
        <v>740</v>
      </c>
      <c r="B741">
        <f>Schedule!$A$108</f>
        <v/>
      </c>
      <c r="C741">
        <f>Schedule!$D$108</f>
        <v/>
      </c>
      <c r="D741">
        <f>Schedule!$F$108</f>
        <v/>
      </c>
      <c r="E741" t="n">
        <v>4</v>
      </c>
      <c r="F741">
        <f>Schedule!$K$1</f>
        <v/>
      </c>
      <c r="G741">
        <f>Schedule!$K$2</f>
        <v/>
      </c>
      <c r="H741">
        <f>Schedule!$K$108</f>
        <v/>
      </c>
      <c r="I741">
        <f>IF($N741=1,VALUE(LEFT($H741,2)),"")</f>
        <v/>
      </c>
      <c r="J741">
        <f>IF($N741=1,VALUE(MID($H741,9,2)),"")</f>
        <v/>
      </c>
      <c r="K741">
        <f>IF($N741=1,MOD($J741-$I741,24),0)</f>
        <v/>
      </c>
      <c r="L741">
        <f>IF($N741=1,$E741*24+$I741,"")</f>
        <v/>
      </c>
      <c r="M741">
        <f>IF($N741=1,$L741+$K741,"")</f>
        <v/>
      </c>
      <c r="N741">
        <f>IF(ISNUMBER(SEARCH(" - ",$H741&amp;"")),1,0)</f>
        <v/>
      </c>
      <c r="O741">
        <f>IF(UPPER($H741&amp;"")="LEAVE",1,0)</f>
        <v/>
      </c>
      <c r="P741">
        <f>IF($N741=1,$K741,0)</f>
        <v/>
      </c>
      <c r="Q741">
        <f>IF($N741=0,"",IFERROR($L741-LOOKUP(2,1/(($B$2:$B740=$B741)*($N$2:$N740=1)),$M$2:$M740),""))</f>
        <v/>
      </c>
    </row>
    <row r="742">
      <c r="A742" t="n">
        <v>741</v>
      </c>
      <c r="B742">
        <f>Schedule!$A$108</f>
        <v/>
      </c>
      <c r="C742">
        <f>Schedule!$D$108</f>
        <v/>
      </c>
      <c r="D742">
        <f>Schedule!$F$108</f>
        <v/>
      </c>
      <c r="E742" t="n">
        <v>5</v>
      </c>
      <c r="F742">
        <f>Schedule!$L$1</f>
        <v/>
      </c>
      <c r="G742">
        <f>Schedule!$L$2</f>
        <v/>
      </c>
      <c r="H742">
        <f>Schedule!$L$108</f>
        <v/>
      </c>
      <c r="I742">
        <f>IF($N742=1,VALUE(LEFT($H742,2)),"")</f>
        <v/>
      </c>
      <c r="J742">
        <f>IF($N742=1,VALUE(MID($H742,9,2)),"")</f>
        <v/>
      </c>
      <c r="K742">
        <f>IF($N742=1,MOD($J742-$I742,24),0)</f>
        <v/>
      </c>
      <c r="L742">
        <f>IF($N742=1,$E742*24+$I742,"")</f>
        <v/>
      </c>
      <c r="M742">
        <f>IF($N742=1,$L742+$K742,"")</f>
        <v/>
      </c>
      <c r="N742">
        <f>IF(ISNUMBER(SEARCH(" - ",$H742&amp;"")),1,0)</f>
        <v/>
      </c>
      <c r="O742">
        <f>IF(UPPER($H742&amp;"")="LEAVE",1,0)</f>
        <v/>
      </c>
      <c r="P742">
        <f>IF($N742=1,$K742,0)</f>
        <v/>
      </c>
      <c r="Q742">
        <f>IF($N742=0,"",IFERROR($L742-LOOKUP(2,1/(($B$2:$B741=$B742)*($N$2:$N741=1)),$M$2:$M741),""))</f>
        <v/>
      </c>
    </row>
    <row r="743">
      <c r="A743" t="n">
        <v>742</v>
      </c>
      <c r="B743">
        <f>Schedule!$A$108</f>
        <v/>
      </c>
      <c r="C743">
        <f>Schedule!$D$108</f>
        <v/>
      </c>
      <c r="D743">
        <f>Schedule!$F$108</f>
        <v/>
      </c>
      <c r="E743" t="n">
        <v>6</v>
      </c>
      <c r="F743">
        <f>Schedule!$M$1</f>
        <v/>
      </c>
      <c r="G743">
        <f>Schedule!$M$2</f>
        <v/>
      </c>
      <c r="H743">
        <f>Schedule!$M$108</f>
        <v/>
      </c>
      <c r="I743">
        <f>IF($N743=1,VALUE(LEFT($H743,2)),"")</f>
        <v/>
      </c>
      <c r="J743">
        <f>IF($N743=1,VALUE(MID($H743,9,2)),"")</f>
        <v/>
      </c>
      <c r="K743">
        <f>IF($N743=1,MOD($J743-$I743,24),0)</f>
        <v/>
      </c>
      <c r="L743">
        <f>IF($N743=1,$E743*24+$I743,"")</f>
        <v/>
      </c>
      <c r="M743">
        <f>IF($N743=1,$L743+$K743,"")</f>
        <v/>
      </c>
      <c r="N743">
        <f>IF(ISNUMBER(SEARCH(" - ",$H743&amp;"")),1,0)</f>
        <v/>
      </c>
      <c r="O743">
        <f>IF(UPPER($H743&amp;"")="LEAVE",1,0)</f>
        <v/>
      </c>
      <c r="P743">
        <f>IF($N743=1,$K743,0)</f>
        <v/>
      </c>
      <c r="Q743">
        <f>IF($N743=0,"",IFERROR($L743-LOOKUP(2,1/(($B$2:$B742=$B743)*($N$2:$N742=1)),$M$2:$M742),""))</f>
        <v/>
      </c>
    </row>
    <row r="744">
      <c r="A744" t="n">
        <v>743</v>
      </c>
      <c r="B744">
        <f>Schedule!$A$109</f>
        <v/>
      </c>
      <c r="C744">
        <f>Schedule!$D$109</f>
        <v/>
      </c>
      <c r="D744">
        <f>Schedule!$F$109</f>
        <v/>
      </c>
      <c r="E744" t="n">
        <v>0</v>
      </c>
      <c r="F744">
        <f>Schedule!$G$1</f>
        <v/>
      </c>
      <c r="G744">
        <f>Schedule!$G$2</f>
        <v/>
      </c>
      <c r="H744">
        <f>Schedule!$G$109</f>
        <v/>
      </c>
      <c r="I744">
        <f>IF($N744=1,VALUE(LEFT($H744,2)),"")</f>
        <v/>
      </c>
      <c r="J744">
        <f>IF($N744=1,VALUE(MID($H744,9,2)),"")</f>
        <v/>
      </c>
      <c r="K744">
        <f>IF($N744=1,MOD($J744-$I744,24),0)</f>
        <v/>
      </c>
      <c r="L744">
        <f>IF($N744=1,$E744*24+$I744,"")</f>
        <v/>
      </c>
      <c r="M744">
        <f>IF($N744=1,$L744+$K744,"")</f>
        <v/>
      </c>
      <c r="N744">
        <f>IF(ISNUMBER(SEARCH(" - ",$H744&amp;"")),1,0)</f>
        <v/>
      </c>
      <c r="O744">
        <f>IF(UPPER($H744&amp;"")="LEAVE",1,0)</f>
        <v/>
      </c>
      <c r="P744">
        <f>IF($N744=1,$K744,0)</f>
        <v/>
      </c>
      <c r="Q744">
        <f>IF($N744=0,"",IFERROR($L744-'Previous Engine'!$M$108,""))</f>
        <v/>
      </c>
    </row>
    <row r="745">
      <c r="A745" t="n">
        <v>744</v>
      </c>
      <c r="B745">
        <f>Schedule!$A$109</f>
        <v/>
      </c>
      <c r="C745">
        <f>Schedule!$D$109</f>
        <v/>
      </c>
      <c r="D745">
        <f>Schedule!$F$109</f>
        <v/>
      </c>
      <c r="E745" t="n">
        <v>1</v>
      </c>
      <c r="F745">
        <f>Schedule!$H$1</f>
        <v/>
      </c>
      <c r="G745">
        <f>Schedule!$H$2</f>
        <v/>
      </c>
      <c r="H745">
        <f>Schedule!$H$109</f>
        <v/>
      </c>
      <c r="I745">
        <f>IF($N745=1,VALUE(LEFT($H745,2)),"")</f>
        <v/>
      </c>
      <c r="J745">
        <f>IF($N745=1,VALUE(MID($H745,9,2)),"")</f>
        <v/>
      </c>
      <c r="K745">
        <f>IF($N745=1,MOD($J745-$I745,24),0)</f>
        <v/>
      </c>
      <c r="L745">
        <f>IF($N745=1,$E745*24+$I745,"")</f>
        <v/>
      </c>
      <c r="M745">
        <f>IF($N745=1,$L745+$K745,"")</f>
        <v/>
      </c>
      <c r="N745">
        <f>IF(ISNUMBER(SEARCH(" - ",$H745&amp;"")),1,0)</f>
        <v/>
      </c>
      <c r="O745">
        <f>IF(UPPER($H745&amp;"")="LEAVE",1,0)</f>
        <v/>
      </c>
      <c r="P745">
        <f>IF($N745=1,$K745,0)</f>
        <v/>
      </c>
      <c r="Q745">
        <f>IF($N745=0,"",IFERROR($L745-LOOKUP(2,1/(($B$2:$B744=$B745)*($N$2:$N744=1)),$M$2:$M744),""))</f>
        <v/>
      </c>
    </row>
    <row r="746">
      <c r="A746" t="n">
        <v>745</v>
      </c>
      <c r="B746">
        <f>Schedule!$A$109</f>
        <v/>
      </c>
      <c r="C746">
        <f>Schedule!$D$109</f>
        <v/>
      </c>
      <c r="D746">
        <f>Schedule!$F$109</f>
        <v/>
      </c>
      <c r="E746" t="n">
        <v>2</v>
      </c>
      <c r="F746">
        <f>Schedule!$I$1</f>
        <v/>
      </c>
      <c r="G746">
        <f>Schedule!$I$2</f>
        <v/>
      </c>
      <c r="H746">
        <f>Schedule!$I$109</f>
        <v/>
      </c>
      <c r="I746">
        <f>IF($N746=1,VALUE(LEFT($H746,2)),"")</f>
        <v/>
      </c>
      <c r="J746">
        <f>IF($N746=1,VALUE(MID($H746,9,2)),"")</f>
        <v/>
      </c>
      <c r="K746">
        <f>IF($N746=1,MOD($J746-$I746,24),0)</f>
        <v/>
      </c>
      <c r="L746">
        <f>IF($N746=1,$E746*24+$I746,"")</f>
        <v/>
      </c>
      <c r="M746">
        <f>IF($N746=1,$L746+$K746,"")</f>
        <v/>
      </c>
      <c r="N746">
        <f>IF(ISNUMBER(SEARCH(" - ",$H746&amp;"")),1,0)</f>
        <v/>
      </c>
      <c r="O746">
        <f>IF(UPPER($H746&amp;"")="LEAVE",1,0)</f>
        <v/>
      </c>
      <c r="P746">
        <f>IF($N746=1,$K746,0)</f>
        <v/>
      </c>
      <c r="Q746">
        <f>IF($N746=0,"",IFERROR($L746-LOOKUP(2,1/(($B$2:$B745=$B746)*($N$2:$N745=1)),$M$2:$M745),""))</f>
        <v/>
      </c>
    </row>
    <row r="747">
      <c r="A747" t="n">
        <v>746</v>
      </c>
      <c r="B747">
        <f>Schedule!$A$109</f>
        <v/>
      </c>
      <c r="C747">
        <f>Schedule!$D$109</f>
        <v/>
      </c>
      <c r="D747">
        <f>Schedule!$F$109</f>
        <v/>
      </c>
      <c r="E747" t="n">
        <v>3</v>
      </c>
      <c r="F747">
        <f>Schedule!$J$1</f>
        <v/>
      </c>
      <c r="G747">
        <f>Schedule!$J$2</f>
        <v/>
      </c>
      <c r="H747">
        <f>Schedule!$J$109</f>
        <v/>
      </c>
      <c r="I747">
        <f>IF($N747=1,VALUE(LEFT($H747,2)),"")</f>
        <v/>
      </c>
      <c r="J747">
        <f>IF($N747=1,VALUE(MID($H747,9,2)),"")</f>
        <v/>
      </c>
      <c r="K747">
        <f>IF($N747=1,MOD($J747-$I747,24),0)</f>
        <v/>
      </c>
      <c r="L747">
        <f>IF($N747=1,$E747*24+$I747,"")</f>
        <v/>
      </c>
      <c r="M747">
        <f>IF($N747=1,$L747+$K747,"")</f>
        <v/>
      </c>
      <c r="N747">
        <f>IF(ISNUMBER(SEARCH(" - ",$H747&amp;"")),1,0)</f>
        <v/>
      </c>
      <c r="O747">
        <f>IF(UPPER($H747&amp;"")="LEAVE",1,0)</f>
        <v/>
      </c>
      <c r="P747">
        <f>IF($N747=1,$K747,0)</f>
        <v/>
      </c>
      <c r="Q747">
        <f>IF($N747=0,"",IFERROR($L747-LOOKUP(2,1/(($B$2:$B746=$B747)*($N$2:$N746=1)),$M$2:$M746),""))</f>
        <v/>
      </c>
    </row>
    <row r="748">
      <c r="A748" t="n">
        <v>747</v>
      </c>
      <c r="B748">
        <f>Schedule!$A$109</f>
        <v/>
      </c>
      <c r="C748">
        <f>Schedule!$D$109</f>
        <v/>
      </c>
      <c r="D748">
        <f>Schedule!$F$109</f>
        <v/>
      </c>
      <c r="E748" t="n">
        <v>4</v>
      </c>
      <c r="F748">
        <f>Schedule!$K$1</f>
        <v/>
      </c>
      <c r="G748">
        <f>Schedule!$K$2</f>
        <v/>
      </c>
      <c r="H748">
        <f>Schedule!$K$109</f>
        <v/>
      </c>
      <c r="I748">
        <f>IF($N748=1,VALUE(LEFT($H748,2)),"")</f>
        <v/>
      </c>
      <c r="J748">
        <f>IF($N748=1,VALUE(MID($H748,9,2)),"")</f>
        <v/>
      </c>
      <c r="K748">
        <f>IF($N748=1,MOD($J748-$I748,24),0)</f>
        <v/>
      </c>
      <c r="L748">
        <f>IF($N748=1,$E748*24+$I748,"")</f>
        <v/>
      </c>
      <c r="M748">
        <f>IF($N748=1,$L748+$K748,"")</f>
        <v/>
      </c>
      <c r="N748">
        <f>IF(ISNUMBER(SEARCH(" - ",$H748&amp;"")),1,0)</f>
        <v/>
      </c>
      <c r="O748">
        <f>IF(UPPER($H748&amp;"")="LEAVE",1,0)</f>
        <v/>
      </c>
      <c r="P748">
        <f>IF($N748=1,$K748,0)</f>
        <v/>
      </c>
      <c r="Q748">
        <f>IF($N748=0,"",IFERROR($L748-LOOKUP(2,1/(($B$2:$B747=$B748)*($N$2:$N747=1)),$M$2:$M747),""))</f>
        <v/>
      </c>
    </row>
    <row r="749">
      <c r="A749" t="n">
        <v>748</v>
      </c>
      <c r="B749">
        <f>Schedule!$A$109</f>
        <v/>
      </c>
      <c r="C749">
        <f>Schedule!$D$109</f>
        <v/>
      </c>
      <c r="D749">
        <f>Schedule!$F$109</f>
        <v/>
      </c>
      <c r="E749" t="n">
        <v>5</v>
      </c>
      <c r="F749">
        <f>Schedule!$L$1</f>
        <v/>
      </c>
      <c r="G749">
        <f>Schedule!$L$2</f>
        <v/>
      </c>
      <c r="H749">
        <f>Schedule!$L$109</f>
        <v/>
      </c>
      <c r="I749">
        <f>IF($N749=1,VALUE(LEFT($H749,2)),"")</f>
        <v/>
      </c>
      <c r="J749">
        <f>IF($N749=1,VALUE(MID($H749,9,2)),"")</f>
        <v/>
      </c>
      <c r="K749">
        <f>IF($N749=1,MOD($J749-$I749,24),0)</f>
        <v/>
      </c>
      <c r="L749">
        <f>IF($N749=1,$E749*24+$I749,"")</f>
        <v/>
      </c>
      <c r="M749">
        <f>IF($N749=1,$L749+$K749,"")</f>
        <v/>
      </c>
      <c r="N749">
        <f>IF(ISNUMBER(SEARCH(" - ",$H749&amp;"")),1,0)</f>
        <v/>
      </c>
      <c r="O749">
        <f>IF(UPPER($H749&amp;"")="LEAVE",1,0)</f>
        <v/>
      </c>
      <c r="P749">
        <f>IF($N749=1,$K749,0)</f>
        <v/>
      </c>
      <c r="Q749">
        <f>IF($N749=0,"",IFERROR($L749-LOOKUP(2,1/(($B$2:$B748=$B749)*($N$2:$N748=1)),$M$2:$M748),""))</f>
        <v/>
      </c>
    </row>
    <row r="750">
      <c r="A750" t="n">
        <v>749</v>
      </c>
      <c r="B750">
        <f>Schedule!$A$109</f>
        <v/>
      </c>
      <c r="C750">
        <f>Schedule!$D$109</f>
        <v/>
      </c>
      <c r="D750">
        <f>Schedule!$F$109</f>
        <v/>
      </c>
      <c r="E750" t="n">
        <v>6</v>
      </c>
      <c r="F750">
        <f>Schedule!$M$1</f>
        <v/>
      </c>
      <c r="G750">
        <f>Schedule!$M$2</f>
        <v/>
      </c>
      <c r="H750">
        <f>Schedule!$M$109</f>
        <v/>
      </c>
      <c r="I750">
        <f>IF($N750=1,VALUE(LEFT($H750,2)),"")</f>
        <v/>
      </c>
      <c r="J750">
        <f>IF($N750=1,VALUE(MID($H750,9,2)),"")</f>
        <v/>
      </c>
      <c r="K750">
        <f>IF($N750=1,MOD($J750-$I750,24),0)</f>
        <v/>
      </c>
      <c r="L750">
        <f>IF($N750=1,$E750*24+$I750,"")</f>
        <v/>
      </c>
      <c r="M750">
        <f>IF($N750=1,$L750+$K750,"")</f>
        <v/>
      </c>
      <c r="N750">
        <f>IF(ISNUMBER(SEARCH(" - ",$H750&amp;"")),1,0)</f>
        <v/>
      </c>
      <c r="O750">
        <f>IF(UPPER($H750&amp;"")="LEAVE",1,0)</f>
        <v/>
      </c>
      <c r="P750">
        <f>IF($N750=1,$K750,0)</f>
        <v/>
      </c>
      <c r="Q750">
        <f>IF($N750=0,"",IFERROR($L750-LOOKUP(2,1/(($B$2:$B749=$B750)*($N$2:$N749=1)),$M$2:$M749),""))</f>
        <v/>
      </c>
    </row>
    <row r="751">
      <c r="A751" t="n">
        <v>750</v>
      </c>
      <c r="B751">
        <f>Schedule!$A$110</f>
        <v/>
      </c>
      <c r="C751">
        <f>Schedule!$D$110</f>
        <v/>
      </c>
      <c r="D751">
        <f>Schedule!$F$110</f>
        <v/>
      </c>
      <c r="E751" t="n">
        <v>0</v>
      </c>
      <c r="F751">
        <f>Schedule!$G$1</f>
        <v/>
      </c>
      <c r="G751">
        <f>Schedule!$G$2</f>
        <v/>
      </c>
      <c r="H751">
        <f>Schedule!$G$110</f>
        <v/>
      </c>
      <c r="I751">
        <f>IF($N751=1,VALUE(LEFT($H751,2)),"")</f>
        <v/>
      </c>
      <c r="J751">
        <f>IF($N751=1,VALUE(MID($H751,9,2)),"")</f>
        <v/>
      </c>
      <c r="K751">
        <f>IF($N751=1,MOD($J751-$I751,24),0)</f>
        <v/>
      </c>
      <c r="L751">
        <f>IF($N751=1,$E751*24+$I751,"")</f>
        <v/>
      </c>
      <c r="M751">
        <f>IF($N751=1,$L751+$K751,"")</f>
        <v/>
      </c>
      <c r="N751">
        <f>IF(ISNUMBER(SEARCH(" - ",$H751&amp;"")),1,0)</f>
        <v/>
      </c>
      <c r="O751">
        <f>IF(UPPER($H751&amp;"")="LEAVE",1,0)</f>
        <v/>
      </c>
      <c r="P751">
        <f>IF($N751=1,$K751,0)</f>
        <v/>
      </c>
      <c r="Q751">
        <f>IF($N751=0,"",IFERROR($L751-'Previous Engine'!$M$109,""))</f>
        <v/>
      </c>
    </row>
    <row r="752">
      <c r="A752" t="n">
        <v>751</v>
      </c>
      <c r="B752">
        <f>Schedule!$A$110</f>
        <v/>
      </c>
      <c r="C752">
        <f>Schedule!$D$110</f>
        <v/>
      </c>
      <c r="D752">
        <f>Schedule!$F$110</f>
        <v/>
      </c>
      <c r="E752" t="n">
        <v>1</v>
      </c>
      <c r="F752">
        <f>Schedule!$H$1</f>
        <v/>
      </c>
      <c r="G752">
        <f>Schedule!$H$2</f>
        <v/>
      </c>
      <c r="H752">
        <f>Schedule!$H$110</f>
        <v/>
      </c>
      <c r="I752">
        <f>IF($N752=1,VALUE(LEFT($H752,2)),"")</f>
        <v/>
      </c>
      <c r="J752">
        <f>IF($N752=1,VALUE(MID($H752,9,2)),"")</f>
        <v/>
      </c>
      <c r="K752">
        <f>IF($N752=1,MOD($J752-$I752,24),0)</f>
        <v/>
      </c>
      <c r="L752">
        <f>IF($N752=1,$E752*24+$I752,"")</f>
        <v/>
      </c>
      <c r="M752">
        <f>IF($N752=1,$L752+$K752,"")</f>
        <v/>
      </c>
      <c r="N752">
        <f>IF(ISNUMBER(SEARCH(" - ",$H752&amp;"")),1,0)</f>
        <v/>
      </c>
      <c r="O752">
        <f>IF(UPPER($H752&amp;"")="LEAVE",1,0)</f>
        <v/>
      </c>
      <c r="P752">
        <f>IF($N752=1,$K752,0)</f>
        <v/>
      </c>
      <c r="Q752">
        <f>IF($N752=0,"",IFERROR($L752-LOOKUP(2,1/(($B$2:$B751=$B752)*($N$2:$N751=1)),$M$2:$M751),""))</f>
        <v/>
      </c>
    </row>
    <row r="753">
      <c r="A753" t="n">
        <v>752</v>
      </c>
      <c r="B753">
        <f>Schedule!$A$110</f>
        <v/>
      </c>
      <c r="C753">
        <f>Schedule!$D$110</f>
        <v/>
      </c>
      <c r="D753">
        <f>Schedule!$F$110</f>
        <v/>
      </c>
      <c r="E753" t="n">
        <v>2</v>
      </c>
      <c r="F753">
        <f>Schedule!$I$1</f>
        <v/>
      </c>
      <c r="G753">
        <f>Schedule!$I$2</f>
        <v/>
      </c>
      <c r="H753">
        <f>Schedule!$I$110</f>
        <v/>
      </c>
      <c r="I753">
        <f>IF($N753=1,VALUE(LEFT($H753,2)),"")</f>
        <v/>
      </c>
      <c r="J753">
        <f>IF($N753=1,VALUE(MID($H753,9,2)),"")</f>
        <v/>
      </c>
      <c r="K753">
        <f>IF($N753=1,MOD($J753-$I753,24),0)</f>
        <v/>
      </c>
      <c r="L753">
        <f>IF($N753=1,$E753*24+$I753,"")</f>
        <v/>
      </c>
      <c r="M753">
        <f>IF($N753=1,$L753+$K753,"")</f>
        <v/>
      </c>
      <c r="N753">
        <f>IF(ISNUMBER(SEARCH(" - ",$H753&amp;"")),1,0)</f>
        <v/>
      </c>
      <c r="O753">
        <f>IF(UPPER($H753&amp;"")="LEAVE",1,0)</f>
        <v/>
      </c>
      <c r="P753">
        <f>IF($N753=1,$K753,0)</f>
        <v/>
      </c>
      <c r="Q753">
        <f>IF($N753=0,"",IFERROR($L753-LOOKUP(2,1/(($B$2:$B752=$B753)*($N$2:$N752=1)),$M$2:$M752),""))</f>
        <v/>
      </c>
    </row>
    <row r="754">
      <c r="A754" t="n">
        <v>753</v>
      </c>
      <c r="B754">
        <f>Schedule!$A$110</f>
        <v/>
      </c>
      <c r="C754">
        <f>Schedule!$D$110</f>
        <v/>
      </c>
      <c r="D754">
        <f>Schedule!$F$110</f>
        <v/>
      </c>
      <c r="E754" t="n">
        <v>3</v>
      </c>
      <c r="F754">
        <f>Schedule!$J$1</f>
        <v/>
      </c>
      <c r="G754">
        <f>Schedule!$J$2</f>
        <v/>
      </c>
      <c r="H754">
        <f>Schedule!$J$110</f>
        <v/>
      </c>
      <c r="I754">
        <f>IF($N754=1,VALUE(LEFT($H754,2)),"")</f>
        <v/>
      </c>
      <c r="J754">
        <f>IF($N754=1,VALUE(MID($H754,9,2)),"")</f>
        <v/>
      </c>
      <c r="K754">
        <f>IF($N754=1,MOD($J754-$I754,24),0)</f>
        <v/>
      </c>
      <c r="L754">
        <f>IF($N754=1,$E754*24+$I754,"")</f>
        <v/>
      </c>
      <c r="M754">
        <f>IF($N754=1,$L754+$K754,"")</f>
        <v/>
      </c>
      <c r="N754">
        <f>IF(ISNUMBER(SEARCH(" - ",$H754&amp;"")),1,0)</f>
        <v/>
      </c>
      <c r="O754">
        <f>IF(UPPER($H754&amp;"")="LEAVE",1,0)</f>
        <v/>
      </c>
      <c r="P754">
        <f>IF($N754=1,$K754,0)</f>
        <v/>
      </c>
      <c r="Q754">
        <f>IF($N754=0,"",IFERROR($L754-LOOKUP(2,1/(($B$2:$B753=$B754)*($N$2:$N753=1)),$M$2:$M753),""))</f>
        <v/>
      </c>
    </row>
    <row r="755">
      <c r="A755" t="n">
        <v>754</v>
      </c>
      <c r="B755">
        <f>Schedule!$A$110</f>
        <v/>
      </c>
      <c r="C755">
        <f>Schedule!$D$110</f>
        <v/>
      </c>
      <c r="D755">
        <f>Schedule!$F$110</f>
        <v/>
      </c>
      <c r="E755" t="n">
        <v>4</v>
      </c>
      <c r="F755">
        <f>Schedule!$K$1</f>
        <v/>
      </c>
      <c r="G755">
        <f>Schedule!$K$2</f>
        <v/>
      </c>
      <c r="H755">
        <f>Schedule!$K$110</f>
        <v/>
      </c>
      <c r="I755">
        <f>IF($N755=1,VALUE(LEFT($H755,2)),"")</f>
        <v/>
      </c>
      <c r="J755">
        <f>IF($N755=1,VALUE(MID($H755,9,2)),"")</f>
        <v/>
      </c>
      <c r="K755">
        <f>IF($N755=1,MOD($J755-$I755,24),0)</f>
        <v/>
      </c>
      <c r="L755">
        <f>IF($N755=1,$E755*24+$I755,"")</f>
        <v/>
      </c>
      <c r="M755">
        <f>IF($N755=1,$L755+$K755,"")</f>
        <v/>
      </c>
      <c r="N755">
        <f>IF(ISNUMBER(SEARCH(" - ",$H755&amp;"")),1,0)</f>
        <v/>
      </c>
      <c r="O755">
        <f>IF(UPPER($H755&amp;"")="LEAVE",1,0)</f>
        <v/>
      </c>
      <c r="P755">
        <f>IF($N755=1,$K755,0)</f>
        <v/>
      </c>
      <c r="Q755">
        <f>IF($N755=0,"",IFERROR($L755-LOOKUP(2,1/(($B$2:$B754=$B755)*($N$2:$N754=1)),$M$2:$M754),""))</f>
        <v/>
      </c>
    </row>
    <row r="756">
      <c r="A756" t="n">
        <v>755</v>
      </c>
      <c r="B756">
        <f>Schedule!$A$110</f>
        <v/>
      </c>
      <c r="C756">
        <f>Schedule!$D$110</f>
        <v/>
      </c>
      <c r="D756">
        <f>Schedule!$F$110</f>
        <v/>
      </c>
      <c r="E756" t="n">
        <v>5</v>
      </c>
      <c r="F756">
        <f>Schedule!$L$1</f>
        <v/>
      </c>
      <c r="G756">
        <f>Schedule!$L$2</f>
        <v/>
      </c>
      <c r="H756">
        <f>Schedule!$L$110</f>
        <v/>
      </c>
      <c r="I756">
        <f>IF($N756=1,VALUE(LEFT($H756,2)),"")</f>
        <v/>
      </c>
      <c r="J756">
        <f>IF($N756=1,VALUE(MID($H756,9,2)),"")</f>
        <v/>
      </c>
      <c r="K756">
        <f>IF($N756=1,MOD($J756-$I756,24),0)</f>
        <v/>
      </c>
      <c r="L756">
        <f>IF($N756=1,$E756*24+$I756,"")</f>
        <v/>
      </c>
      <c r="M756">
        <f>IF($N756=1,$L756+$K756,"")</f>
        <v/>
      </c>
      <c r="N756">
        <f>IF(ISNUMBER(SEARCH(" - ",$H756&amp;"")),1,0)</f>
        <v/>
      </c>
      <c r="O756">
        <f>IF(UPPER($H756&amp;"")="LEAVE",1,0)</f>
        <v/>
      </c>
      <c r="P756">
        <f>IF($N756=1,$K756,0)</f>
        <v/>
      </c>
      <c r="Q756">
        <f>IF($N756=0,"",IFERROR($L756-LOOKUP(2,1/(($B$2:$B755=$B756)*($N$2:$N755=1)),$M$2:$M755),""))</f>
        <v/>
      </c>
    </row>
    <row r="757">
      <c r="A757" t="n">
        <v>756</v>
      </c>
      <c r="B757">
        <f>Schedule!$A$110</f>
        <v/>
      </c>
      <c r="C757">
        <f>Schedule!$D$110</f>
        <v/>
      </c>
      <c r="D757">
        <f>Schedule!$F$110</f>
        <v/>
      </c>
      <c r="E757" t="n">
        <v>6</v>
      </c>
      <c r="F757">
        <f>Schedule!$M$1</f>
        <v/>
      </c>
      <c r="G757">
        <f>Schedule!$M$2</f>
        <v/>
      </c>
      <c r="H757">
        <f>Schedule!$M$110</f>
        <v/>
      </c>
      <c r="I757">
        <f>IF($N757=1,VALUE(LEFT($H757,2)),"")</f>
        <v/>
      </c>
      <c r="J757">
        <f>IF($N757=1,VALUE(MID($H757,9,2)),"")</f>
        <v/>
      </c>
      <c r="K757">
        <f>IF($N757=1,MOD($J757-$I757,24),0)</f>
        <v/>
      </c>
      <c r="L757">
        <f>IF($N757=1,$E757*24+$I757,"")</f>
        <v/>
      </c>
      <c r="M757">
        <f>IF($N757=1,$L757+$K757,"")</f>
        <v/>
      </c>
      <c r="N757">
        <f>IF(ISNUMBER(SEARCH(" - ",$H757&amp;"")),1,0)</f>
        <v/>
      </c>
      <c r="O757">
        <f>IF(UPPER($H757&amp;"")="LEAVE",1,0)</f>
        <v/>
      </c>
      <c r="P757">
        <f>IF($N757=1,$K757,0)</f>
        <v/>
      </c>
      <c r="Q757">
        <f>IF($N757=0,"",IFERROR($L757-LOOKUP(2,1/(($B$2:$B756=$B757)*($N$2:$N756=1)),$M$2:$M756),""))</f>
        <v/>
      </c>
    </row>
    <row r="758">
      <c r="A758" t="n">
        <v>757</v>
      </c>
      <c r="B758">
        <f>Schedule!$A$111</f>
        <v/>
      </c>
      <c r="C758">
        <f>Schedule!$D$111</f>
        <v/>
      </c>
      <c r="D758">
        <f>Schedule!$F$111</f>
        <v/>
      </c>
      <c r="E758" t="n">
        <v>0</v>
      </c>
      <c r="F758">
        <f>Schedule!$G$1</f>
        <v/>
      </c>
      <c r="G758">
        <f>Schedule!$G$2</f>
        <v/>
      </c>
      <c r="H758">
        <f>Schedule!$G$111</f>
        <v/>
      </c>
      <c r="I758">
        <f>IF($N758=1,VALUE(LEFT($H758,2)),"")</f>
        <v/>
      </c>
      <c r="J758">
        <f>IF($N758=1,VALUE(MID($H758,9,2)),"")</f>
        <v/>
      </c>
      <c r="K758">
        <f>IF($N758=1,MOD($J758-$I758,24),0)</f>
        <v/>
      </c>
      <c r="L758">
        <f>IF($N758=1,$E758*24+$I758,"")</f>
        <v/>
      </c>
      <c r="M758">
        <f>IF($N758=1,$L758+$K758,"")</f>
        <v/>
      </c>
      <c r="N758">
        <f>IF(ISNUMBER(SEARCH(" - ",$H758&amp;"")),1,0)</f>
        <v/>
      </c>
      <c r="O758">
        <f>IF(UPPER($H758&amp;"")="LEAVE",1,0)</f>
        <v/>
      </c>
      <c r="P758">
        <f>IF($N758=1,$K758,0)</f>
        <v/>
      </c>
      <c r="Q758">
        <f>IF($N758=0,"",IFERROR($L758-'Previous Engine'!$M$110,""))</f>
        <v/>
      </c>
    </row>
    <row r="759">
      <c r="A759" t="n">
        <v>758</v>
      </c>
      <c r="B759">
        <f>Schedule!$A$111</f>
        <v/>
      </c>
      <c r="C759">
        <f>Schedule!$D$111</f>
        <v/>
      </c>
      <c r="D759">
        <f>Schedule!$F$111</f>
        <v/>
      </c>
      <c r="E759" t="n">
        <v>1</v>
      </c>
      <c r="F759">
        <f>Schedule!$H$1</f>
        <v/>
      </c>
      <c r="G759">
        <f>Schedule!$H$2</f>
        <v/>
      </c>
      <c r="H759">
        <f>Schedule!$H$111</f>
        <v/>
      </c>
      <c r="I759">
        <f>IF($N759=1,VALUE(LEFT($H759,2)),"")</f>
        <v/>
      </c>
      <c r="J759">
        <f>IF($N759=1,VALUE(MID($H759,9,2)),"")</f>
        <v/>
      </c>
      <c r="K759">
        <f>IF($N759=1,MOD($J759-$I759,24),0)</f>
        <v/>
      </c>
      <c r="L759">
        <f>IF($N759=1,$E759*24+$I759,"")</f>
        <v/>
      </c>
      <c r="M759">
        <f>IF($N759=1,$L759+$K759,"")</f>
        <v/>
      </c>
      <c r="N759">
        <f>IF(ISNUMBER(SEARCH(" - ",$H759&amp;"")),1,0)</f>
        <v/>
      </c>
      <c r="O759">
        <f>IF(UPPER($H759&amp;"")="LEAVE",1,0)</f>
        <v/>
      </c>
      <c r="P759">
        <f>IF($N759=1,$K759,0)</f>
        <v/>
      </c>
      <c r="Q759">
        <f>IF($N759=0,"",IFERROR($L759-LOOKUP(2,1/(($B$2:$B758=$B759)*($N$2:$N758=1)),$M$2:$M758),""))</f>
        <v/>
      </c>
    </row>
    <row r="760">
      <c r="A760" t="n">
        <v>759</v>
      </c>
      <c r="B760">
        <f>Schedule!$A$111</f>
        <v/>
      </c>
      <c r="C760">
        <f>Schedule!$D$111</f>
        <v/>
      </c>
      <c r="D760">
        <f>Schedule!$F$111</f>
        <v/>
      </c>
      <c r="E760" t="n">
        <v>2</v>
      </c>
      <c r="F760">
        <f>Schedule!$I$1</f>
        <v/>
      </c>
      <c r="G760">
        <f>Schedule!$I$2</f>
        <v/>
      </c>
      <c r="H760">
        <f>Schedule!$I$111</f>
        <v/>
      </c>
      <c r="I760">
        <f>IF($N760=1,VALUE(LEFT($H760,2)),"")</f>
        <v/>
      </c>
      <c r="J760">
        <f>IF($N760=1,VALUE(MID($H760,9,2)),"")</f>
        <v/>
      </c>
      <c r="K760">
        <f>IF($N760=1,MOD($J760-$I760,24),0)</f>
        <v/>
      </c>
      <c r="L760">
        <f>IF($N760=1,$E760*24+$I760,"")</f>
        <v/>
      </c>
      <c r="M760">
        <f>IF($N760=1,$L760+$K760,"")</f>
        <v/>
      </c>
      <c r="N760">
        <f>IF(ISNUMBER(SEARCH(" - ",$H760&amp;"")),1,0)</f>
        <v/>
      </c>
      <c r="O760">
        <f>IF(UPPER($H760&amp;"")="LEAVE",1,0)</f>
        <v/>
      </c>
      <c r="P760">
        <f>IF($N760=1,$K760,0)</f>
        <v/>
      </c>
      <c r="Q760">
        <f>IF($N760=0,"",IFERROR($L760-LOOKUP(2,1/(($B$2:$B759=$B760)*($N$2:$N759=1)),$M$2:$M759),""))</f>
        <v/>
      </c>
    </row>
    <row r="761">
      <c r="A761" t="n">
        <v>760</v>
      </c>
      <c r="B761">
        <f>Schedule!$A$111</f>
        <v/>
      </c>
      <c r="C761">
        <f>Schedule!$D$111</f>
        <v/>
      </c>
      <c r="D761">
        <f>Schedule!$F$111</f>
        <v/>
      </c>
      <c r="E761" t="n">
        <v>3</v>
      </c>
      <c r="F761">
        <f>Schedule!$J$1</f>
        <v/>
      </c>
      <c r="G761">
        <f>Schedule!$J$2</f>
        <v/>
      </c>
      <c r="H761">
        <f>Schedule!$J$111</f>
        <v/>
      </c>
      <c r="I761">
        <f>IF($N761=1,VALUE(LEFT($H761,2)),"")</f>
        <v/>
      </c>
      <c r="J761">
        <f>IF($N761=1,VALUE(MID($H761,9,2)),"")</f>
        <v/>
      </c>
      <c r="K761">
        <f>IF($N761=1,MOD($J761-$I761,24),0)</f>
        <v/>
      </c>
      <c r="L761">
        <f>IF($N761=1,$E761*24+$I761,"")</f>
        <v/>
      </c>
      <c r="M761">
        <f>IF($N761=1,$L761+$K761,"")</f>
        <v/>
      </c>
      <c r="N761">
        <f>IF(ISNUMBER(SEARCH(" - ",$H761&amp;"")),1,0)</f>
        <v/>
      </c>
      <c r="O761">
        <f>IF(UPPER($H761&amp;"")="LEAVE",1,0)</f>
        <v/>
      </c>
      <c r="P761">
        <f>IF($N761=1,$K761,0)</f>
        <v/>
      </c>
      <c r="Q761">
        <f>IF($N761=0,"",IFERROR($L761-LOOKUP(2,1/(($B$2:$B760=$B761)*($N$2:$N760=1)),$M$2:$M760),""))</f>
        <v/>
      </c>
    </row>
    <row r="762">
      <c r="A762" t="n">
        <v>761</v>
      </c>
      <c r="B762">
        <f>Schedule!$A$111</f>
        <v/>
      </c>
      <c r="C762">
        <f>Schedule!$D$111</f>
        <v/>
      </c>
      <c r="D762">
        <f>Schedule!$F$111</f>
        <v/>
      </c>
      <c r="E762" t="n">
        <v>4</v>
      </c>
      <c r="F762">
        <f>Schedule!$K$1</f>
        <v/>
      </c>
      <c r="G762">
        <f>Schedule!$K$2</f>
        <v/>
      </c>
      <c r="H762">
        <f>Schedule!$K$111</f>
        <v/>
      </c>
      <c r="I762">
        <f>IF($N762=1,VALUE(LEFT($H762,2)),"")</f>
        <v/>
      </c>
      <c r="J762">
        <f>IF($N762=1,VALUE(MID($H762,9,2)),"")</f>
        <v/>
      </c>
      <c r="K762">
        <f>IF($N762=1,MOD($J762-$I762,24),0)</f>
        <v/>
      </c>
      <c r="L762">
        <f>IF($N762=1,$E762*24+$I762,"")</f>
        <v/>
      </c>
      <c r="M762">
        <f>IF($N762=1,$L762+$K762,"")</f>
        <v/>
      </c>
      <c r="N762">
        <f>IF(ISNUMBER(SEARCH(" - ",$H762&amp;"")),1,0)</f>
        <v/>
      </c>
      <c r="O762">
        <f>IF(UPPER($H762&amp;"")="LEAVE",1,0)</f>
        <v/>
      </c>
      <c r="P762">
        <f>IF($N762=1,$K762,0)</f>
        <v/>
      </c>
      <c r="Q762">
        <f>IF($N762=0,"",IFERROR($L762-LOOKUP(2,1/(($B$2:$B761=$B762)*($N$2:$N761=1)),$M$2:$M761),""))</f>
        <v/>
      </c>
    </row>
    <row r="763">
      <c r="A763" t="n">
        <v>762</v>
      </c>
      <c r="B763">
        <f>Schedule!$A$111</f>
        <v/>
      </c>
      <c r="C763">
        <f>Schedule!$D$111</f>
        <v/>
      </c>
      <c r="D763">
        <f>Schedule!$F$111</f>
        <v/>
      </c>
      <c r="E763" t="n">
        <v>5</v>
      </c>
      <c r="F763">
        <f>Schedule!$L$1</f>
        <v/>
      </c>
      <c r="G763">
        <f>Schedule!$L$2</f>
        <v/>
      </c>
      <c r="H763">
        <f>Schedule!$L$111</f>
        <v/>
      </c>
      <c r="I763">
        <f>IF($N763=1,VALUE(LEFT($H763,2)),"")</f>
        <v/>
      </c>
      <c r="J763">
        <f>IF($N763=1,VALUE(MID($H763,9,2)),"")</f>
        <v/>
      </c>
      <c r="K763">
        <f>IF($N763=1,MOD($J763-$I763,24),0)</f>
        <v/>
      </c>
      <c r="L763">
        <f>IF($N763=1,$E763*24+$I763,"")</f>
        <v/>
      </c>
      <c r="M763">
        <f>IF($N763=1,$L763+$K763,"")</f>
        <v/>
      </c>
      <c r="N763">
        <f>IF(ISNUMBER(SEARCH(" - ",$H763&amp;"")),1,0)</f>
        <v/>
      </c>
      <c r="O763">
        <f>IF(UPPER($H763&amp;"")="LEAVE",1,0)</f>
        <v/>
      </c>
      <c r="P763">
        <f>IF($N763=1,$K763,0)</f>
        <v/>
      </c>
      <c r="Q763">
        <f>IF($N763=0,"",IFERROR($L763-LOOKUP(2,1/(($B$2:$B762=$B763)*($N$2:$N762=1)),$M$2:$M762),""))</f>
        <v/>
      </c>
    </row>
    <row r="764">
      <c r="A764" t="n">
        <v>763</v>
      </c>
      <c r="B764">
        <f>Schedule!$A$111</f>
        <v/>
      </c>
      <c r="C764">
        <f>Schedule!$D$111</f>
        <v/>
      </c>
      <c r="D764">
        <f>Schedule!$F$111</f>
        <v/>
      </c>
      <c r="E764" t="n">
        <v>6</v>
      </c>
      <c r="F764">
        <f>Schedule!$M$1</f>
        <v/>
      </c>
      <c r="G764">
        <f>Schedule!$M$2</f>
        <v/>
      </c>
      <c r="H764">
        <f>Schedule!$M$111</f>
        <v/>
      </c>
      <c r="I764">
        <f>IF($N764=1,VALUE(LEFT($H764,2)),"")</f>
        <v/>
      </c>
      <c r="J764">
        <f>IF($N764=1,VALUE(MID($H764,9,2)),"")</f>
        <v/>
      </c>
      <c r="K764">
        <f>IF($N764=1,MOD($J764-$I764,24),0)</f>
        <v/>
      </c>
      <c r="L764">
        <f>IF($N764=1,$E764*24+$I764,"")</f>
        <v/>
      </c>
      <c r="M764">
        <f>IF($N764=1,$L764+$K764,"")</f>
        <v/>
      </c>
      <c r="N764">
        <f>IF(ISNUMBER(SEARCH(" - ",$H764&amp;"")),1,0)</f>
        <v/>
      </c>
      <c r="O764">
        <f>IF(UPPER($H764&amp;"")="LEAVE",1,0)</f>
        <v/>
      </c>
      <c r="P764">
        <f>IF($N764=1,$K764,0)</f>
        <v/>
      </c>
      <c r="Q764">
        <f>IF($N764=0,"",IFERROR($L764-LOOKUP(2,1/(($B$2:$B763=$B764)*($N$2:$N763=1)),$M$2:$M763),""))</f>
        <v/>
      </c>
    </row>
    <row r="765">
      <c r="A765" t="n">
        <v>764</v>
      </c>
      <c r="B765">
        <f>Schedule!$A$112</f>
        <v/>
      </c>
      <c r="C765">
        <f>Schedule!$D$112</f>
        <v/>
      </c>
      <c r="D765">
        <f>Schedule!$F$112</f>
        <v/>
      </c>
      <c r="E765" t="n">
        <v>0</v>
      </c>
      <c r="F765">
        <f>Schedule!$G$1</f>
        <v/>
      </c>
      <c r="G765">
        <f>Schedule!$G$2</f>
        <v/>
      </c>
      <c r="H765">
        <f>Schedule!$G$112</f>
        <v/>
      </c>
      <c r="I765">
        <f>IF($N765=1,VALUE(LEFT($H765,2)),"")</f>
        <v/>
      </c>
      <c r="J765">
        <f>IF($N765=1,VALUE(MID($H765,9,2)),"")</f>
        <v/>
      </c>
      <c r="K765">
        <f>IF($N765=1,MOD($J765-$I765,24),0)</f>
        <v/>
      </c>
      <c r="L765">
        <f>IF($N765=1,$E765*24+$I765,"")</f>
        <v/>
      </c>
      <c r="M765">
        <f>IF($N765=1,$L765+$K765,"")</f>
        <v/>
      </c>
      <c r="N765">
        <f>IF(ISNUMBER(SEARCH(" - ",$H765&amp;"")),1,0)</f>
        <v/>
      </c>
      <c r="O765">
        <f>IF(UPPER($H765&amp;"")="LEAVE",1,0)</f>
        <v/>
      </c>
      <c r="P765">
        <f>IF($N765=1,$K765,0)</f>
        <v/>
      </c>
      <c r="Q765">
        <f>IF($N765=0,"",IFERROR($L765-'Previous Engine'!$M$111,""))</f>
        <v/>
      </c>
    </row>
    <row r="766">
      <c r="A766" t="n">
        <v>765</v>
      </c>
      <c r="B766">
        <f>Schedule!$A$112</f>
        <v/>
      </c>
      <c r="C766">
        <f>Schedule!$D$112</f>
        <v/>
      </c>
      <c r="D766">
        <f>Schedule!$F$112</f>
        <v/>
      </c>
      <c r="E766" t="n">
        <v>1</v>
      </c>
      <c r="F766">
        <f>Schedule!$H$1</f>
        <v/>
      </c>
      <c r="G766">
        <f>Schedule!$H$2</f>
        <v/>
      </c>
      <c r="H766">
        <f>Schedule!$H$112</f>
        <v/>
      </c>
      <c r="I766">
        <f>IF($N766=1,VALUE(LEFT($H766,2)),"")</f>
        <v/>
      </c>
      <c r="J766">
        <f>IF($N766=1,VALUE(MID($H766,9,2)),"")</f>
        <v/>
      </c>
      <c r="K766">
        <f>IF($N766=1,MOD($J766-$I766,24),0)</f>
        <v/>
      </c>
      <c r="L766">
        <f>IF($N766=1,$E766*24+$I766,"")</f>
        <v/>
      </c>
      <c r="M766">
        <f>IF($N766=1,$L766+$K766,"")</f>
        <v/>
      </c>
      <c r="N766">
        <f>IF(ISNUMBER(SEARCH(" - ",$H766&amp;"")),1,0)</f>
        <v/>
      </c>
      <c r="O766">
        <f>IF(UPPER($H766&amp;"")="LEAVE",1,0)</f>
        <v/>
      </c>
      <c r="P766">
        <f>IF($N766=1,$K766,0)</f>
        <v/>
      </c>
      <c r="Q766">
        <f>IF($N766=0,"",IFERROR($L766-LOOKUP(2,1/(($B$2:$B765=$B766)*($N$2:$N765=1)),$M$2:$M765),""))</f>
        <v/>
      </c>
    </row>
    <row r="767">
      <c r="A767" t="n">
        <v>766</v>
      </c>
      <c r="B767">
        <f>Schedule!$A$112</f>
        <v/>
      </c>
      <c r="C767">
        <f>Schedule!$D$112</f>
        <v/>
      </c>
      <c r="D767">
        <f>Schedule!$F$112</f>
        <v/>
      </c>
      <c r="E767" t="n">
        <v>2</v>
      </c>
      <c r="F767">
        <f>Schedule!$I$1</f>
        <v/>
      </c>
      <c r="G767">
        <f>Schedule!$I$2</f>
        <v/>
      </c>
      <c r="H767">
        <f>Schedule!$I$112</f>
        <v/>
      </c>
      <c r="I767">
        <f>IF($N767=1,VALUE(LEFT($H767,2)),"")</f>
        <v/>
      </c>
      <c r="J767">
        <f>IF($N767=1,VALUE(MID($H767,9,2)),"")</f>
        <v/>
      </c>
      <c r="K767">
        <f>IF($N767=1,MOD($J767-$I767,24),0)</f>
        <v/>
      </c>
      <c r="L767">
        <f>IF($N767=1,$E767*24+$I767,"")</f>
        <v/>
      </c>
      <c r="M767">
        <f>IF($N767=1,$L767+$K767,"")</f>
        <v/>
      </c>
      <c r="N767">
        <f>IF(ISNUMBER(SEARCH(" - ",$H767&amp;"")),1,0)</f>
        <v/>
      </c>
      <c r="O767">
        <f>IF(UPPER($H767&amp;"")="LEAVE",1,0)</f>
        <v/>
      </c>
      <c r="P767">
        <f>IF($N767=1,$K767,0)</f>
        <v/>
      </c>
      <c r="Q767">
        <f>IF($N767=0,"",IFERROR($L767-LOOKUP(2,1/(($B$2:$B766=$B767)*($N$2:$N766=1)),$M$2:$M766),""))</f>
        <v/>
      </c>
    </row>
    <row r="768">
      <c r="A768" t="n">
        <v>767</v>
      </c>
      <c r="B768">
        <f>Schedule!$A$112</f>
        <v/>
      </c>
      <c r="C768">
        <f>Schedule!$D$112</f>
        <v/>
      </c>
      <c r="D768">
        <f>Schedule!$F$112</f>
        <v/>
      </c>
      <c r="E768" t="n">
        <v>3</v>
      </c>
      <c r="F768">
        <f>Schedule!$J$1</f>
        <v/>
      </c>
      <c r="G768">
        <f>Schedule!$J$2</f>
        <v/>
      </c>
      <c r="H768">
        <f>Schedule!$J$112</f>
        <v/>
      </c>
      <c r="I768">
        <f>IF($N768=1,VALUE(LEFT($H768,2)),"")</f>
        <v/>
      </c>
      <c r="J768">
        <f>IF($N768=1,VALUE(MID($H768,9,2)),"")</f>
        <v/>
      </c>
      <c r="K768">
        <f>IF($N768=1,MOD($J768-$I768,24),0)</f>
        <v/>
      </c>
      <c r="L768">
        <f>IF($N768=1,$E768*24+$I768,"")</f>
        <v/>
      </c>
      <c r="M768">
        <f>IF($N768=1,$L768+$K768,"")</f>
        <v/>
      </c>
      <c r="N768">
        <f>IF(ISNUMBER(SEARCH(" - ",$H768&amp;"")),1,0)</f>
        <v/>
      </c>
      <c r="O768">
        <f>IF(UPPER($H768&amp;"")="LEAVE",1,0)</f>
        <v/>
      </c>
      <c r="P768">
        <f>IF($N768=1,$K768,0)</f>
        <v/>
      </c>
      <c r="Q768">
        <f>IF($N768=0,"",IFERROR($L768-LOOKUP(2,1/(($B$2:$B767=$B768)*($N$2:$N767=1)),$M$2:$M767),""))</f>
        <v/>
      </c>
    </row>
    <row r="769">
      <c r="A769" t="n">
        <v>768</v>
      </c>
      <c r="B769">
        <f>Schedule!$A$112</f>
        <v/>
      </c>
      <c r="C769">
        <f>Schedule!$D$112</f>
        <v/>
      </c>
      <c r="D769">
        <f>Schedule!$F$112</f>
        <v/>
      </c>
      <c r="E769" t="n">
        <v>4</v>
      </c>
      <c r="F769">
        <f>Schedule!$K$1</f>
        <v/>
      </c>
      <c r="G769">
        <f>Schedule!$K$2</f>
        <v/>
      </c>
      <c r="H769">
        <f>Schedule!$K$112</f>
        <v/>
      </c>
      <c r="I769">
        <f>IF($N769=1,VALUE(LEFT($H769,2)),"")</f>
        <v/>
      </c>
      <c r="J769">
        <f>IF($N769=1,VALUE(MID($H769,9,2)),"")</f>
        <v/>
      </c>
      <c r="K769">
        <f>IF($N769=1,MOD($J769-$I769,24),0)</f>
        <v/>
      </c>
      <c r="L769">
        <f>IF($N769=1,$E769*24+$I769,"")</f>
        <v/>
      </c>
      <c r="M769">
        <f>IF($N769=1,$L769+$K769,"")</f>
        <v/>
      </c>
      <c r="N769">
        <f>IF(ISNUMBER(SEARCH(" - ",$H769&amp;"")),1,0)</f>
        <v/>
      </c>
      <c r="O769">
        <f>IF(UPPER($H769&amp;"")="LEAVE",1,0)</f>
        <v/>
      </c>
      <c r="P769">
        <f>IF($N769=1,$K769,0)</f>
        <v/>
      </c>
      <c r="Q769">
        <f>IF($N769=0,"",IFERROR($L769-LOOKUP(2,1/(($B$2:$B768=$B769)*($N$2:$N768=1)),$M$2:$M768),""))</f>
        <v/>
      </c>
    </row>
    <row r="770">
      <c r="A770" t="n">
        <v>769</v>
      </c>
      <c r="B770">
        <f>Schedule!$A$112</f>
        <v/>
      </c>
      <c r="C770">
        <f>Schedule!$D$112</f>
        <v/>
      </c>
      <c r="D770">
        <f>Schedule!$F$112</f>
        <v/>
      </c>
      <c r="E770" t="n">
        <v>5</v>
      </c>
      <c r="F770">
        <f>Schedule!$L$1</f>
        <v/>
      </c>
      <c r="G770">
        <f>Schedule!$L$2</f>
        <v/>
      </c>
      <c r="H770">
        <f>Schedule!$L$112</f>
        <v/>
      </c>
      <c r="I770">
        <f>IF($N770=1,VALUE(LEFT($H770,2)),"")</f>
        <v/>
      </c>
      <c r="J770">
        <f>IF($N770=1,VALUE(MID($H770,9,2)),"")</f>
        <v/>
      </c>
      <c r="K770">
        <f>IF($N770=1,MOD($J770-$I770,24),0)</f>
        <v/>
      </c>
      <c r="L770">
        <f>IF($N770=1,$E770*24+$I770,"")</f>
        <v/>
      </c>
      <c r="M770">
        <f>IF($N770=1,$L770+$K770,"")</f>
        <v/>
      </c>
      <c r="N770">
        <f>IF(ISNUMBER(SEARCH(" - ",$H770&amp;"")),1,0)</f>
        <v/>
      </c>
      <c r="O770">
        <f>IF(UPPER($H770&amp;"")="LEAVE",1,0)</f>
        <v/>
      </c>
      <c r="P770">
        <f>IF($N770=1,$K770,0)</f>
        <v/>
      </c>
      <c r="Q770">
        <f>IF($N770=0,"",IFERROR($L770-LOOKUP(2,1/(($B$2:$B769=$B770)*($N$2:$N769=1)),$M$2:$M769),""))</f>
        <v/>
      </c>
    </row>
    <row r="771">
      <c r="A771" t="n">
        <v>770</v>
      </c>
      <c r="B771">
        <f>Schedule!$A$112</f>
        <v/>
      </c>
      <c r="C771">
        <f>Schedule!$D$112</f>
        <v/>
      </c>
      <c r="D771">
        <f>Schedule!$F$112</f>
        <v/>
      </c>
      <c r="E771" t="n">
        <v>6</v>
      </c>
      <c r="F771">
        <f>Schedule!$M$1</f>
        <v/>
      </c>
      <c r="G771">
        <f>Schedule!$M$2</f>
        <v/>
      </c>
      <c r="H771">
        <f>Schedule!$M$112</f>
        <v/>
      </c>
      <c r="I771">
        <f>IF($N771=1,VALUE(LEFT($H771,2)),"")</f>
        <v/>
      </c>
      <c r="J771">
        <f>IF($N771=1,VALUE(MID($H771,9,2)),"")</f>
        <v/>
      </c>
      <c r="K771">
        <f>IF($N771=1,MOD($J771-$I771,24),0)</f>
        <v/>
      </c>
      <c r="L771">
        <f>IF($N771=1,$E771*24+$I771,"")</f>
        <v/>
      </c>
      <c r="M771">
        <f>IF($N771=1,$L771+$K771,"")</f>
        <v/>
      </c>
      <c r="N771">
        <f>IF(ISNUMBER(SEARCH(" - ",$H771&amp;"")),1,0)</f>
        <v/>
      </c>
      <c r="O771">
        <f>IF(UPPER($H771&amp;"")="LEAVE",1,0)</f>
        <v/>
      </c>
      <c r="P771">
        <f>IF($N771=1,$K771,0)</f>
        <v/>
      </c>
      <c r="Q771">
        <f>IF($N771=0,"",IFERROR($L771-LOOKUP(2,1/(($B$2:$B770=$B771)*($N$2:$N770=1)),$M$2:$M770),""))</f>
        <v/>
      </c>
    </row>
    <row r="772">
      <c r="A772" t="n">
        <v>771</v>
      </c>
      <c r="B772">
        <f>Schedule!$A$113</f>
        <v/>
      </c>
      <c r="C772">
        <f>Schedule!$D$113</f>
        <v/>
      </c>
      <c r="D772">
        <f>Schedule!$F$113</f>
        <v/>
      </c>
      <c r="E772" t="n">
        <v>0</v>
      </c>
      <c r="F772">
        <f>Schedule!$G$1</f>
        <v/>
      </c>
      <c r="G772">
        <f>Schedule!$G$2</f>
        <v/>
      </c>
      <c r="H772">
        <f>Schedule!$G$113</f>
        <v/>
      </c>
      <c r="I772">
        <f>IF($N772=1,VALUE(LEFT($H772,2)),"")</f>
        <v/>
      </c>
      <c r="J772">
        <f>IF($N772=1,VALUE(MID($H772,9,2)),"")</f>
        <v/>
      </c>
      <c r="K772">
        <f>IF($N772=1,MOD($J772-$I772,24),0)</f>
        <v/>
      </c>
      <c r="L772">
        <f>IF($N772=1,$E772*24+$I772,"")</f>
        <v/>
      </c>
      <c r="M772">
        <f>IF($N772=1,$L772+$K772,"")</f>
        <v/>
      </c>
      <c r="N772">
        <f>IF(ISNUMBER(SEARCH(" - ",$H772&amp;"")),1,0)</f>
        <v/>
      </c>
      <c r="O772">
        <f>IF(UPPER($H772&amp;"")="LEAVE",1,0)</f>
        <v/>
      </c>
      <c r="P772">
        <f>IF($N772=1,$K772,0)</f>
        <v/>
      </c>
      <c r="Q772">
        <f>IF($N772=0,"",IFERROR($L772-'Previous Engine'!$M$112,""))</f>
        <v/>
      </c>
    </row>
    <row r="773">
      <c r="A773" t="n">
        <v>772</v>
      </c>
      <c r="B773">
        <f>Schedule!$A$113</f>
        <v/>
      </c>
      <c r="C773">
        <f>Schedule!$D$113</f>
        <v/>
      </c>
      <c r="D773">
        <f>Schedule!$F$113</f>
        <v/>
      </c>
      <c r="E773" t="n">
        <v>1</v>
      </c>
      <c r="F773">
        <f>Schedule!$H$1</f>
        <v/>
      </c>
      <c r="G773">
        <f>Schedule!$H$2</f>
        <v/>
      </c>
      <c r="H773">
        <f>Schedule!$H$113</f>
        <v/>
      </c>
      <c r="I773">
        <f>IF($N773=1,VALUE(LEFT($H773,2)),"")</f>
        <v/>
      </c>
      <c r="J773">
        <f>IF($N773=1,VALUE(MID($H773,9,2)),"")</f>
        <v/>
      </c>
      <c r="K773">
        <f>IF($N773=1,MOD($J773-$I773,24),0)</f>
        <v/>
      </c>
      <c r="L773">
        <f>IF($N773=1,$E773*24+$I773,"")</f>
        <v/>
      </c>
      <c r="M773">
        <f>IF($N773=1,$L773+$K773,"")</f>
        <v/>
      </c>
      <c r="N773">
        <f>IF(ISNUMBER(SEARCH(" - ",$H773&amp;"")),1,0)</f>
        <v/>
      </c>
      <c r="O773">
        <f>IF(UPPER($H773&amp;"")="LEAVE",1,0)</f>
        <v/>
      </c>
      <c r="P773">
        <f>IF($N773=1,$K773,0)</f>
        <v/>
      </c>
      <c r="Q773">
        <f>IF($N773=0,"",IFERROR($L773-LOOKUP(2,1/(($B$2:$B772=$B773)*($N$2:$N772=1)),$M$2:$M772),""))</f>
        <v/>
      </c>
    </row>
    <row r="774">
      <c r="A774" t="n">
        <v>773</v>
      </c>
      <c r="B774">
        <f>Schedule!$A$113</f>
        <v/>
      </c>
      <c r="C774">
        <f>Schedule!$D$113</f>
        <v/>
      </c>
      <c r="D774">
        <f>Schedule!$F$113</f>
        <v/>
      </c>
      <c r="E774" t="n">
        <v>2</v>
      </c>
      <c r="F774">
        <f>Schedule!$I$1</f>
        <v/>
      </c>
      <c r="G774">
        <f>Schedule!$I$2</f>
        <v/>
      </c>
      <c r="H774">
        <f>Schedule!$I$113</f>
        <v/>
      </c>
      <c r="I774">
        <f>IF($N774=1,VALUE(LEFT($H774,2)),"")</f>
        <v/>
      </c>
      <c r="J774">
        <f>IF($N774=1,VALUE(MID($H774,9,2)),"")</f>
        <v/>
      </c>
      <c r="K774">
        <f>IF($N774=1,MOD($J774-$I774,24),0)</f>
        <v/>
      </c>
      <c r="L774">
        <f>IF($N774=1,$E774*24+$I774,"")</f>
        <v/>
      </c>
      <c r="M774">
        <f>IF($N774=1,$L774+$K774,"")</f>
        <v/>
      </c>
      <c r="N774">
        <f>IF(ISNUMBER(SEARCH(" - ",$H774&amp;"")),1,0)</f>
        <v/>
      </c>
      <c r="O774">
        <f>IF(UPPER($H774&amp;"")="LEAVE",1,0)</f>
        <v/>
      </c>
      <c r="P774">
        <f>IF($N774=1,$K774,0)</f>
        <v/>
      </c>
      <c r="Q774">
        <f>IF($N774=0,"",IFERROR($L774-LOOKUP(2,1/(($B$2:$B773=$B774)*($N$2:$N773=1)),$M$2:$M773),""))</f>
        <v/>
      </c>
    </row>
    <row r="775">
      <c r="A775" t="n">
        <v>774</v>
      </c>
      <c r="B775">
        <f>Schedule!$A$113</f>
        <v/>
      </c>
      <c r="C775">
        <f>Schedule!$D$113</f>
        <v/>
      </c>
      <c r="D775">
        <f>Schedule!$F$113</f>
        <v/>
      </c>
      <c r="E775" t="n">
        <v>3</v>
      </c>
      <c r="F775">
        <f>Schedule!$J$1</f>
        <v/>
      </c>
      <c r="G775">
        <f>Schedule!$J$2</f>
        <v/>
      </c>
      <c r="H775">
        <f>Schedule!$J$113</f>
        <v/>
      </c>
      <c r="I775">
        <f>IF($N775=1,VALUE(LEFT($H775,2)),"")</f>
        <v/>
      </c>
      <c r="J775">
        <f>IF($N775=1,VALUE(MID($H775,9,2)),"")</f>
        <v/>
      </c>
      <c r="K775">
        <f>IF($N775=1,MOD($J775-$I775,24),0)</f>
        <v/>
      </c>
      <c r="L775">
        <f>IF($N775=1,$E775*24+$I775,"")</f>
        <v/>
      </c>
      <c r="M775">
        <f>IF($N775=1,$L775+$K775,"")</f>
        <v/>
      </c>
      <c r="N775">
        <f>IF(ISNUMBER(SEARCH(" - ",$H775&amp;"")),1,0)</f>
        <v/>
      </c>
      <c r="O775">
        <f>IF(UPPER($H775&amp;"")="LEAVE",1,0)</f>
        <v/>
      </c>
      <c r="P775">
        <f>IF($N775=1,$K775,0)</f>
        <v/>
      </c>
      <c r="Q775">
        <f>IF($N775=0,"",IFERROR($L775-LOOKUP(2,1/(($B$2:$B774=$B775)*($N$2:$N774=1)),$M$2:$M774),""))</f>
        <v/>
      </c>
    </row>
    <row r="776">
      <c r="A776" t="n">
        <v>775</v>
      </c>
      <c r="B776">
        <f>Schedule!$A$113</f>
        <v/>
      </c>
      <c r="C776">
        <f>Schedule!$D$113</f>
        <v/>
      </c>
      <c r="D776">
        <f>Schedule!$F$113</f>
        <v/>
      </c>
      <c r="E776" t="n">
        <v>4</v>
      </c>
      <c r="F776">
        <f>Schedule!$K$1</f>
        <v/>
      </c>
      <c r="G776">
        <f>Schedule!$K$2</f>
        <v/>
      </c>
      <c r="H776">
        <f>Schedule!$K$113</f>
        <v/>
      </c>
      <c r="I776">
        <f>IF($N776=1,VALUE(LEFT($H776,2)),"")</f>
        <v/>
      </c>
      <c r="J776">
        <f>IF($N776=1,VALUE(MID($H776,9,2)),"")</f>
        <v/>
      </c>
      <c r="K776">
        <f>IF($N776=1,MOD($J776-$I776,24),0)</f>
        <v/>
      </c>
      <c r="L776">
        <f>IF($N776=1,$E776*24+$I776,"")</f>
        <v/>
      </c>
      <c r="M776">
        <f>IF($N776=1,$L776+$K776,"")</f>
        <v/>
      </c>
      <c r="N776">
        <f>IF(ISNUMBER(SEARCH(" - ",$H776&amp;"")),1,0)</f>
        <v/>
      </c>
      <c r="O776">
        <f>IF(UPPER($H776&amp;"")="LEAVE",1,0)</f>
        <v/>
      </c>
      <c r="P776">
        <f>IF($N776=1,$K776,0)</f>
        <v/>
      </c>
      <c r="Q776">
        <f>IF($N776=0,"",IFERROR($L776-LOOKUP(2,1/(($B$2:$B775=$B776)*($N$2:$N775=1)),$M$2:$M775),""))</f>
        <v/>
      </c>
    </row>
    <row r="777">
      <c r="A777" t="n">
        <v>776</v>
      </c>
      <c r="B777">
        <f>Schedule!$A$113</f>
        <v/>
      </c>
      <c r="C777">
        <f>Schedule!$D$113</f>
        <v/>
      </c>
      <c r="D777">
        <f>Schedule!$F$113</f>
        <v/>
      </c>
      <c r="E777" t="n">
        <v>5</v>
      </c>
      <c r="F777">
        <f>Schedule!$L$1</f>
        <v/>
      </c>
      <c r="G777">
        <f>Schedule!$L$2</f>
        <v/>
      </c>
      <c r="H777">
        <f>Schedule!$L$113</f>
        <v/>
      </c>
      <c r="I777">
        <f>IF($N777=1,VALUE(LEFT($H777,2)),"")</f>
        <v/>
      </c>
      <c r="J777">
        <f>IF($N777=1,VALUE(MID($H777,9,2)),"")</f>
        <v/>
      </c>
      <c r="K777">
        <f>IF($N777=1,MOD($J777-$I777,24),0)</f>
        <v/>
      </c>
      <c r="L777">
        <f>IF($N777=1,$E777*24+$I777,"")</f>
        <v/>
      </c>
      <c r="M777">
        <f>IF($N777=1,$L777+$K777,"")</f>
        <v/>
      </c>
      <c r="N777">
        <f>IF(ISNUMBER(SEARCH(" - ",$H777&amp;"")),1,0)</f>
        <v/>
      </c>
      <c r="O777">
        <f>IF(UPPER($H777&amp;"")="LEAVE",1,0)</f>
        <v/>
      </c>
      <c r="P777">
        <f>IF($N777=1,$K777,0)</f>
        <v/>
      </c>
      <c r="Q777">
        <f>IF($N777=0,"",IFERROR($L777-LOOKUP(2,1/(($B$2:$B776=$B777)*($N$2:$N776=1)),$M$2:$M776),""))</f>
        <v/>
      </c>
    </row>
    <row r="778">
      <c r="A778" t="n">
        <v>777</v>
      </c>
      <c r="B778">
        <f>Schedule!$A$113</f>
        <v/>
      </c>
      <c r="C778">
        <f>Schedule!$D$113</f>
        <v/>
      </c>
      <c r="D778">
        <f>Schedule!$F$113</f>
        <v/>
      </c>
      <c r="E778" t="n">
        <v>6</v>
      </c>
      <c r="F778">
        <f>Schedule!$M$1</f>
        <v/>
      </c>
      <c r="G778">
        <f>Schedule!$M$2</f>
        <v/>
      </c>
      <c r="H778">
        <f>Schedule!$M$113</f>
        <v/>
      </c>
      <c r="I778">
        <f>IF($N778=1,VALUE(LEFT($H778,2)),"")</f>
        <v/>
      </c>
      <c r="J778">
        <f>IF($N778=1,VALUE(MID($H778,9,2)),"")</f>
        <v/>
      </c>
      <c r="K778">
        <f>IF($N778=1,MOD($J778-$I778,24),0)</f>
        <v/>
      </c>
      <c r="L778">
        <f>IF($N778=1,$E778*24+$I778,"")</f>
        <v/>
      </c>
      <c r="M778">
        <f>IF($N778=1,$L778+$K778,"")</f>
        <v/>
      </c>
      <c r="N778">
        <f>IF(ISNUMBER(SEARCH(" - ",$H778&amp;"")),1,0)</f>
        <v/>
      </c>
      <c r="O778">
        <f>IF(UPPER($H778&amp;"")="LEAVE",1,0)</f>
        <v/>
      </c>
      <c r="P778">
        <f>IF($N778=1,$K778,0)</f>
        <v/>
      </c>
      <c r="Q778">
        <f>IF($N778=0,"",IFERROR($L778-LOOKUP(2,1/(($B$2:$B777=$B778)*($N$2:$N777=1)),$M$2:$M777),""))</f>
        <v/>
      </c>
    </row>
    <row r="779">
      <c r="A779" t="n">
        <v>778</v>
      </c>
      <c r="B779">
        <f>Schedule!$A$114</f>
        <v/>
      </c>
      <c r="C779">
        <f>Schedule!$D$114</f>
        <v/>
      </c>
      <c r="D779">
        <f>Schedule!$F$114</f>
        <v/>
      </c>
      <c r="E779" t="n">
        <v>0</v>
      </c>
      <c r="F779">
        <f>Schedule!$G$1</f>
        <v/>
      </c>
      <c r="G779">
        <f>Schedule!$G$2</f>
        <v/>
      </c>
      <c r="H779">
        <f>Schedule!$G$114</f>
        <v/>
      </c>
      <c r="I779">
        <f>IF($N779=1,VALUE(LEFT($H779,2)),"")</f>
        <v/>
      </c>
      <c r="J779">
        <f>IF($N779=1,VALUE(MID($H779,9,2)),"")</f>
        <v/>
      </c>
      <c r="K779">
        <f>IF($N779=1,MOD($J779-$I779,24),0)</f>
        <v/>
      </c>
      <c r="L779">
        <f>IF($N779=1,$E779*24+$I779,"")</f>
        <v/>
      </c>
      <c r="M779">
        <f>IF($N779=1,$L779+$K779,"")</f>
        <v/>
      </c>
      <c r="N779">
        <f>IF(ISNUMBER(SEARCH(" - ",$H779&amp;"")),1,0)</f>
        <v/>
      </c>
      <c r="O779">
        <f>IF(UPPER($H779&amp;"")="LEAVE",1,0)</f>
        <v/>
      </c>
      <c r="P779">
        <f>IF($N779=1,$K779,0)</f>
        <v/>
      </c>
      <c r="Q779">
        <f>IF($N779=0,"",IFERROR($L779-'Previous Engine'!$M$113,""))</f>
        <v/>
      </c>
    </row>
    <row r="780">
      <c r="A780" t="n">
        <v>779</v>
      </c>
      <c r="B780">
        <f>Schedule!$A$114</f>
        <v/>
      </c>
      <c r="C780">
        <f>Schedule!$D$114</f>
        <v/>
      </c>
      <c r="D780">
        <f>Schedule!$F$114</f>
        <v/>
      </c>
      <c r="E780" t="n">
        <v>1</v>
      </c>
      <c r="F780">
        <f>Schedule!$H$1</f>
        <v/>
      </c>
      <c r="G780">
        <f>Schedule!$H$2</f>
        <v/>
      </c>
      <c r="H780">
        <f>Schedule!$H$114</f>
        <v/>
      </c>
      <c r="I780">
        <f>IF($N780=1,VALUE(LEFT($H780,2)),"")</f>
        <v/>
      </c>
      <c r="J780">
        <f>IF($N780=1,VALUE(MID($H780,9,2)),"")</f>
        <v/>
      </c>
      <c r="K780">
        <f>IF($N780=1,MOD($J780-$I780,24),0)</f>
        <v/>
      </c>
      <c r="L780">
        <f>IF($N780=1,$E780*24+$I780,"")</f>
        <v/>
      </c>
      <c r="M780">
        <f>IF($N780=1,$L780+$K780,"")</f>
        <v/>
      </c>
      <c r="N780">
        <f>IF(ISNUMBER(SEARCH(" - ",$H780&amp;"")),1,0)</f>
        <v/>
      </c>
      <c r="O780">
        <f>IF(UPPER($H780&amp;"")="LEAVE",1,0)</f>
        <v/>
      </c>
      <c r="P780">
        <f>IF($N780=1,$K780,0)</f>
        <v/>
      </c>
      <c r="Q780">
        <f>IF($N780=0,"",IFERROR($L780-LOOKUP(2,1/(($B$2:$B779=$B780)*($N$2:$N779=1)),$M$2:$M779),""))</f>
        <v/>
      </c>
    </row>
    <row r="781">
      <c r="A781" t="n">
        <v>780</v>
      </c>
      <c r="B781">
        <f>Schedule!$A$114</f>
        <v/>
      </c>
      <c r="C781">
        <f>Schedule!$D$114</f>
        <v/>
      </c>
      <c r="D781">
        <f>Schedule!$F$114</f>
        <v/>
      </c>
      <c r="E781" t="n">
        <v>2</v>
      </c>
      <c r="F781">
        <f>Schedule!$I$1</f>
        <v/>
      </c>
      <c r="G781">
        <f>Schedule!$I$2</f>
        <v/>
      </c>
      <c r="H781">
        <f>Schedule!$I$114</f>
        <v/>
      </c>
      <c r="I781">
        <f>IF($N781=1,VALUE(LEFT($H781,2)),"")</f>
        <v/>
      </c>
      <c r="J781">
        <f>IF($N781=1,VALUE(MID($H781,9,2)),"")</f>
        <v/>
      </c>
      <c r="K781">
        <f>IF($N781=1,MOD($J781-$I781,24),0)</f>
        <v/>
      </c>
      <c r="L781">
        <f>IF($N781=1,$E781*24+$I781,"")</f>
        <v/>
      </c>
      <c r="M781">
        <f>IF($N781=1,$L781+$K781,"")</f>
        <v/>
      </c>
      <c r="N781">
        <f>IF(ISNUMBER(SEARCH(" - ",$H781&amp;"")),1,0)</f>
        <v/>
      </c>
      <c r="O781">
        <f>IF(UPPER($H781&amp;"")="LEAVE",1,0)</f>
        <v/>
      </c>
      <c r="P781">
        <f>IF($N781=1,$K781,0)</f>
        <v/>
      </c>
      <c r="Q781">
        <f>IF($N781=0,"",IFERROR($L781-LOOKUP(2,1/(($B$2:$B780=$B781)*($N$2:$N780=1)),$M$2:$M780),""))</f>
        <v/>
      </c>
    </row>
    <row r="782">
      <c r="A782" t="n">
        <v>781</v>
      </c>
      <c r="B782">
        <f>Schedule!$A$114</f>
        <v/>
      </c>
      <c r="C782">
        <f>Schedule!$D$114</f>
        <v/>
      </c>
      <c r="D782">
        <f>Schedule!$F$114</f>
        <v/>
      </c>
      <c r="E782" t="n">
        <v>3</v>
      </c>
      <c r="F782">
        <f>Schedule!$J$1</f>
        <v/>
      </c>
      <c r="G782">
        <f>Schedule!$J$2</f>
        <v/>
      </c>
      <c r="H782">
        <f>Schedule!$J$114</f>
        <v/>
      </c>
      <c r="I782">
        <f>IF($N782=1,VALUE(LEFT($H782,2)),"")</f>
        <v/>
      </c>
      <c r="J782">
        <f>IF($N782=1,VALUE(MID($H782,9,2)),"")</f>
        <v/>
      </c>
      <c r="K782">
        <f>IF($N782=1,MOD($J782-$I782,24),0)</f>
        <v/>
      </c>
      <c r="L782">
        <f>IF($N782=1,$E782*24+$I782,"")</f>
        <v/>
      </c>
      <c r="M782">
        <f>IF($N782=1,$L782+$K782,"")</f>
        <v/>
      </c>
      <c r="N782">
        <f>IF(ISNUMBER(SEARCH(" - ",$H782&amp;"")),1,0)</f>
        <v/>
      </c>
      <c r="O782">
        <f>IF(UPPER($H782&amp;"")="LEAVE",1,0)</f>
        <v/>
      </c>
      <c r="P782">
        <f>IF($N782=1,$K782,0)</f>
        <v/>
      </c>
      <c r="Q782">
        <f>IF($N782=0,"",IFERROR($L782-LOOKUP(2,1/(($B$2:$B781=$B782)*($N$2:$N781=1)),$M$2:$M781),""))</f>
        <v/>
      </c>
    </row>
    <row r="783">
      <c r="A783" t="n">
        <v>782</v>
      </c>
      <c r="B783">
        <f>Schedule!$A$114</f>
        <v/>
      </c>
      <c r="C783">
        <f>Schedule!$D$114</f>
        <v/>
      </c>
      <c r="D783">
        <f>Schedule!$F$114</f>
        <v/>
      </c>
      <c r="E783" t="n">
        <v>4</v>
      </c>
      <c r="F783">
        <f>Schedule!$K$1</f>
        <v/>
      </c>
      <c r="G783">
        <f>Schedule!$K$2</f>
        <v/>
      </c>
      <c r="H783">
        <f>Schedule!$K$114</f>
        <v/>
      </c>
      <c r="I783">
        <f>IF($N783=1,VALUE(LEFT($H783,2)),"")</f>
        <v/>
      </c>
      <c r="J783">
        <f>IF($N783=1,VALUE(MID($H783,9,2)),"")</f>
        <v/>
      </c>
      <c r="K783">
        <f>IF($N783=1,MOD($J783-$I783,24),0)</f>
        <v/>
      </c>
      <c r="L783">
        <f>IF($N783=1,$E783*24+$I783,"")</f>
        <v/>
      </c>
      <c r="M783">
        <f>IF($N783=1,$L783+$K783,"")</f>
        <v/>
      </c>
      <c r="N783">
        <f>IF(ISNUMBER(SEARCH(" - ",$H783&amp;"")),1,0)</f>
        <v/>
      </c>
      <c r="O783">
        <f>IF(UPPER($H783&amp;"")="LEAVE",1,0)</f>
        <v/>
      </c>
      <c r="P783">
        <f>IF($N783=1,$K783,0)</f>
        <v/>
      </c>
      <c r="Q783">
        <f>IF($N783=0,"",IFERROR($L783-LOOKUP(2,1/(($B$2:$B782=$B783)*($N$2:$N782=1)),$M$2:$M782),""))</f>
        <v/>
      </c>
    </row>
    <row r="784">
      <c r="A784" t="n">
        <v>783</v>
      </c>
      <c r="B784">
        <f>Schedule!$A$114</f>
        <v/>
      </c>
      <c r="C784">
        <f>Schedule!$D$114</f>
        <v/>
      </c>
      <c r="D784">
        <f>Schedule!$F$114</f>
        <v/>
      </c>
      <c r="E784" t="n">
        <v>5</v>
      </c>
      <c r="F784">
        <f>Schedule!$L$1</f>
        <v/>
      </c>
      <c r="G784">
        <f>Schedule!$L$2</f>
        <v/>
      </c>
      <c r="H784">
        <f>Schedule!$L$114</f>
        <v/>
      </c>
      <c r="I784">
        <f>IF($N784=1,VALUE(LEFT($H784,2)),"")</f>
        <v/>
      </c>
      <c r="J784">
        <f>IF($N784=1,VALUE(MID($H784,9,2)),"")</f>
        <v/>
      </c>
      <c r="K784">
        <f>IF($N784=1,MOD($J784-$I784,24),0)</f>
        <v/>
      </c>
      <c r="L784">
        <f>IF($N784=1,$E784*24+$I784,"")</f>
        <v/>
      </c>
      <c r="M784">
        <f>IF($N784=1,$L784+$K784,"")</f>
        <v/>
      </c>
      <c r="N784">
        <f>IF(ISNUMBER(SEARCH(" - ",$H784&amp;"")),1,0)</f>
        <v/>
      </c>
      <c r="O784">
        <f>IF(UPPER($H784&amp;"")="LEAVE",1,0)</f>
        <v/>
      </c>
      <c r="P784">
        <f>IF($N784=1,$K784,0)</f>
        <v/>
      </c>
      <c r="Q784">
        <f>IF($N784=0,"",IFERROR($L784-LOOKUP(2,1/(($B$2:$B783=$B784)*($N$2:$N783=1)),$M$2:$M783),""))</f>
        <v/>
      </c>
    </row>
    <row r="785">
      <c r="A785" t="n">
        <v>784</v>
      </c>
      <c r="B785">
        <f>Schedule!$A$114</f>
        <v/>
      </c>
      <c r="C785">
        <f>Schedule!$D$114</f>
        <v/>
      </c>
      <c r="D785">
        <f>Schedule!$F$114</f>
        <v/>
      </c>
      <c r="E785" t="n">
        <v>6</v>
      </c>
      <c r="F785">
        <f>Schedule!$M$1</f>
        <v/>
      </c>
      <c r="G785">
        <f>Schedule!$M$2</f>
        <v/>
      </c>
      <c r="H785">
        <f>Schedule!$M$114</f>
        <v/>
      </c>
      <c r="I785">
        <f>IF($N785=1,VALUE(LEFT($H785,2)),"")</f>
        <v/>
      </c>
      <c r="J785">
        <f>IF($N785=1,VALUE(MID($H785,9,2)),"")</f>
        <v/>
      </c>
      <c r="K785">
        <f>IF($N785=1,MOD($J785-$I785,24),0)</f>
        <v/>
      </c>
      <c r="L785">
        <f>IF($N785=1,$E785*24+$I785,"")</f>
        <v/>
      </c>
      <c r="M785">
        <f>IF($N785=1,$L785+$K785,"")</f>
        <v/>
      </c>
      <c r="N785">
        <f>IF(ISNUMBER(SEARCH(" - ",$H785&amp;"")),1,0)</f>
        <v/>
      </c>
      <c r="O785">
        <f>IF(UPPER($H785&amp;"")="LEAVE",1,0)</f>
        <v/>
      </c>
      <c r="P785">
        <f>IF($N785=1,$K785,0)</f>
        <v/>
      </c>
      <c r="Q785">
        <f>IF($N785=0,"",IFERROR($L785-LOOKUP(2,1/(($B$2:$B784=$B785)*($N$2:$N784=1)),$M$2:$M784),""))</f>
        <v/>
      </c>
    </row>
    <row r="786">
      <c r="A786" t="n">
        <v>785</v>
      </c>
      <c r="B786">
        <f>Schedule!$A$115</f>
        <v/>
      </c>
      <c r="C786">
        <f>Schedule!$D$115</f>
        <v/>
      </c>
      <c r="D786">
        <f>Schedule!$F$115</f>
        <v/>
      </c>
      <c r="E786" t="n">
        <v>0</v>
      </c>
      <c r="F786">
        <f>Schedule!$G$1</f>
        <v/>
      </c>
      <c r="G786">
        <f>Schedule!$G$2</f>
        <v/>
      </c>
      <c r="H786">
        <f>Schedule!$G$115</f>
        <v/>
      </c>
      <c r="I786">
        <f>IF($N786=1,VALUE(LEFT($H786,2)),"")</f>
        <v/>
      </c>
      <c r="J786">
        <f>IF($N786=1,VALUE(MID($H786,9,2)),"")</f>
        <v/>
      </c>
      <c r="K786">
        <f>IF($N786=1,MOD($J786-$I786,24),0)</f>
        <v/>
      </c>
      <c r="L786">
        <f>IF($N786=1,$E786*24+$I786,"")</f>
        <v/>
      </c>
      <c r="M786">
        <f>IF($N786=1,$L786+$K786,"")</f>
        <v/>
      </c>
      <c r="N786">
        <f>IF(ISNUMBER(SEARCH(" - ",$H786&amp;"")),1,0)</f>
        <v/>
      </c>
      <c r="O786">
        <f>IF(UPPER($H786&amp;"")="LEAVE",1,0)</f>
        <v/>
      </c>
      <c r="P786">
        <f>IF($N786=1,$K786,0)</f>
        <v/>
      </c>
      <c r="Q786">
        <f>IF($N786=0,"",IFERROR($L786-'Previous Engine'!$M$114,""))</f>
        <v/>
      </c>
    </row>
    <row r="787">
      <c r="A787" t="n">
        <v>786</v>
      </c>
      <c r="B787">
        <f>Schedule!$A$115</f>
        <v/>
      </c>
      <c r="C787">
        <f>Schedule!$D$115</f>
        <v/>
      </c>
      <c r="D787">
        <f>Schedule!$F$115</f>
        <v/>
      </c>
      <c r="E787" t="n">
        <v>1</v>
      </c>
      <c r="F787">
        <f>Schedule!$H$1</f>
        <v/>
      </c>
      <c r="G787">
        <f>Schedule!$H$2</f>
        <v/>
      </c>
      <c r="H787">
        <f>Schedule!$H$115</f>
        <v/>
      </c>
      <c r="I787">
        <f>IF($N787=1,VALUE(LEFT($H787,2)),"")</f>
        <v/>
      </c>
      <c r="J787">
        <f>IF($N787=1,VALUE(MID($H787,9,2)),"")</f>
        <v/>
      </c>
      <c r="K787">
        <f>IF($N787=1,MOD($J787-$I787,24),0)</f>
        <v/>
      </c>
      <c r="L787">
        <f>IF($N787=1,$E787*24+$I787,"")</f>
        <v/>
      </c>
      <c r="M787">
        <f>IF($N787=1,$L787+$K787,"")</f>
        <v/>
      </c>
      <c r="N787">
        <f>IF(ISNUMBER(SEARCH(" - ",$H787&amp;"")),1,0)</f>
        <v/>
      </c>
      <c r="O787">
        <f>IF(UPPER($H787&amp;"")="LEAVE",1,0)</f>
        <v/>
      </c>
      <c r="P787">
        <f>IF($N787=1,$K787,0)</f>
        <v/>
      </c>
      <c r="Q787">
        <f>IF($N787=0,"",IFERROR($L787-LOOKUP(2,1/(($B$2:$B786=$B787)*($N$2:$N786=1)),$M$2:$M786),""))</f>
        <v/>
      </c>
    </row>
    <row r="788">
      <c r="A788" t="n">
        <v>787</v>
      </c>
      <c r="B788">
        <f>Schedule!$A$115</f>
        <v/>
      </c>
      <c r="C788">
        <f>Schedule!$D$115</f>
        <v/>
      </c>
      <c r="D788">
        <f>Schedule!$F$115</f>
        <v/>
      </c>
      <c r="E788" t="n">
        <v>2</v>
      </c>
      <c r="F788">
        <f>Schedule!$I$1</f>
        <v/>
      </c>
      <c r="G788">
        <f>Schedule!$I$2</f>
        <v/>
      </c>
      <c r="H788">
        <f>Schedule!$I$115</f>
        <v/>
      </c>
      <c r="I788">
        <f>IF($N788=1,VALUE(LEFT($H788,2)),"")</f>
        <v/>
      </c>
      <c r="J788">
        <f>IF($N788=1,VALUE(MID($H788,9,2)),"")</f>
        <v/>
      </c>
      <c r="K788">
        <f>IF($N788=1,MOD($J788-$I788,24),0)</f>
        <v/>
      </c>
      <c r="L788">
        <f>IF($N788=1,$E788*24+$I788,"")</f>
        <v/>
      </c>
      <c r="M788">
        <f>IF($N788=1,$L788+$K788,"")</f>
        <v/>
      </c>
      <c r="N788">
        <f>IF(ISNUMBER(SEARCH(" - ",$H788&amp;"")),1,0)</f>
        <v/>
      </c>
      <c r="O788">
        <f>IF(UPPER($H788&amp;"")="LEAVE",1,0)</f>
        <v/>
      </c>
      <c r="P788">
        <f>IF($N788=1,$K788,0)</f>
        <v/>
      </c>
      <c r="Q788">
        <f>IF($N788=0,"",IFERROR($L788-LOOKUP(2,1/(($B$2:$B787=$B788)*($N$2:$N787=1)),$M$2:$M787),""))</f>
        <v/>
      </c>
    </row>
    <row r="789">
      <c r="A789" t="n">
        <v>788</v>
      </c>
      <c r="B789">
        <f>Schedule!$A$115</f>
        <v/>
      </c>
      <c r="C789">
        <f>Schedule!$D$115</f>
        <v/>
      </c>
      <c r="D789">
        <f>Schedule!$F$115</f>
        <v/>
      </c>
      <c r="E789" t="n">
        <v>3</v>
      </c>
      <c r="F789">
        <f>Schedule!$J$1</f>
        <v/>
      </c>
      <c r="G789">
        <f>Schedule!$J$2</f>
        <v/>
      </c>
      <c r="H789">
        <f>Schedule!$J$115</f>
        <v/>
      </c>
      <c r="I789">
        <f>IF($N789=1,VALUE(LEFT($H789,2)),"")</f>
        <v/>
      </c>
      <c r="J789">
        <f>IF($N789=1,VALUE(MID($H789,9,2)),"")</f>
        <v/>
      </c>
      <c r="K789">
        <f>IF($N789=1,MOD($J789-$I789,24),0)</f>
        <v/>
      </c>
      <c r="L789">
        <f>IF($N789=1,$E789*24+$I789,"")</f>
        <v/>
      </c>
      <c r="M789">
        <f>IF($N789=1,$L789+$K789,"")</f>
        <v/>
      </c>
      <c r="N789">
        <f>IF(ISNUMBER(SEARCH(" - ",$H789&amp;"")),1,0)</f>
        <v/>
      </c>
      <c r="O789">
        <f>IF(UPPER($H789&amp;"")="LEAVE",1,0)</f>
        <v/>
      </c>
      <c r="P789">
        <f>IF($N789=1,$K789,0)</f>
        <v/>
      </c>
      <c r="Q789">
        <f>IF($N789=0,"",IFERROR($L789-LOOKUP(2,1/(($B$2:$B788=$B789)*($N$2:$N788=1)),$M$2:$M788),""))</f>
        <v/>
      </c>
    </row>
    <row r="790">
      <c r="A790" t="n">
        <v>789</v>
      </c>
      <c r="B790">
        <f>Schedule!$A$115</f>
        <v/>
      </c>
      <c r="C790">
        <f>Schedule!$D$115</f>
        <v/>
      </c>
      <c r="D790">
        <f>Schedule!$F$115</f>
        <v/>
      </c>
      <c r="E790" t="n">
        <v>4</v>
      </c>
      <c r="F790">
        <f>Schedule!$K$1</f>
        <v/>
      </c>
      <c r="G790">
        <f>Schedule!$K$2</f>
        <v/>
      </c>
      <c r="H790">
        <f>Schedule!$K$115</f>
        <v/>
      </c>
      <c r="I790">
        <f>IF($N790=1,VALUE(LEFT($H790,2)),"")</f>
        <v/>
      </c>
      <c r="J790">
        <f>IF($N790=1,VALUE(MID($H790,9,2)),"")</f>
        <v/>
      </c>
      <c r="K790">
        <f>IF($N790=1,MOD($J790-$I790,24),0)</f>
        <v/>
      </c>
      <c r="L790">
        <f>IF($N790=1,$E790*24+$I790,"")</f>
        <v/>
      </c>
      <c r="M790">
        <f>IF($N790=1,$L790+$K790,"")</f>
        <v/>
      </c>
      <c r="N790">
        <f>IF(ISNUMBER(SEARCH(" - ",$H790&amp;"")),1,0)</f>
        <v/>
      </c>
      <c r="O790">
        <f>IF(UPPER($H790&amp;"")="LEAVE",1,0)</f>
        <v/>
      </c>
      <c r="P790">
        <f>IF($N790=1,$K790,0)</f>
        <v/>
      </c>
      <c r="Q790">
        <f>IF($N790=0,"",IFERROR($L790-LOOKUP(2,1/(($B$2:$B789=$B790)*($N$2:$N789=1)),$M$2:$M789),""))</f>
        <v/>
      </c>
    </row>
    <row r="791">
      <c r="A791" t="n">
        <v>790</v>
      </c>
      <c r="B791">
        <f>Schedule!$A$115</f>
        <v/>
      </c>
      <c r="C791">
        <f>Schedule!$D$115</f>
        <v/>
      </c>
      <c r="D791">
        <f>Schedule!$F$115</f>
        <v/>
      </c>
      <c r="E791" t="n">
        <v>5</v>
      </c>
      <c r="F791">
        <f>Schedule!$L$1</f>
        <v/>
      </c>
      <c r="G791">
        <f>Schedule!$L$2</f>
        <v/>
      </c>
      <c r="H791">
        <f>Schedule!$L$115</f>
        <v/>
      </c>
      <c r="I791">
        <f>IF($N791=1,VALUE(LEFT($H791,2)),"")</f>
        <v/>
      </c>
      <c r="J791">
        <f>IF($N791=1,VALUE(MID($H791,9,2)),"")</f>
        <v/>
      </c>
      <c r="K791">
        <f>IF($N791=1,MOD($J791-$I791,24),0)</f>
        <v/>
      </c>
      <c r="L791">
        <f>IF($N791=1,$E791*24+$I791,"")</f>
        <v/>
      </c>
      <c r="M791">
        <f>IF($N791=1,$L791+$K791,"")</f>
        <v/>
      </c>
      <c r="N791">
        <f>IF(ISNUMBER(SEARCH(" - ",$H791&amp;"")),1,0)</f>
        <v/>
      </c>
      <c r="O791">
        <f>IF(UPPER($H791&amp;"")="LEAVE",1,0)</f>
        <v/>
      </c>
      <c r="P791">
        <f>IF($N791=1,$K791,0)</f>
        <v/>
      </c>
      <c r="Q791">
        <f>IF($N791=0,"",IFERROR($L791-LOOKUP(2,1/(($B$2:$B790=$B791)*($N$2:$N790=1)),$M$2:$M790),""))</f>
        <v/>
      </c>
    </row>
    <row r="792">
      <c r="A792" t="n">
        <v>791</v>
      </c>
      <c r="B792">
        <f>Schedule!$A$115</f>
        <v/>
      </c>
      <c r="C792">
        <f>Schedule!$D$115</f>
        <v/>
      </c>
      <c r="D792">
        <f>Schedule!$F$115</f>
        <v/>
      </c>
      <c r="E792" t="n">
        <v>6</v>
      </c>
      <c r="F792">
        <f>Schedule!$M$1</f>
        <v/>
      </c>
      <c r="G792">
        <f>Schedule!$M$2</f>
        <v/>
      </c>
      <c r="H792">
        <f>Schedule!$M$115</f>
        <v/>
      </c>
      <c r="I792">
        <f>IF($N792=1,VALUE(LEFT($H792,2)),"")</f>
        <v/>
      </c>
      <c r="J792">
        <f>IF($N792=1,VALUE(MID($H792,9,2)),"")</f>
        <v/>
      </c>
      <c r="K792">
        <f>IF($N792=1,MOD($J792-$I792,24),0)</f>
        <v/>
      </c>
      <c r="L792">
        <f>IF($N792=1,$E792*24+$I792,"")</f>
        <v/>
      </c>
      <c r="M792">
        <f>IF($N792=1,$L792+$K792,"")</f>
        <v/>
      </c>
      <c r="N792">
        <f>IF(ISNUMBER(SEARCH(" - ",$H792&amp;"")),1,0)</f>
        <v/>
      </c>
      <c r="O792">
        <f>IF(UPPER($H792&amp;"")="LEAVE",1,0)</f>
        <v/>
      </c>
      <c r="P792">
        <f>IF($N792=1,$K792,0)</f>
        <v/>
      </c>
      <c r="Q792">
        <f>IF($N792=0,"",IFERROR($L792-LOOKUP(2,1/(($B$2:$B791=$B792)*($N$2:$N791=1)),$M$2:$M791),""))</f>
        <v/>
      </c>
    </row>
    <row r="793">
      <c r="A793" t="n">
        <v>792</v>
      </c>
      <c r="B793">
        <f>Schedule!$A$116</f>
        <v/>
      </c>
      <c r="C793">
        <f>Schedule!$D$116</f>
        <v/>
      </c>
      <c r="D793">
        <f>Schedule!$F$116</f>
        <v/>
      </c>
      <c r="E793" t="n">
        <v>0</v>
      </c>
      <c r="F793">
        <f>Schedule!$G$1</f>
        <v/>
      </c>
      <c r="G793">
        <f>Schedule!$G$2</f>
        <v/>
      </c>
      <c r="H793">
        <f>Schedule!$G$116</f>
        <v/>
      </c>
      <c r="I793">
        <f>IF($N793=1,VALUE(LEFT($H793,2)),"")</f>
        <v/>
      </c>
      <c r="J793">
        <f>IF($N793=1,VALUE(MID($H793,9,2)),"")</f>
        <v/>
      </c>
      <c r="K793">
        <f>IF($N793=1,MOD($J793-$I793,24),0)</f>
        <v/>
      </c>
      <c r="L793">
        <f>IF($N793=1,$E793*24+$I793,"")</f>
        <v/>
      </c>
      <c r="M793">
        <f>IF($N793=1,$L793+$K793,"")</f>
        <v/>
      </c>
      <c r="N793">
        <f>IF(ISNUMBER(SEARCH(" - ",$H793&amp;"")),1,0)</f>
        <v/>
      </c>
      <c r="O793">
        <f>IF(UPPER($H793&amp;"")="LEAVE",1,0)</f>
        <v/>
      </c>
      <c r="P793">
        <f>IF($N793=1,$K793,0)</f>
        <v/>
      </c>
      <c r="Q793">
        <f>IF($N793=0,"",IFERROR($L793-'Previous Engine'!$M$115,""))</f>
        <v/>
      </c>
    </row>
    <row r="794">
      <c r="A794" t="n">
        <v>793</v>
      </c>
      <c r="B794">
        <f>Schedule!$A$116</f>
        <v/>
      </c>
      <c r="C794">
        <f>Schedule!$D$116</f>
        <v/>
      </c>
      <c r="D794">
        <f>Schedule!$F$116</f>
        <v/>
      </c>
      <c r="E794" t="n">
        <v>1</v>
      </c>
      <c r="F794">
        <f>Schedule!$H$1</f>
        <v/>
      </c>
      <c r="G794">
        <f>Schedule!$H$2</f>
        <v/>
      </c>
      <c r="H794">
        <f>Schedule!$H$116</f>
        <v/>
      </c>
      <c r="I794">
        <f>IF($N794=1,VALUE(LEFT($H794,2)),"")</f>
        <v/>
      </c>
      <c r="J794">
        <f>IF($N794=1,VALUE(MID($H794,9,2)),"")</f>
        <v/>
      </c>
      <c r="K794">
        <f>IF($N794=1,MOD($J794-$I794,24),0)</f>
        <v/>
      </c>
      <c r="L794">
        <f>IF($N794=1,$E794*24+$I794,"")</f>
        <v/>
      </c>
      <c r="M794">
        <f>IF($N794=1,$L794+$K794,"")</f>
        <v/>
      </c>
      <c r="N794">
        <f>IF(ISNUMBER(SEARCH(" - ",$H794&amp;"")),1,0)</f>
        <v/>
      </c>
      <c r="O794">
        <f>IF(UPPER($H794&amp;"")="LEAVE",1,0)</f>
        <v/>
      </c>
      <c r="P794">
        <f>IF($N794=1,$K794,0)</f>
        <v/>
      </c>
      <c r="Q794">
        <f>IF($N794=0,"",IFERROR($L794-LOOKUP(2,1/(($B$2:$B793=$B794)*($N$2:$N793=1)),$M$2:$M793),""))</f>
        <v/>
      </c>
    </row>
    <row r="795">
      <c r="A795" t="n">
        <v>794</v>
      </c>
      <c r="B795">
        <f>Schedule!$A$116</f>
        <v/>
      </c>
      <c r="C795">
        <f>Schedule!$D$116</f>
        <v/>
      </c>
      <c r="D795">
        <f>Schedule!$F$116</f>
        <v/>
      </c>
      <c r="E795" t="n">
        <v>2</v>
      </c>
      <c r="F795">
        <f>Schedule!$I$1</f>
        <v/>
      </c>
      <c r="G795">
        <f>Schedule!$I$2</f>
        <v/>
      </c>
      <c r="H795">
        <f>Schedule!$I$116</f>
        <v/>
      </c>
      <c r="I795">
        <f>IF($N795=1,VALUE(LEFT($H795,2)),"")</f>
        <v/>
      </c>
      <c r="J795">
        <f>IF($N795=1,VALUE(MID($H795,9,2)),"")</f>
        <v/>
      </c>
      <c r="K795">
        <f>IF($N795=1,MOD($J795-$I795,24),0)</f>
        <v/>
      </c>
      <c r="L795">
        <f>IF($N795=1,$E795*24+$I795,"")</f>
        <v/>
      </c>
      <c r="M795">
        <f>IF($N795=1,$L795+$K795,"")</f>
        <v/>
      </c>
      <c r="N795">
        <f>IF(ISNUMBER(SEARCH(" - ",$H795&amp;"")),1,0)</f>
        <v/>
      </c>
      <c r="O795">
        <f>IF(UPPER($H795&amp;"")="LEAVE",1,0)</f>
        <v/>
      </c>
      <c r="P795">
        <f>IF($N795=1,$K795,0)</f>
        <v/>
      </c>
      <c r="Q795">
        <f>IF($N795=0,"",IFERROR($L795-LOOKUP(2,1/(($B$2:$B794=$B795)*($N$2:$N794=1)),$M$2:$M794),""))</f>
        <v/>
      </c>
    </row>
    <row r="796">
      <c r="A796" t="n">
        <v>795</v>
      </c>
      <c r="B796">
        <f>Schedule!$A$116</f>
        <v/>
      </c>
      <c r="C796">
        <f>Schedule!$D$116</f>
        <v/>
      </c>
      <c r="D796">
        <f>Schedule!$F$116</f>
        <v/>
      </c>
      <c r="E796" t="n">
        <v>3</v>
      </c>
      <c r="F796">
        <f>Schedule!$J$1</f>
        <v/>
      </c>
      <c r="G796">
        <f>Schedule!$J$2</f>
        <v/>
      </c>
      <c r="H796">
        <f>Schedule!$J$116</f>
        <v/>
      </c>
      <c r="I796">
        <f>IF($N796=1,VALUE(LEFT($H796,2)),"")</f>
        <v/>
      </c>
      <c r="J796">
        <f>IF($N796=1,VALUE(MID($H796,9,2)),"")</f>
        <v/>
      </c>
      <c r="K796">
        <f>IF($N796=1,MOD($J796-$I796,24),0)</f>
        <v/>
      </c>
      <c r="L796">
        <f>IF($N796=1,$E796*24+$I796,"")</f>
        <v/>
      </c>
      <c r="M796">
        <f>IF($N796=1,$L796+$K796,"")</f>
        <v/>
      </c>
      <c r="N796">
        <f>IF(ISNUMBER(SEARCH(" - ",$H796&amp;"")),1,0)</f>
        <v/>
      </c>
      <c r="O796">
        <f>IF(UPPER($H796&amp;"")="LEAVE",1,0)</f>
        <v/>
      </c>
      <c r="P796">
        <f>IF($N796=1,$K796,0)</f>
        <v/>
      </c>
      <c r="Q796">
        <f>IF($N796=0,"",IFERROR($L796-LOOKUP(2,1/(($B$2:$B795=$B796)*($N$2:$N795=1)),$M$2:$M795),""))</f>
        <v/>
      </c>
    </row>
    <row r="797">
      <c r="A797" t="n">
        <v>796</v>
      </c>
      <c r="B797">
        <f>Schedule!$A$116</f>
        <v/>
      </c>
      <c r="C797">
        <f>Schedule!$D$116</f>
        <v/>
      </c>
      <c r="D797">
        <f>Schedule!$F$116</f>
        <v/>
      </c>
      <c r="E797" t="n">
        <v>4</v>
      </c>
      <c r="F797">
        <f>Schedule!$K$1</f>
        <v/>
      </c>
      <c r="G797">
        <f>Schedule!$K$2</f>
        <v/>
      </c>
      <c r="H797">
        <f>Schedule!$K$116</f>
        <v/>
      </c>
      <c r="I797">
        <f>IF($N797=1,VALUE(LEFT($H797,2)),"")</f>
        <v/>
      </c>
      <c r="J797">
        <f>IF($N797=1,VALUE(MID($H797,9,2)),"")</f>
        <v/>
      </c>
      <c r="K797">
        <f>IF($N797=1,MOD($J797-$I797,24),0)</f>
        <v/>
      </c>
      <c r="L797">
        <f>IF($N797=1,$E797*24+$I797,"")</f>
        <v/>
      </c>
      <c r="M797">
        <f>IF($N797=1,$L797+$K797,"")</f>
        <v/>
      </c>
      <c r="N797">
        <f>IF(ISNUMBER(SEARCH(" - ",$H797&amp;"")),1,0)</f>
        <v/>
      </c>
      <c r="O797">
        <f>IF(UPPER($H797&amp;"")="LEAVE",1,0)</f>
        <v/>
      </c>
      <c r="P797">
        <f>IF($N797=1,$K797,0)</f>
        <v/>
      </c>
      <c r="Q797">
        <f>IF($N797=0,"",IFERROR($L797-LOOKUP(2,1/(($B$2:$B796=$B797)*($N$2:$N796=1)),$M$2:$M796),""))</f>
        <v/>
      </c>
    </row>
    <row r="798">
      <c r="A798" t="n">
        <v>797</v>
      </c>
      <c r="B798">
        <f>Schedule!$A$116</f>
        <v/>
      </c>
      <c r="C798">
        <f>Schedule!$D$116</f>
        <v/>
      </c>
      <c r="D798">
        <f>Schedule!$F$116</f>
        <v/>
      </c>
      <c r="E798" t="n">
        <v>5</v>
      </c>
      <c r="F798">
        <f>Schedule!$L$1</f>
        <v/>
      </c>
      <c r="G798">
        <f>Schedule!$L$2</f>
        <v/>
      </c>
      <c r="H798">
        <f>Schedule!$L$116</f>
        <v/>
      </c>
      <c r="I798">
        <f>IF($N798=1,VALUE(LEFT($H798,2)),"")</f>
        <v/>
      </c>
      <c r="J798">
        <f>IF($N798=1,VALUE(MID($H798,9,2)),"")</f>
        <v/>
      </c>
      <c r="K798">
        <f>IF($N798=1,MOD($J798-$I798,24),0)</f>
        <v/>
      </c>
      <c r="L798">
        <f>IF($N798=1,$E798*24+$I798,"")</f>
        <v/>
      </c>
      <c r="M798">
        <f>IF($N798=1,$L798+$K798,"")</f>
        <v/>
      </c>
      <c r="N798">
        <f>IF(ISNUMBER(SEARCH(" - ",$H798&amp;"")),1,0)</f>
        <v/>
      </c>
      <c r="O798">
        <f>IF(UPPER($H798&amp;"")="LEAVE",1,0)</f>
        <v/>
      </c>
      <c r="P798">
        <f>IF($N798=1,$K798,0)</f>
        <v/>
      </c>
      <c r="Q798">
        <f>IF($N798=0,"",IFERROR($L798-LOOKUP(2,1/(($B$2:$B797=$B798)*($N$2:$N797=1)),$M$2:$M797),""))</f>
        <v/>
      </c>
    </row>
    <row r="799">
      <c r="A799" t="n">
        <v>798</v>
      </c>
      <c r="B799">
        <f>Schedule!$A$116</f>
        <v/>
      </c>
      <c r="C799">
        <f>Schedule!$D$116</f>
        <v/>
      </c>
      <c r="D799">
        <f>Schedule!$F$116</f>
        <v/>
      </c>
      <c r="E799" t="n">
        <v>6</v>
      </c>
      <c r="F799">
        <f>Schedule!$M$1</f>
        <v/>
      </c>
      <c r="G799">
        <f>Schedule!$M$2</f>
        <v/>
      </c>
      <c r="H799">
        <f>Schedule!$M$116</f>
        <v/>
      </c>
      <c r="I799">
        <f>IF($N799=1,VALUE(LEFT($H799,2)),"")</f>
        <v/>
      </c>
      <c r="J799">
        <f>IF($N799=1,VALUE(MID($H799,9,2)),"")</f>
        <v/>
      </c>
      <c r="K799">
        <f>IF($N799=1,MOD($J799-$I799,24),0)</f>
        <v/>
      </c>
      <c r="L799">
        <f>IF($N799=1,$E799*24+$I799,"")</f>
        <v/>
      </c>
      <c r="M799">
        <f>IF($N799=1,$L799+$K799,"")</f>
        <v/>
      </c>
      <c r="N799">
        <f>IF(ISNUMBER(SEARCH(" - ",$H799&amp;"")),1,0)</f>
        <v/>
      </c>
      <c r="O799">
        <f>IF(UPPER($H799&amp;"")="LEAVE",1,0)</f>
        <v/>
      </c>
      <c r="P799">
        <f>IF($N799=1,$K799,0)</f>
        <v/>
      </c>
      <c r="Q799">
        <f>IF($N799=0,"",IFERROR($L799-LOOKUP(2,1/(($B$2:$B798=$B799)*($N$2:$N798=1)),$M$2:$M798),""))</f>
        <v/>
      </c>
    </row>
    <row r="800">
      <c r="A800" t="n">
        <v>799</v>
      </c>
      <c r="B800">
        <f>Schedule!$A$117</f>
        <v/>
      </c>
      <c r="C800">
        <f>Schedule!$D$117</f>
        <v/>
      </c>
      <c r="D800">
        <f>Schedule!$F$117</f>
        <v/>
      </c>
      <c r="E800" t="n">
        <v>0</v>
      </c>
      <c r="F800">
        <f>Schedule!$G$1</f>
        <v/>
      </c>
      <c r="G800">
        <f>Schedule!$G$2</f>
        <v/>
      </c>
      <c r="H800">
        <f>Schedule!$G$117</f>
        <v/>
      </c>
      <c r="I800">
        <f>IF($N800=1,VALUE(LEFT($H800,2)),"")</f>
        <v/>
      </c>
      <c r="J800">
        <f>IF($N800=1,VALUE(MID($H800,9,2)),"")</f>
        <v/>
      </c>
      <c r="K800">
        <f>IF($N800=1,MOD($J800-$I800,24),0)</f>
        <v/>
      </c>
      <c r="L800">
        <f>IF($N800=1,$E800*24+$I800,"")</f>
        <v/>
      </c>
      <c r="M800">
        <f>IF($N800=1,$L800+$K800,"")</f>
        <v/>
      </c>
      <c r="N800">
        <f>IF(ISNUMBER(SEARCH(" - ",$H800&amp;"")),1,0)</f>
        <v/>
      </c>
      <c r="O800">
        <f>IF(UPPER($H800&amp;"")="LEAVE",1,0)</f>
        <v/>
      </c>
      <c r="P800">
        <f>IF($N800=1,$K800,0)</f>
        <v/>
      </c>
      <c r="Q800">
        <f>IF($N800=0,"",IFERROR($L800-'Previous Engine'!$M$116,""))</f>
        <v/>
      </c>
    </row>
    <row r="801">
      <c r="A801" t="n">
        <v>800</v>
      </c>
      <c r="B801">
        <f>Schedule!$A$117</f>
        <v/>
      </c>
      <c r="C801">
        <f>Schedule!$D$117</f>
        <v/>
      </c>
      <c r="D801">
        <f>Schedule!$F$117</f>
        <v/>
      </c>
      <c r="E801" t="n">
        <v>1</v>
      </c>
      <c r="F801">
        <f>Schedule!$H$1</f>
        <v/>
      </c>
      <c r="G801">
        <f>Schedule!$H$2</f>
        <v/>
      </c>
      <c r="H801">
        <f>Schedule!$H$117</f>
        <v/>
      </c>
      <c r="I801">
        <f>IF($N801=1,VALUE(LEFT($H801,2)),"")</f>
        <v/>
      </c>
      <c r="J801">
        <f>IF($N801=1,VALUE(MID($H801,9,2)),"")</f>
        <v/>
      </c>
      <c r="K801">
        <f>IF($N801=1,MOD($J801-$I801,24),0)</f>
        <v/>
      </c>
      <c r="L801">
        <f>IF($N801=1,$E801*24+$I801,"")</f>
        <v/>
      </c>
      <c r="M801">
        <f>IF($N801=1,$L801+$K801,"")</f>
        <v/>
      </c>
      <c r="N801">
        <f>IF(ISNUMBER(SEARCH(" - ",$H801&amp;"")),1,0)</f>
        <v/>
      </c>
      <c r="O801">
        <f>IF(UPPER($H801&amp;"")="LEAVE",1,0)</f>
        <v/>
      </c>
      <c r="P801">
        <f>IF($N801=1,$K801,0)</f>
        <v/>
      </c>
      <c r="Q801">
        <f>IF($N801=0,"",IFERROR($L801-LOOKUP(2,1/(($B$2:$B800=$B801)*($N$2:$N800=1)),$M$2:$M800),""))</f>
        <v/>
      </c>
    </row>
    <row r="802">
      <c r="A802" t="n">
        <v>801</v>
      </c>
      <c r="B802">
        <f>Schedule!$A$117</f>
        <v/>
      </c>
      <c r="C802">
        <f>Schedule!$D$117</f>
        <v/>
      </c>
      <c r="D802">
        <f>Schedule!$F$117</f>
        <v/>
      </c>
      <c r="E802" t="n">
        <v>2</v>
      </c>
      <c r="F802">
        <f>Schedule!$I$1</f>
        <v/>
      </c>
      <c r="G802">
        <f>Schedule!$I$2</f>
        <v/>
      </c>
      <c r="H802">
        <f>Schedule!$I$117</f>
        <v/>
      </c>
      <c r="I802">
        <f>IF($N802=1,VALUE(LEFT($H802,2)),"")</f>
        <v/>
      </c>
      <c r="J802">
        <f>IF($N802=1,VALUE(MID($H802,9,2)),"")</f>
        <v/>
      </c>
      <c r="K802">
        <f>IF($N802=1,MOD($J802-$I802,24),0)</f>
        <v/>
      </c>
      <c r="L802">
        <f>IF($N802=1,$E802*24+$I802,"")</f>
        <v/>
      </c>
      <c r="M802">
        <f>IF($N802=1,$L802+$K802,"")</f>
        <v/>
      </c>
      <c r="N802">
        <f>IF(ISNUMBER(SEARCH(" - ",$H802&amp;"")),1,0)</f>
        <v/>
      </c>
      <c r="O802">
        <f>IF(UPPER($H802&amp;"")="LEAVE",1,0)</f>
        <v/>
      </c>
      <c r="P802">
        <f>IF($N802=1,$K802,0)</f>
        <v/>
      </c>
      <c r="Q802">
        <f>IF($N802=0,"",IFERROR($L802-LOOKUP(2,1/(($B$2:$B801=$B802)*($N$2:$N801=1)),$M$2:$M801),""))</f>
        <v/>
      </c>
    </row>
    <row r="803">
      <c r="A803" t="n">
        <v>802</v>
      </c>
      <c r="B803">
        <f>Schedule!$A$117</f>
        <v/>
      </c>
      <c r="C803">
        <f>Schedule!$D$117</f>
        <v/>
      </c>
      <c r="D803">
        <f>Schedule!$F$117</f>
        <v/>
      </c>
      <c r="E803" t="n">
        <v>3</v>
      </c>
      <c r="F803">
        <f>Schedule!$J$1</f>
        <v/>
      </c>
      <c r="G803">
        <f>Schedule!$J$2</f>
        <v/>
      </c>
      <c r="H803">
        <f>Schedule!$J$117</f>
        <v/>
      </c>
      <c r="I803">
        <f>IF($N803=1,VALUE(LEFT($H803,2)),"")</f>
        <v/>
      </c>
      <c r="J803">
        <f>IF($N803=1,VALUE(MID($H803,9,2)),"")</f>
        <v/>
      </c>
      <c r="K803">
        <f>IF($N803=1,MOD($J803-$I803,24),0)</f>
        <v/>
      </c>
      <c r="L803">
        <f>IF($N803=1,$E803*24+$I803,"")</f>
        <v/>
      </c>
      <c r="M803">
        <f>IF($N803=1,$L803+$K803,"")</f>
        <v/>
      </c>
      <c r="N803">
        <f>IF(ISNUMBER(SEARCH(" - ",$H803&amp;"")),1,0)</f>
        <v/>
      </c>
      <c r="O803">
        <f>IF(UPPER($H803&amp;"")="LEAVE",1,0)</f>
        <v/>
      </c>
      <c r="P803">
        <f>IF($N803=1,$K803,0)</f>
        <v/>
      </c>
      <c r="Q803">
        <f>IF($N803=0,"",IFERROR($L803-LOOKUP(2,1/(($B$2:$B802=$B803)*($N$2:$N802=1)),$M$2:$M802),""))</f>
        <v/>
      </c>
    </row>
    <row r="804">
      <c r="A804" t="n">
        <v>803</v>
      </c>
      <c r="B804">
        <f>Schedule!$A$117</f>
        <v/>
      </c>
      <c r="C804">
        <f>Schedule!$D$117</f>
        <v/>
      </c>
      <c r="D804">
        <f>Schedule!$F$117</f>
        <v/>
      </c>
      <c r="E804" t="n">
        <v>4</v>
      </c>
      <c r="F804">
        <f>Schedule!$K$1</f>
        <v/>
      </c>
      <c r="G804">
        <f>Schedule!$K$2</f>
        <v/>
      </c>
      <c r="H804">
        <f>Schedule!$K$117</f>
        <v/>
      </c>
      <c r="I804">
        <f>IF($N804=1,VALUE(LEFT($H804,2)),"")</f>
        <v/>
      </c>
      <c r="J804">
        <f>IF($N804=1,VALUE(MID($H804,9,2)),"")</f>
        <v/>
      </c>
      <c r="K804">
        <f>IF($N804=1,MOD($J804-$I804,24),0)</f>
        <v/>
      </c>
      <c r="L804">
        <f>IF($N804=1,$E804*24+$I804,"")</f>
        <v/>
      </c>
      <c r="M804">
        <f>IF($N804=1,$L804+$K804,"")</f>
        <v/>
      </c>
      <c r="N804">
        <f>IF(ISNUMBER(SEARCH(" - ",$H804&amp;"")),1,0)</f>
        <v/>
      </c>
      <c r="O804">
        <f>IF(UPPER($H804&amp;"")="LEAVE",1,0)</f>
        <v/>
      </c>
      <c r="P804">
        <f>IF($N804=1,$K804,0)</f>
        <v/>
      </c>
      <c r="Q804">
        <f>IF($N804=0,"",IFERROR($L804-LOOKUP(2,1/(($B$2:$B803=$B804)*($N$2:$N803=1)),$M$2:$M803),""))</f>
        <v/>
      </c>
    </row>
    <row r="805">
      <c r="A805" t="n">
        <v>804</v>
      </c>
      <c r="B805">
        <f>Schedule!$A$117</f>
        <v/>
      </c>
      <c r="C805">
        <f>Schedule!$D$117</f>
        <v/>
      </c>
      <c r="D805">
        <f>Schedule!$F$117</f>
        <v/>
      </c>
      <c r="E805" t="n">
        <v>5</v>
      </c>
      <c r="F805">
        <f>Schedule!$L$1</f>
        <v/>
      </c>
      <c r="G805">
        <f>Schedule!$L$2</f>
        <v/>
      </c>
      <c r="H805">
        <f>Schedule!$L$117</f>
        <v/>
      </c>
      <c r="I805">
        <f>IF($N805=1,VALUE(LEFT($H805,2)),"")</f>
        <v/>
      </c>
      <c r="J805">
        <f>IF($N805=1,VALUE(MID($H805,9,2)),"")</f>
        <v/>
      </c>
      <c r="K805">
        <f>IF($N805=1,MOD($J805-$I805,24),0)</f>
        <v/>
      </c>
      <c r="L805">
        <f>IF($N805=1,$E805*24+$I805,"")</f>
        <v/>
      </c>
      <c r="M805">
        <f>IF($N805=1,$L805+$K805,"")</f>
        <v/>
      </c>
      <c r="N805">
        <f>IF(ISNUMBER(SEARCH(" - ",$H805&amp;"")),1,0)</f>
        <v/>
      </c>
      <c r="O805">
        <f>IF(UPPER($H805&amp;"")="LEAVE",1,0)</f>
        <v/>
      </c>
      <c r="P805">
        <f>IF($N805=1,$K805,0)</f>
        <v/>
      </c>
      <c r="Q805">
        <f>IF($N805=0,"",IFERROR($L805-LOOKUP(2,1/(($B$2:$B804=$B805)*($N$2:$N804=1)),$M$2:$M804),""))</f>
        <v/>
      </c>
    </row>
    <row r="806">
      <c r="A806" t="n">
        <v>805</v>
      </c>
      <c r="B806">
        <f>Schedule!$A$117</f>
        <v/>
      </c>
      <c r="C806">
        <f>Schedule!$D$117</f>
        <v/>
      </c>
      <c r="D806">
        <f>Schedule!$F$117</f>
        <v/>
      </c>
      <c r="E806" t="n">
        <v>6</v>
      </c>
      <c r="F806">
        <f>Schedule!$M$1</f>
        <v/>
      </c>
      <c r="G806">
        <f>Schedule!$M$2</f>
        <v/>
      </c>
      <c r="H806">
        <f>Schedule!$M$117</f>
        <v/>
      </c>
      <c r="I806">
        <f>IF($N806=1,VALUE(LEFT($H806,2)),"")</f>
        <v/>
      </c>
      <c r="J806">
        <f>IF($N806=1,VALUE(MID($H806,9,2)),"")</f>
        <v/>
      </c>
      <c r="K806">
        <f>IF($N806=1,MOD($J806-$I806,24),0)</f>
        <v/>
      </c>
      <c r="L806">
        <f>IF($N806=1,$E806*24+$I806,"")</f>
        <v/>
      </c>
      <c r="M806">
        <f>IF($N806=1,$L806+$K806,"")</f>
        <v/>
      </c>
      <c r="N806">
        <f>IF(ISNUMBER(SEARCH(" - ",$H806&amp;"")),1,0)</f>
        <v/>
      </c>
      <c r="O806">
        <f>IF(UPPER($H806&amp;"")="LEAVE",1,0)</f>
        <v/>
      </c>
      <c r="P806">
        <f>IF($N806=1,$K806,0)</f>
        <v/>
      </c>
      <c r="Q806">
        <f>IF($N806=0,"",IFERROR($L806-LOOKUP(2,1/(($B$2:$B805=$B806)*($N$2:$N805=1)),$M$2:$M805),""))</f>
        <v/>
      </c>
    </row>
    <row r="807">
      <c r="A807" t="n">
        <v>806</v>
      </c>
      <c r="B807">
        <f>Schedule!$A$118</f>
        <v/>
      </c>
      <c r="C807">
        <f>Schedule!$D$118</f>
        <v/>
      </c>
      <c r="D807">
        <f>Schedule!$F$118</f>
        <v/>
      </c>
      <c r="E807" t="n">
        <v>0</v>
      </c>
      <c r="F807">
        <f>Schedule!$G$1</f>
        <v/>
      </c>
      <c r="G807">
        <f>Schedule!$G$2</f>
        <v/>
      </c>
      <c r="H807">
        <f>Schedule!$G$118</f>
        <v/>
      </c>
      <c r="I807">
        <f>IF($N807=1,VALUE(LEFT($H807,2)),"")</f>
        <v/>
      </c>
      <c r="J807">
        <f>IF($N807=1,VALUE(MID($H807,9,2)),"")</f>
        <v/>
      </c>
      <c r="K807">
        <f>IF($N807=1,MOD($J807-$I807,24),0)</f>
        <v/>
      </c>
      <c r="L807">
        <f>IF($N807=1,$E807*24+$I807,"")</f>
        <v/>
      </c>
      <c r="M807">
        <f>IF($N807=1,$L807+$K807,"")</f>
        <v/>
      </c>
      <c r="N807">
        <f>IF(ISNUMBER(SEARCH(" - ",$H807&amp;"")),1,0)</f>
        <v/>
      </c>
      <c r="O807">
        <f>IF(UPPER($H807&amp;"")="LEAVE",1,0)</f>
        <v/>
      </c>
      <c r="P807">
        <f>IF($N807=1,$K807,0)</f>
        <v/>
      </c>
      <c r="Q807">
        <f>IF($N807=0,"",IFERROR($L807-'Previous Engine'!$M$117,""))</f>
        <v/>
      </c>
    </row>
    <row r="808">
      <c r="A808" t="n">
        <v>807</v>
      </c>
      <c r="B808">
        <f>Schedule!$A$118</f>
        <v/>
      </c>
      <c r="C808">
        <f>Schedule!$D$118</f>
        <v/>
      </c>
      <c r="D808">
        <f>Schedule!$F$118</f>
        <v/>
      </c>
      <c r="E808" t="n">
        <v>1</v>
      </c>
      <c r="F808">
        <f>Schedule!$H$1</f>
        <v/>
      </c>
      <c r="G808">
        <f>Schedule!$H$2</f>
        <v/>
      </c>
      <c r="H808">
        <f>Schedule!$H$118</f>
        <v/>
      </c>
      <c r="I808">
        <f>IF($N808=1,VALUE(LEFT($H808,2)),"")</f>
        <v/>
      </c>
      <c r="J808">
        <f>IF($N808=1,VALUE(MID($H808,9,2)),"")</f>
        <v/>
      </c>
      <c r="K808">
        <f>IF($N808=1,MOD($J808-$I808,24),0)</f>
        <v/>
      </c>
      <c r="L808">
        <f>IF($N808=1,$E808*24+$I808,"")</f>
        <v/>
      </c>
      <c r="M808">
        <f>IF($N808=1,$L808+$K808,"")</f>
        <v/>
      </c>
      <c r="N808">
        <f>IF(ISNUMBER(SEARCH(" - ",$H808&amp;"")),1,0)</f>
        <v/>
      </c>
      <c r="O808">
        <f>IF(UPPER($H808&amp;"")="LEAVE",1,0)</f>
        <v/>
      </c>
      <c r="P808">
        <f>IF($N808=1,$K808,0)</f>
        <v/>
      </c>
      <c r="Q808">
        <f>IF($N808=0,"",IFERROR($L808-LOOKUP(2,1/(($B$2:$B807=$B808)*($N$2:$N807=1)),$M$2:$M807),""))</f>
        <v/>
      </c>
    </row>
    <row r="809">
      <c r="A809" t="n">
        <v>808</v>
      </c>
      <c r="B809">
        <f>Schedule!$A$118</f>
        <v/>
      </c>
      <c r="C809">
        <f>Schedule!$D$118</f>
        <v/>
      </c>
      <c r="D809">
        <f>Schedule!$F$118</f>
        <v/>
      </c>
      <c r="E809" t="n">
        <v>2</v>
      </c>
      <c r="F809">
        <f>Schedule!$I$1</f>
        <v/>
      </c>
      <c r="G809">
        <f>Schedule!$I$2</f>
        <v/>
      </c>
      <c r="H809">
        <f>Schedule!$I$118</f>
        <v/>
      </c>
      <c r="I809">
        <f>IF($N809=1,VALUE(LEFT($H809,2)),"")</f>
        <v/>
      </c>
      <c r="J809">
        <f>IF($N809=1,VALUE(MID($H809,9,2)),"")</f>
        <v/>
      </c>
      <c r="K809">
        <f>IF($N809=1,MOD($J809-$I809,24),0)</f>
        <v/>
      </c>
      <c r="L809">
        <f>IF($N809=1,$E809*24+$I809,"")</f>
        <v/>
      </c>
      <c r="M809">
        <f>IF($N809=1,$L809+$K809,"")</f>
        <v/>
      </c>
      <c r="N809">
        <f>IF(ISNUMBER(SEARCH(" - ",$H809&amp;"")),1,0)</f>
        <v/>
      </c>
      <c r="O809">
        <f>IF(UPPER($H809&amp;"")="LEAVE",1,0)</f>
        <v/>
      </c>
      <c r="P809">
        <f>IF($N809=1,$K809,0)</f>
        <v/>
      </c>
      <c r="Q809">
        <f>IF($N809=0,"",IFERROR($L809-LOOKUP(2,1/(($B$2:$B808=$B809)*($N$2:$N808=1)),$M$2:$M808),""))</f>
        <v/>
      </c>
    </row>
    <row r="810">
      <c r="A810" t="n">
        <v>809</v>
      </c>
      <c r="B810">
        <f>Schedule!$A$118</f>
        <v/>
      </c>
      <c r="C810">
        <f>Schedule!$D$118</f>
        <v/>
      </c>
      <c r="D810">
        <f>Schedule!$F$118</f>
        <v/>
      </c>
      <c r="E810" t="n">
        <v>3</v>
      </c>
      <c r="F810">
        <f>Schedule!$J$1</f>
        <v/>
      </c>
      <c r="G810">
        <f>Schedule!$J$2</f>
        <v/>
      </c>
      <c r="H810">
        <f>Schedule!$J$118</f>
        <v/>
      </c>
      <c r="I810">
        <f>IF($N810=1,VALUE(LEFT($H810,2)),"")</f>
        <v/>
      </c>
      <c r="J810">
        <f>IF($N810=1,VALUE(MID($H810,9,2)),"")</f>
        <v/>
      </c>
      <c r="K810">
        <f>IF($N810=1,MOD($J810-$I810,24),0)</f>
        <v/>
      </c>
      <c r="L810">
        <f>IF($N810=1,$E810*24+$I810,"")</f>
        <v/>
      </c>
      <c r="M810">
        <f>IF($N810=1,$L810+$K810,"")</f>
        <v/>
      </c>
      <c r="N810">
        <f>IF(ISNUMBER(SEARCH(" - ",$H810&amp;"")),1,0)</f>
        <v/>
      </c>
      <c r="O810">
        <f>IF(UPPER($H810&amp;"")="LEAVE",1,0)</f>
        <v/>
      </c>
      <c r="P810">
        <f>IF($N810=1,$K810,0)</f>
        <v/>
      </c>
      <c r="Q810">
        <f>IF($N810=0,"",IFERROR($L810-LOOKUP(2,1/(($B$2:$B809=$B810)*($N$2:$N809=1)),$M$2:$M809),""))</f>
        <v/>
      </c>
    </row>
    <row r="811">
      <c r="A811" t="n">
        <v>810</v>
      </c>
      <c r="B811">
        <f>Schedule!$A$118</f>
        <v/>
      </c>
      <c r="C811">
        <f>Schedule!$D$118</f>
        <v/>
      </c>
      <c r="D811">
        <f>Schedule!$F$118</f>
        <v/>
      </c>
      <c r="E811" t="n">
        <v>4</v>
      </c>
      <c r="F811">
        <f>Schedule!$K$1</f>
        <v/>
      </c>
      <c r="G811">
        <f>Schedule!$K$2</f>
        <v/>
      </c>
      <c r="H811">
        <f>Schedule!$K$118</f>
        <v/>
      </c>
      <c r="I811">
        <f>IF($N811=1,VALUE(LEFT($H811,2)),"")</f>
        <v/>
      </c>
      <c r="J811">
        <f>IF($N811=1,VALUE(MID($H811,9,2)),"")</f>
        <v/>
      </c>
      <c r="K811">
        <f>IF($N811=1,MOD($J811-$I811,24),0)</f>
        <v/>
      </c>
      <c r="L811">
        <f>IF($N811=1,$E811*24+$I811,"")</f>
        <v/>
      </c>
      <c r="M811">
        <f>IF($N811=1,$L811+$K811,"")</f>
        <v/>
      </c>
      <c r="N811">
        <f>IF(ISNUMBER(SEARCH(" - ",$H811&amp;"")),1,0)</f>
        <v/>
      </c>
      <c r="O811">
        <f>IF(UPPER($H811&amp;"")="LEAVE",1,0)</f>
        <v/>
      </c>
      <c r="P811">
        <f>IF($N811=1,$K811,0)</f>
        <v/>
      </c>
      <c r="Q811">
        <f>IF($N811=0,"",IFERROR($L811-LOOKUP(2,1/(($B$2:$B810=$B811)*($N$2:$N810=1)),$M$2:$M810),""))</f>
        <v/>
      </c>
    </row>
    <row r="812">
      <c r="A812" t="n">
        <v>811</v>
      </c>
      <c r="B812">
        <f>Schedule!$A$118</f>
        <v/>
      </c>
      <c r="C812">
        <f>Schedule!$D$118</f>
        <v/>
      </c>
      <c r="D812">
        <f>Schedule!$F$118</f>
        <v/>
      </c>
      <c r="E812" t="n">
        <v>5</v>
      </c>
      <c r="F812">
        <f>Schedule!$L$1</f>
        <v/>
      </c>
      <c r="G812">
        <f>Schedule!$L$2</f>
        <v/>
      </c>
      <c r="H812">
        <f>Schedule!$L$118</f>
        <v/>
      </c>
      <c r="I812">
        <f>IF($N812=1,VALUE(LEFT($H812,2)),"")</f>
        <v/>
      </c>
      <c r="J812">
        <f>IF($N812=1,VALUE(MID($H812,9,2)),"")</f>
        <v/>
      </c>
      <c r="K812">
        <f>IF($N812=1,MOD($J812-$I812,24),0)</f>
        <v/>
      </c>
      <c r="L812">
        <f>IF($N812=1,$E812*24+$I812,"")</f>
        <v/>
      </c>
      <c r="M812">
        <f>IF($N812=1,$L812+$K812,"")</f>
        <v/>
      </c>
      <c r="N812">
        <f>IF(ISNUMBER(SEARCH(" - ",$H812&amp;"")),1,0)</f>
        <v/>
      </c>
      <c r="O812">
        <f>IF(UPPER($H812&amp;"")="LEAVE",1,0)</f>
        <v/>
      </c>
      <c r="P812">
        <f>IF($N812=1,$K812,0)</f>
        <v/>
      </c>
      <c r="Q812">
        <f>IF($N812=0,"",IFERROR($L812-LOOKUP(2,1/(($B$2:$B811=$B812)*($N$2:$N811=1)),$M$2:$M811),""))</f>
        <v/>
      </c>
    </row>
    <row r="813">
      <c r="A813" t="n">
        <v>812</v>
      </c>
      <c r="B813">
        <f>Schedule!$A$118</f>
        <v/>
      </c>
      <c r="C813">
        <f>Schedule!$D$118</f>
        <v/>
      </c>
      <c r="D813">
        <f>Schedule!$F$118</f>
        <v/>
      </c>
      <c r="E813" t="n">
        <v>6</v>
      </c>
      <c r="F813">
        <f>Schedule!$M$1</f>
        <v/>
      </c>
      <c r="G813">
        <f>Schedule!$M$2</f>
        <v/>
      </c>
      <c r="H813">
        <f>Schedule!$M$118</f>
        <v/>
      </c>
      <c r="I813">
        <f>IF($N813=1,VALUE(LEFT($H813,2)),"")</f>
        <v/>
      </c>
      <c r="J813">
        <f>IF($N813=1,VALUE(MID($H813,9,2)),"")</f>
        <v/>
      </c>
      <c r="K813">
        <f>IF($N813=1,MOD($J813-$I813,24),0)</f>
        <v/>
      </c>
      <c r="L813">
        <f>IF($N813=1,$E813*24+$I813,"")</f>
        <v/>
      </c>
      <c r="M813">
        <f>IF($N813=1,$L813+$K813,"")</f>
        <v/>
      </c>
      <c r="N813">
        <f>IF(ISNUMBER(SEARCH(" - ",$H813&amp;"")),1,0)</f>
        <v/>
      </c>
      <c r="O813">
        <f>IF(UPPER($H813&amp;"")="LEAVE",1,0)</f>
        <v/>
      </c>
      <c r="P813">
        <f>IF($N813=1,$K813,0)</f>
        <v/>
      </c>
      <c r="Q813">
        <f>IF($N813=0,"",IFERROR($L813-LOOKUP(2,1/(($B$2:$B812=$B813)*($N$2:$N812=1)),$M$2:$M812),""))</f>
        <v/>
      </c>
    </row>
    <row r="814">
      <c r="A814" t="n">
        <v>813</v>
      </c>
      <c r="B814">
        <f>Schedule!$A$119</f>
        <v/>
      </c>
      <c r="C814">
        <f>Schedule!$D$119</f>
        <v/>
      </c>
      <c r="D814">
        <f>Schedule!$F$119</f>
        <v/>
      </c>
      <c r="E814" t="n">
        <v>0</v>
      </c>
      <c r="F814">
        <f>Schedule!$G$1</f>
        <v/>
      </c>
      <c r="G814">
        <f>Schedule!$G$2</f>
        <v/>
      </c>
      <c r="H814">
        <f>Schedule!$G$119</f>
        <v/>
      </c>
      <c r="I814">
        <f>IF($N814=1,VALUE(LEFT($H814,2)),"")</f>
        <v/>
      </c>
      <c r="J814">
        <f>IF($N814=1,VALUE(MID($H814,9,2)),"")</f>
        <v/>
      </c>
      <c r="K814">
        <f>IF($N814=1,MOD($J814-$I814,24),0)</f>
        <v/>
      </c>
      <c r="L814">
        <f>IF($N814=1,$E814*24+$I814,"")</f>
        <v/>
      </c>
      <c r="M814">
        <f>IF($N814=1,$L814+$K814,"")</f>
        <v/>
      </c>
      <c r="N814">
        <f>IF(ISNUMBER(SEARCH(" - ",$H814&amp;"")),1,0)</f>
        <v/>
      </c>
      <c r="O814">
        <f>IF(UPPER($H814&amp;"")="LEAVE",1,0)</f>
        <v/>
      </c>
      <c r="P814">
        <f>IF($N814=1,$K814,0)</f>
        <v/>
      </c>
      <c r="Q814">
        <f>IF($N814=0,"",IFERROR($L814-'Previous Engine'!$M$118,""))</f>
        <v/>
      </c>
    </row>
    <row r="815">
      <c r="A815" t="n">
        <v>814</v>
      </c>
      <c r="B815">
        <f>Schedule!$A$119</f>
        <v/>
      </c>
      <c r="C815">
        <f>Schedule!$D$119</f>
        <v/>
      </c>
      <c r="D815">
        <f>Schedule!$F$119</f>
        <v/>
      </c>
      <c r="E815" t="n">
        <v>1</v>
      </c>
      <c r="F815">
        <f>Schedule!$H$1</f>
        <v/>
      </c>
      <c r="G815">
        <f>Schedule!$H$2</f>
        <v/>
      </c>
      <c r="H815">
        <f>Schedule!$H$119</f>
        <v/>
      </c>
      <c r="I815">
        <f>IF($N815=1,VALUE(LEFT($H815,2)),"")</f>
        <v/>
      </c>
      <c r="J815">
        <f>IF($N815=1,VALUE(MID($H815,9,2)),"")</f>
        <v/>
      </c>
      <c r="K815">
        <f>IF($N815=1,MOD($J815-$I815,24),0)</f>
        <v/>
      </c>
      <c r="L815">
        <f>IF($N815=1,$E815*24+$I815,"")</f>
        <v/>
      </c>
      <c r="M815">
        <f>IF($N815=1,$L815+$K815,"")</f>
        <v/>
      </c>
      <c r="N815">
        <f>IF(ISNUMBER(SEARCH(" - ",$H815&amp;"")),1,0)</f>
        <v/>
      </c>
      <c r="O815">
        <f>IF(UPPER($H815&amp;"")="LEAVE",1,0)</f>
        <v/>
      </c>
      <c r="P815">
        <f>IF($N815=1,$K815,0)</f>
        <v/>
      </c>
      <c r="Q815">
        <f>IF($N815=0,"",IFERROR($L815-LOOKUP(2,1/(($B$2:$B814=$B815)*($N$2:$N814=1)),$M$2:$M814),""))</f>
        <v/>
      </c>
    </row>
    <row r="816">
      <c r="A816" t="n">
        <v>815</v>
      </c>
      <c r="B816">
        <f>Schedule!$A$119</f>
        <v/>
      </c>
      <c r="C816">
        <f>Schedule!$D$119</f>
        <v/>
      </c>
      <c r="D816">
        <f>Schedule!$F$119</f>
        <v/>
      </c>
      <c r="E816" t="n">
        <v>2</v>
      </c>
      <c r="F816">
        <f>Schedule!$I$1</f>
        <v/>
      </c>
      <c r="G816">
        <f>Schedule!$I$2</f>
        <v/>
      </c>
      <c r="H816">
        <f>Schedule!$I$119</f>
        <v/>
      </c>
      <c r="I816">
        <f>IF($N816=1,VALUE(LEFT($H816,2)),"")</f>
        <v/>
      </c>
      <c r="J816">
        <f>IF($N816=1,VALUE(MID($H816,9,2)),"")</f>
        <v/>
      </c>
      <c r="K816">
        <f>IF($N816=1,MOD($J816-$I816,24),0)</f>
        <v/>
      </c>
      <c r="L816">
        <f>IF($N816=1,$E816*24+$I816,"")</f>
        <v/>
      </c>
      <c r="M816">
        <f>IF($N816=1,$L816+$K816,"")</f>
        <v/>
      </c>
      <c r="N816">
        <f>IF(ISNUMBER(SEARCH(" - ",$H816&amp;"")),1,0)</f>
        <v/>
      </c>
      <c r="O816">
        <f>IF(UPPER($H816&amp;"")="LEAVE",1,0)</f>
        <v/>
      </c>
      <c r="P816">
        <f>IF($N816=1,$K816,0)</f>
        <v/>
      </c>
      <c r="Q816">
        <f>IF($N816=0,"",IFERROR($L816-LOOKUP(2,1/(($B$2:$B815=$B816)*($N$2:$N815=1)),$M$2:$M815),""))</f>
        <v/>
      </c>
    </row>
    <row r="817">
      <c r="A817" t="n">
        <v>816</v>
      </c>
      <c r="B817">
        <f>Schedule!$A$119</f>
        <v/>
      </c>
      <c r="C817">
        <f>Schedule!$D$119</f>
        <v/>
      </c>
      <c r="D817">
        <f>Schedule!$F$119</f>
        <v/>
      </c>
      <c r="E817" t="n">
        <v>3</v>
      </c>
      <c r="F817">
        <f>Schedule!$J$1</f>
        <v/>
      </c>
      <c r="G817">
        <f>Schedule!$J$2</f>
        <v/>
      </c>
      <c r="H817">
        <f>Schedule!$J$119</f>
        <v/>
      </c>
      <c r="I817">
        <f>IF($N817=1,VALUE(LEFT($H817,2)),"")</f>
        <v/>
      </c>
      <c r="J817">
        <f>IF($N817=1,VALUE(MID($H817,9,2)),"")</f>
        <v/>
      </c>
      <c r="K817">
        <f>IF($N817=1,MOD($J817-$I817,24),0)</f>
        <v/>
      </c>
      <c r="L817">
        <f>IF($N817=1,$E817*24+$I817,"")</f>
        <v/>
      </c>
      <c r="M817">
        <f>IF($N817=1,$L817+$K817,"")</f>
        <v/>
      </c>
      <c r="N817">
        <f>IF(ISNUMBER(SEARCH(" - ",$H817&amp;"")),1,0)</f>
        <v/>
      </c>
      <c r="O817">
        <f>IF(UPPER($H817&amp;"")="LEAVE",1,0)</f>
        <v/>
      </c>
      <c r="P817">
        <f>IF($N817=1,$K817,0)</f>
        <v/>
      </c>
      <c r="Q817">
        <f>IF($N817=0,"",IFERROR($L817-LOOKUP(2,1/(($B$2:$B816=$B817)*($N$2:$N816=1)),$M$2:$M816),""))</f>
        <v/>
      </c>
    </row>
    <row r="818">
      <c r="A818" t="n">
        <v>817</v>
      </c>
      <c r="B818">
        <f>Schedule!$A$119</f>
        <v/>
      </c>
      <c r="C818">
        <f>Schedule!$D$119</f>
        <v/>
      </c>
      <c r="D818">
        <f>Schedule!$F$119</f>
        <v/>
      </c>
      <c r="E818" t="n">
        <v>4</v>
      </c>
      <c r="F818">
        <f>Schedule!$K$1</f>
        <v/>
      </c>
      <c r="G818">
        <f>Schedule!$K$2</f>
        <v/>
      </c>
      <c r="H818">
        <f>Schedule!$K$119</f>
        <v/>
      </c>
      <c r="I818">
        <f>IF($N818=1,VALUE(LEFT($H818,2)),"")</f>
        <v/>
      </c>
      <c r="J818">
        <f>IF($N818=1,VALUE(MID($H818,9,2)),"")</f>
        <v/>
      </c>
      <c r="K818">
        <f>IF($N818=1,MOD($J818-$I818,24),0)</f>
        <v/>
      </c>
      <c r="L818">
        <f>IF($N818=1,$E818*24+$I818,"")</f>
        <v/>
      </c>
      <c r="M818">
        <f>IF($N818=1,$L818+$K818,"")</f>
        <v/>
      </c>
      <c r="N818">
        <f>IF(ISNUMBER(SEARCH(" - ",$H818&amp;"")),1,0)</f>
        <v/>
      </c>
      <c r="O818">
        <f>IF(UPPER($H818&amp;"")="LEAVE",1,0)</f>
        <v/>
      </c>
      <c r="P818">
        <f>IF($N818=1,$K818,0)</f>
        <v/>
      </c>
      <c r="Q818">
        <f>IF($N818=0,"",IFERROR($L818-LOOKUP(2,1/(($B$2:$B817=$B818)*($N$2:$N817=1)),$M$2:$M817),""))</f>
        <v/>
      </c>
    </row>
    <row r="819">
      <c r="A819" t="n">
        <v>818</v>
      </c>
      <c r="B819">
        <f>Schedule!$A$119</f>
        <v/>
      </c>
      <c r="C819">
        <f>Schedule!$D$119</f>
        <v/>
      </c>
      <c r="D819">
        <f>Schedule!$F$119</f>
        <v/>
      </c>
      <c r="E819" t="n">
        <v>5</v>
      </c>
      <c r="F819">
        <f>Schedule!$L$1</f>
        <v/>
      </c>
      <c r="G819">
        <f>Schedule!$L$2</f>
        <v/>
      </c>
      <c r="H819">
        <f>Schedule!$L$119</f>
        <v/>
      </c>
      <c r="I819">
        <f>IF($N819=1,VALUE(LEFT($H819,2)),"")</f>
        <v/>
      </c>
      <c r="J819">
        <f>IF($N819=1,VALUE(MID($H819,9,2)),"")</f>
        <v/>
      </c>
      <c r="K819">
        <f>IF($N819=1,MOD($J819-$I819,24),0)</f>
        <v/>
      </c>
      <c r="L819">
        <f>IF($N819=1,$E819*24+$I819,"")</f>
        <v/>
      </c>
      <c r="M819">
        <f>IF($N819=1,$L819+$K819,"")</f>
        <v/>
      </c>
      <c r="N819">
        <f>IF(ISNUMBER(SEARCH(" - ",$H819&amp;"")),1,0)</f>
        <v/>
      </c>
      <c r="O819">
        <f>IF(UPPER($H819&amp;"")="LEAVE",1,0)</f>
        <v/>
      </c>
      <c r="P819">
        <f>IF($N819=1,$K819,0)</f>
        <v/>
      </c>
      <c r="Q819">
        <f>IF($N819=0,"",IFERROR($L819-LOOKUP(2,1/(($B$2:$B818=$B819)*($N$2:$N818=1)),$M$2:$M818),""))</f>
        <v/>
      </c>
    </row>
    <row r="820">
      <c r="A820" t="n">
        <v>819</v>
      </c>
      <c r="B820">
        <f>Schedule!$A$119</f>
        <v/>
      </c>
      <c r="C820">
        <f>Schedule!$D$119</f>
        <v/>
      </c>
      <c r="D820">
        <f>Schedule!$F$119</f>
        <v/>
      </c>
      <c r="E820" t="n">
        <v>6</v>
      </c>
      <c r="F820">
        <f>Schedule!$M$1</f>
        <v/>
      </c>
      <c r="G820">
        <f>Schedule!$M$2</f>
        <v/>
      </c>
      <c r="H820">
        <f>Schedule!$M$119</f>
        <v/>
      </c>
      <c r="I820">
        <f>IF($N820=1,VALUE(LEFT($H820,2)),"")</f>
        <v/>
      </c>
      <c r="J820">
        <f>IF($N820=1,VALUE(MID($H820,9,2)),"")</f>
        <v/>
      </c>
      <c r="K820">
        <f>IF($N820=1,MOD($J820-$I820,24),0)</f>
        <v/>
      </c>
      <c r="L820">
        <f>IF($N820=1,$E820*24+$I820,"")</f>
        <v/>
      </c>
      <c r="M820">
        <f>IF($N820=1,$L820+$K820,"")</f>
        <v/>
      </c>
      <c r="N820">
        <f>IF(ISNUMBER(SEARCH(" - ",$H820&amp;"")),1,0)</f>
        <v/>
      </c>
      <c r="O820">
        <f>IF(UPPER($H820&amp;"")="LEAVE",1,0)</f>
        <v/>
      </c>
      <c r="P820">
        <f>IF($N820=1,$K820,0)</f>
        <v/>
      </c>
      <c r="Q820">
        <f>IF($N820=0,"",IFERROR($L820-LOOKUP(2,1/(($B$2:$B819=$B820)*($N$2:$N819=1)),$M$2:$M819),""))</f>
        <v/>
      </c>
    </row>
    <row r="821">
      <c r="A821" t="n">
        <v>820</v>
      </c>
      <c r="B821">
        <f>Schedule!$A$120</f>
        <v/>
      </c>
      <c r="C821">
        <f>Schedule!$D$120</f>
        <v/>
      </c>
      <c r="D821">
        <f>Schedule!$F$120</f>
        <v/>
      </c>
      <c r="E821" t="n">
        <v>0</v>
      </c>
      <c r="F821">
        <f>Schedule!$G$1</f>
        <v/>
      </c>
      <c r="G821">
        <f>Schedule!$G$2</f>
        <v/>
      </c>
      <c r="H821">
        <f>Schedule!$G$120</f>
        <v/>
      </c>
      <c r="I821">
        <f>IF($N821=1,VALUE(LEFT($H821,2)),"")</f>
        <v/>
      </c>
      <c r="J821">
        <f>IF($N821=1,VALUE(MID($H821,9,2)),"")</f>
        <v/>
      </c>
      <c r="K821">
        <f>IF($N821=1,MOD($J821-$I821,24),0)</f>
        <v/>
      </c>
      <c r="L821">
        <f>IF($N821=1,$E821*24+$I821,"")</f>
        <v/>
      </c>
      <c r="M821">
        <f>IF($N821=1,$L821+$K821,"")</f>
        <v/>
      </c>
      <c r="N821">
        <f>IF(ISNUMBER(SEARCH(" - ",$H821&amp;"")),1,0)</f>
        <v/>
      </c>
      <c r="O821">
        <f>IF(UPPER($H821&amp;"")="LEAVE",1,0)</f>
        <v/>
      </c>
      <c r="P821">
        <f>IF($N821=1,$K821,0)</f>
        <v/>
      </c>
      <c r="Q821">
        <f>IF($N821=0,"",IFERROR($L821-'Previous Engine'!$M$119,""))</f>
        <v/>
      </c>
    </row>
    <row r="822">
      <c r="A822" t="n">
        <v>821</v>
      </c>
      <c r="B822">
        <f>Schedule!$A$120</f>
        <v/>
      </c>
      <c r="C822">
        <f>Schedule!$D$120</f>
        <v/>
      </c>
      <c r="D822">
        <f>Schedule!$F$120</f>
        <v/>
      </c>
      <c r="E822" t="n">
        <v>1</v>
      </c>
      <c r="F822">
        <f>Schedule!$H$1</f>
        <v/>
      </c>
      <c r="G822">
        <f>Schedule!$H$2</f>
        <v/>
      </c>
      <c r="H822">
        <f>Schedule!$H$120</f>
        <v/>
      </c>
      <c r="I822">
        <f>IF($N822=1,VALUE(LEFT($H822,2)),"")</f>
        <v/>
      </c>
      <c r="J822">
        <f>IF($N822=1,VALUE(MID($H822,9,2)),"")</f>
        <v/>
      </c>
      <c r="K822">
        <f>IF($N822=1,MOD($J822-$I822,24),0)</f>
        <v/>
      </c>
      <c r="L822">
        <f>IF($N822=1,$E822*24+$I822,"")</f>
        <v/>
      </c>
      <c r="M822">
        <f>IF($N822=1,$L822+$K822,"")</f>
        <v/>
      </c>
      <c r="N822">
        <f>IF(ISNUMBER(SEARCH(" - ",$H822&amp;"")),1,0)</f>
        <v/>
      </c>
      <c r="O822">
        <f>IF(UPPER($H822&amp;"")="LEAVE",1,0)</f>
        <v/>
      </c>
      <c r="P822">
        <f>IF($N822=1,$K822,0)</f>
        <v/>
      </c>
      <c r="Q822">
        <f>IF($N822=0,"",IFERROR($L822-LOOKUP(2,1/(($B$2:$B821=$B822)*($N$2:$N821=1)),$M$2:$M821),""))</f>
        <v/>
      </c>
    </row>
    <row r="823">
      <c r="A823" t="n">
        <v>822</v>
      </c>
      <c r="B823">
        <f>Schedule!$A$120</f>
        <v/>
      </c>
      <c r="C823">
        <f>Schedule!$D$120</f>
        <v/>
      </c>
      <c r="D823">
        <f>Schedule!$F$120</f>
        <v/>
      </c>
      <c r="E823" t="n">
        <v>2</v>
      </c>
      <c r="F823">
        <f>Schedule!$I$1</f>
        <v/>
      </c>
      <c r="G823">
        <f>Schedule!$I$2</f>
        <v/>
      </c>
      <c r="H823">
        <f>Schedule!$I$120</f>
        <v/>
      </c>
      <c r="I823">
        <f>IF($N823=1,VALUE(LEFT($H823,2)),"")</f>
        <v/>
      </c>
      <c r="J823">
        <f>IF($N823=1,VALUE(MID($H823,9,2)),"")</f>
        <v/>
      </c>
      <c r="K823">
        <f>IF($N823=1,MOD($J823-$I823,24),0)</f>
        <v/>
      </c>
      <c r="L823">
        <f>IF($N823=1,$E823*24+$I823,"")</f>
        <v/>
      </c>
      <c r="M823">
        <f>IF($N823=1,$L823+$K823,"")</f>
        <v/>
      </c>
      <c r="N823">
        <f>IF(ISNUMBER(SEARCH(" - ",$H823&amp;"")),1,0)</f>
        <v/>
      </c>
      <c r="O823">
        <f>IF(UPPER($H823&amp;"")="LEAVE",1,0)</f>
        <v/>
      </c>
      <c r="P823">
        <f>IF($N823=1,$K823,0)</f>
        <v/>
      </c>
      <c r="Q823">
        <f>IF($N823=0,"",IFERROR($L823-LOOKUP(2,1/(($B$2:$B822=$B823)*($N$2:$N822=1)),$M$2:$M822),""))</f>
        <v/>
      </c>
    </row>
    <row r="824">
      <c r="A824" t="n">
        <v>823</v>
      </c>
      <c r="B824">
        <f>Schedule!$A$120</f>
        <v/>
      </c>
      <c r="C824">
        <f>Schedule!$D$120</f>
        <v/>
      </c>
      <c r="D824">
        <f>Schedule!$F$120</f>
        <v/>
      </c>
      <c r="E824" t="n">
        <v>3</v>
      </c>
      <c r="F824">
        <f>Schedule!$J$1</f>
        <v/>
      </c>
      <c r="G824">
        <f>Schedule!$J$2</f>
        <v/>
      </c>
      <c r="H824">
        <f>Schedule!$J$120</f>
        <v/>
      </c>
      <c r="I824">
        <f>IF($N824=1,VALUE(LEFT($H824,2)),"")</f>
        <v/>
      </c>
      <c r="J824">
        <f>IF($N824=1,VALUE(MID($H824,9,2)),"")</f>
        <v/>
      </c>
      <c r="K824">
        <f>IF($N824=1,MOD($J824-$I824,24),0)</f>
        <v/>
      </c>
      <c r="L824">
        <f>IF($N824=1,$E824*24+$I824,"")</f>
        <v/>
      </c>
      <c r="M824">
        <f>IF($N824=1,$L824+$K824,"")</f>
        <v/>
      </c>
      <c r="N824">
        <f>IF(ISNUMBER(SEARCH(" - ",$H824&amp;"")),1,0)</f>
        <v/>
      </c>
      <c r="O824">
        <f>IF(UPPER($H824&amp;"")="LEAVE",1,0)</f>
        <v/>
      </c>
      <c r="P824">
        <f>IF($N824=1,$K824,0)</f>
        <v/>
      </c>
      <c r="Q824">
        <f>IF($N824=0,"",IFERROR($L824-LOOKUP(2,1/(($B$2:$B823=$B824)*($N$2:$N823=1)),$M$2:$M823),""))</f>
        <v/>
      </c>
    </row>
    <row r="825">
      <c r="A825" t="n">
        <v>824</v>
      </c>
      <c r="B825">
        <f>Schedule!$A$120</f>
        <v/>
      </c>
      <c r="C825">
        <f>Schedule!$D$120</f>
        <v/>
      </c>
      <c r="D825">
        <f>Schedule!$F$120</f>
        <v/>
      </c>
      <c r="E825" t="n">
        <v>4</v>
      </c>
      <c r="F825">
        <f>Schedule!$K$1</f>
        <v/>
      </c>
      <c r="G825">
        <f>Schedule!$K$2</f>
        <v/>
      </c>
      <c r="H825">
        <f>Schedule!$K$120</f>
        <v/>
      </c>
      <c r="I825">
        <f>IF($N825=1,VALUE(LEFT($H825,2)),"")</f>
        <v/>
      </c>
      <c r="J825">
        <f>IF($N825=1,VALUE(MID($H825,9,2)),"")</f>
        <v/>
      </c>
      <c r="K825">
        <f>IF($N825=1,MOD($J825-$I825,24),0)</f>
        <v/>
      </c>
      <c r="L825">
        <f>IF($N825=1,$E825*24+$I825,"")</f>
        <v/>
      </c>
      <c r="M825">
        <f>IF($N825=1,$L825+$K825,"")</f>
        <v/>
      </c>
      <c r="N825">
        <f>IF(ISNUMBER(SEARCH(" - ",$H825&amp;"")),1,0)</f>
        <v/>
      </c>
      <c r="O825">
        <f>IF(UPPER($H825&amp;"")="LEAVE",1,0)</f>
        <v/>
      </c>
      <c r="P825">
        <f>IF($N825=1,$K825,0)</f>
        <v/>
      </c>
      <c r="Q825">
        <f>IF($N825=0,"",IFERROR($L825-LOOKUP(2,1/(($B$2:$B824=$B825)*($N$2:$N824=1)),$M$2:$M824),""))</f>
        <v/>
      </c>
    </row>
    <row r="826">
      <c r="A826" t="n">
        <v>825</v>
      </c>
      <c r="B826">
        <f>Schedule!$A$120</f>
        <v/>
      </c>
      <c r="C826">
        <f>Schedule!$D$120</f>
        <v/>
      </c>
      <c r="D826">
        <f>Schedule!$F$120</f>
        <v/>
      </c>
      <c r="E826" t="n">
        <v>5</v>
      </c>
      <c r="F826">
        <f>Schedule!$L$1</f>
        <v/>
      </c>
      <c r="G826">
        <f>Schedule!$L$2</f>
        <v/>
      </c>
      <c r="H826">
        <f>Schedule!$L$120</f>
        <v/>
      </c>
      <c r="I826">
        <f>IF($N826=1,VALUE(LEFT($H826,2)),"")</f>
        <v/>
      </c>
      <c r="J826">
        <f>IF($N826=1,VALUE(MID($H826,9,2)),"")</f>
        <v/>
      </c>
      <c r="K826">
        <f>IF($N826=1,MOD($J826-$I826,24),0)</f>
        <v/>
      </c>
      <c r="L826">
        <f>IF($N826=1,$E826*24+$I826,"")</f>
        <v/>
      </c>
      <c r="M826">
        <f>IF($N826=1,$L826+$K826,"")</f>
        <v/>
      </c>
      <c r="N826">
        <f>IF(ISNUMBER(SEARCH(" - ",$H826&amp;"")),1,0)</f>
        <v/>
      </c>
      <c r="O826">
        <f>IF(UPPER($H826&amp;"")="LEAVE",1,0)</f>
        <v/>
      </c>
      <c r="P826">
        <f>IF($N826=1,$K826,0)</f>
        <v/>
      </c>
      <c r="Q826">
        <f>IF($N826=0,"",IFERROR($L826-LOOKUP(2,1/(($B$2:$B825=$B826)*($N$2:$N825=1)),$M$2:$M825),""))</f>
        <v/>
      </c>
    </row>
    <row r="827">
      <c r="A827" t="n">
        <v>826</v>
      </c>
      <c r="B827">
        <f>Schedule!$A$120</f>
        <v/>
      </c>
      <c r="C827">
        <f>Schedule!$D$120</f>
        <v/>
      </c>
      <c r="D827">
        <f>Schedule!$F$120</f>
        <v/>
      </c>
      <c r="E827" t="n">
        <v>6</v>
      </c>
      <c r="F827">
        <f>Schedule!$M$1</f>
        <v/>
      </c>
      <c r="G827">
        <f>Schedule!$M$2</f>
        <v/>
      </c>
      <c r="H827">
        <f>Schedule!$M$120</f>
        <v/>
      </c>
      <c r="I827">
        <f>IF($N827=1,VALUE(LEFT($H827,2)),"")</f>
        <v/>
      </c>
      <c r="J827">
        <f>IF($N827=1,VALUE(MID($H827,9,2)),"")</f>
        <v/>
      </c>
      <c r="K827">
        <f>IF($N827=1,MOD($J827-$I827,24),0)</f>
        <v/>
      </c>
      <c r="L827">
        <f>IF($N827=1,$E827*24+$I827,"")</f>
        <v/>
      </c>
      <c r="M827">
        <f>IF($N827=1,$L827+$K827,"")</f>
        <v/>
      </c>
      <c r="N827">
        <f>IF(ISNUMBER(SEARCH(" - ",$H827&amp;"")),1,0)</f>
        <v/>
      </c>
      <c r="O827">
        <f>IF(UPPER($H827&amp;"")="LEAVE",1,0)</f>
        <v/>
      </c>
      <c r="P827">
        <f>IF($N827=1,$K827,0)</f>
        <v/>
      </c>
      <c r="Q827">
        <f>IF($N827=0,"",IFERROR($L827-LOOKUP(2,1/(($B$2:$B826=$B827)*($N$2:$N826=1)),$M$2:$M826),""))</f>
        <v/>
      </c>
    </row>
    <row r="828">
      <c r="A828" t="n">
        <v>827</v>
      </c>
      <c r="B828">
        <f>Schedule!$A$121</f>
        <v/>
      </c>
      <c r="C828">
        <f>Schedule!$D$121</f>
        <v/>
      </c>
      <c r="D828">
        <f>Schedule!$F$121</f>
        <v/>
      </c>
      <c r="E828" t="n">
        <v>0</v>
      </c>
      <c r="F828">
        <f>Schedule!$G$1</f>
        <v/>
      </c>
      <c r="G828">
        <f>Schedule!$G$2</f>
        <v/>
      </c>
      <c r="H828">
        <f>Schedule!$G$121</f>
        <v/>
      </c>
      <c r="I828">
        <f>IF($N828=1,VALUE(LEFT($H828,2)),"")</f>
        <v/>
      </c>
      <c r="J828">
        <f>IF($N828=1,VALUE(MID($H828,9,2)),"")</f>
        <v/>
      </c>
      <c r="K828">
        <f>IF($N828=1,MOD($J828-$I828,24),0)</f>
        <v/>
      </c>
      <c r="L828">
        <f>IF($N828=1,$E828*24+$I828,"")</f>
        <v/>
      </c>
      <c r="M828">
        <f>IF($N828=1,$L828+$K828,"")</f>
        <v/>
      </c>
      <c r="N828">
        <f>IF(ISNUMBER(SEARCH(" - ",$H828&amp;"")),1,0)</f>
        <v/>
      </c>
      <c r="O828">
        <f>IF(UPPER($H828&amp;"")="LEAVE",1,0)</f>
        <v/>
      </c>
      <c r="P828">
        <f>IF($N828=1,$K828,0)</f>
        <v/>
      </c>
      <c r="Q828">
        <f>IF($N828=0,"",IFERROR($L828-'Previous Engine'!$M$120,""))</f>
        <v/>
      </c>
    </row>
    <row r="829">
      <c r="A829" t="n">
        <v>828</v>
      </c>
      <c r="B829">
        <f>Schedule!$A$121</f>
        <v/>
      </c>
      <c r="C829">
        <f>Schedule!$D$121</f>
        <v/>
      </c>
      <c r="D829">
        <f>Schedule!$F$121</f>
        <v/>
      </c>
      <c r="E829" t="n">
        <v>1</v>
      </c>
      <c r="F829">
        <f>Schedule!$H$1</f>
        <v/>
      </c>
      <c r="G829">
        <f>Schedule!$H$2</f>
        <v/>
      </c>
      <c r="H829">
        <f>Schedule!$H$121</f>
        <v/>
      </c>
      <c r="I829">
        <f>IF($N829=1,VALUE(LEFT($H829,2)),"")</f>
        <v/>
      </c>
      <c r="J829">
        <f>IF($N829=1,VALUE(MID($H829,9,2)),"")</f>
        <v/>
      </c>
      <c r="K829">
        <f>IF($N829=1,MOD($J829-$I829,24),0)</f>
        <v/>
      </c>
      <c r="L829">
        <f>IF($N829=1,$E829*24+$I829,"")</f>
        <v/>
      </c>
      <c r="M829">
        <f>IF($N829=1,$L829+$K829,"")</f>
        <v/>
      </c>
      <c r="N829">
        <f>IF(ISNUMBER(SEARCH(" - ",$H829&amp;"")),1,0)</f>
        <v/>
      </c>
      <c r="O829">
        <f>IF(UPPER($H829&amp;"")="LEAVE",1,0)</f>
        <v/>
      </c>
      <c r="P829">
        <f>IF($N829=1,$K829,0)</f>
        <v/>
      </c>
      <c r="Q829">
        <f>IF($N829=0,"",IFERROR($L829-LOOKUP(2,1/(($B$2:$B828=$B829)*($N$2:$N828=1)),$M$2:$M828),""))</f>
        <v/>
      </c>
    </row>
    <row r="830">
      <c r="A830" t="n">
        <v>829</v>
      </c>
      <c r="B830">
        <f>Schedule!$A$121</f>
        <v/>
      </c>
      <c r="C830">
        <f>Schedule!$D$121</f>
        <v/>
      </c>
      <c r="D830">
        <f>Schedule!$F$121</f>
        <v/>
      </c>
      <c r="E830" t="n">
        <v>2</v>
      </c>
      <c r="F830">
        <f>Schedule!$I$1</f>
        <v/>
      </c>
      <c r="G830">
        <f>Schedule!$I$2</f>
        <v/>
      </c>
      <c r="H830">
        <f>Schedule!$I$121</f>
        <v/>
      </c>
      <c r="I830">
        <f>IF($N830=1,VALUE(LEFT($H830,2)),"")</f>
        <v/>
      </c>
      <c r="J830">
        <f>IF($N830=1,VALUE(MID($H830,9,2)),"")</f>
        <v/>
      </c>
      <c r="K830">
        <f>IF($N830=1,MOD($J830-$I830,24),0)</f>
        <v/>
      </c>
      <c r="L830">
        <f>IF($N830=1,$E830*24+$I830,"")</f>
        <v/>
      </c>
      <c r="M830">
        <f>IF($N830=1,$L830+$K830,"")</f>
        <v/>
      </c>
      <c r="N830">
        <f>IF(ISNUMBER(SEARCH(" - ",$H830&amp;"")),1,0)</f>
        <v/>
      </c>
      <c r="O830">
        <f>IF(UPPER($H830&amp;"")="LEAVE",1,0)</f>
        <v/>
      </c>
      <c r="P830">
        <f>IF($N830=1,$K830,0)</f>
        <v/>
      </c>
      <c r="Q830">
        <f>IF($N830=0,"",IFERROR($L830-LOOKUP(2,1/(($B$2:$B829=$B830)*($N$2:$N829=1)),$M$2:$M829),""))</f>
        <v/>
      </c>
    </row>
    <row r="831">
      <c r="A831" t="n">
        <v>830</v>
      </c>
      <c r="B831">
        <f>Schedule!$A$121</f>
        <v/>
      </c>
      <c r="C831">
        <f>Schedule!$D$121</f>
        <v/>
      </c>
      <c r="D831">
        <f>Schedule!$F$121</f>
        <v/>
      </c>
      <c r="E831" t="n">
        <v>3</v>
      </c>
      <c r="F831">
        <f>Schedule!$J$1</f>
        <v/>
      </c>
      <c r="G831">
        <f>Schedule!$J$2</f>
        <v/>
      </c>
      <c r="H831">
        <f>Schedule!$J$121</f>
        <v/>
      </c>
      <c r="I831">
        <f>IF($N831=1,VALUE(LEFT($H831,2)),"")</f>
        <v/>
      </c>
      <c r="J831">
        <f>IF($N831=1,VALUE(MID($H831,9,2)),"")</f>
        <v/>
      </c>
      <c r="K831">
        <f>IF($N831=1,MOD($J831-$I831,24),0)</f>
        <v/>
      </c>
      <c r="L831">
        <f>IF($N831=1,$E831*24+$I831,"")</f>
        <v/>
      </c>
      <c r="M831">
        <f>IF($N831=1,$L831+$K831,"")</f>
        <v/>
      </c>
      <c r="N831">
        <f>IF(ISNUMBER(SEARCH(" - ",$H831&amp;"")),1,0)</f>
        <v/>
      </c>
      <c r="O831">
        <f>IF(UPPER($H831&amp;"")="LEAVE",1,0)</f>
        <v/>
      </c>
      <c r="P831">
        <f>IF($N831=1,$K831,0)</f>
        <v/>
      </c>
      <c r="Q831">
        <f>IF($N831=0,"",IFERROR($L831-LOOKUP(2,1/(($B$2:$B830=$B831)*($N$2:$N830=1)),$M$2:$M830),""))</f>
        <v/>
      </c>
    </row>
    <row r="832">
      <c r="A832" t="n">
        <v>831</v>
      </c>
      <c r="B832">
        <f>Schedule!$A$121</f>
        <v/>
      </c>
      <c r="C832">
        <f>Schedule!$D$121</f>
        <v/>
      </c>
      <c r="D832">
        <f>Schedule!$F$121</f>
        <v/>
      </c>
      <c r="E832" t="n">
        <v>4</v>
      </c>
      <c r="F832">
        <f>Schedule!$K$1</f>
        <v/>
      </c>
      <c r="G832">
        <f>Schedule!$K$2</f>
        <v/>
      </c>
      <c r="H832">
        <f>Schedule!$K$121</f>
        <v/>
      </c>
      <c r="I832">
        <f>IF($N832=1,VALUE(LEFT($H832,2)),"")</f>
        <v/>
      </c>
      <c r="J832">
        <f>IF($N832=1,VALUE(MID($H832,9,2)),"")</f>
        <v/>
      </c>
      <c r="K832">
        <f>IF($N832=1,MOD($J832-$I832,24),0)</f>
        <v/>
      </c>
      <c r="L832">
        <f>IF($N832=1,$E832*24+$I832,"")</f>
        <v/>
      </c>
      <c r="M832">
        <f>IF($N832=1,$L832+$K832,"")</f>
        <v/>
      </c>
      <c r="N832">
        <f>IF(ISNUMBER(SEARCH(" - ",$H832&amp;"")),1,0)</f>
        <v/>
      </c>
      <c r="O832">
        <f>IF(UPPER($H832&amp;"")="LEAVE",1,0)</f>
        <v/>
      </c>
      <c r="P832">
        <f>IF($N832=1,$K832,0)</f>
        <v/>
      </c>
      <c r="Q832">
        <f>IF($N832=0,"",IFERROR($L832-LOOKUP(2,1/(($B$2:$B831=$B832)*($N$2:$N831=1)),$M$2:$M831),""))</f>
        <v/>
      </c>
    </row>
    <row r="833">
      <c r="A833" t="n">
        <v>832</v>
      </c>
      <c r="B833">
        <f>Schedule!$A$121</f>
        <v/>
      </c>
      <c r="C833">
        <f>Schedule!$D$121</f>
        <v/>
      </c>
      <c r="D833">
        <f>Schedule!$F$121</f>
        <v/>
      </c>
      <c r="E833" t="n">
        <v>5</v>
      </c>
      <c r="F833">
        <f>Schedule!$L$1</f>
        <v/>
      </c>
      <c r="G833">
        <f>Schedule!$L$2</f>
        <v/>
      </c>
      <c r="H833">
        <f>Schedule!$L$121</f>
        <v/>
      </c>
      <c r="I833">
        <f>IF($N833=1,VALUE(LEFT($H833,2)),"")</f>
        <v/>
      </c>
      <c r="J833">
        <f>IF($N833=1,VALUE(MID($H833,9,2)),"")</f>
        <v/>
      </c>
      <c r="K833">
        <f>IF($N833=1,MOD($J833-$I833,24),0)</f>
        <v/>
      </c>
      <c r="L833">
        <f>IF($N833=1,$E833*24+$I833,"")</f>
        <v/>
      </c>
      <c r="M833">
        <f>IF($N833=1,$L833+$K833,"")</f>
        <v/>
      </c>
      <c r="N833">
        <f>IF(ISNUMBER(SEARCH(" - ",$H833&amp;"")),1,0)</f>
        <v/>
      </c>
      <c r="O833">
        <f>IF(UPPER($H833&amp;"")="LEAVE",1,0)</f>
        <v/>
      </c>
      <c r="P833">
        <f>IF($N833=1,$K833,0)</f>
        <v/>
      </c>
      <c r="Q833">
        <f>IF($N833=0,"",IFERROR($L833-LOOKUP(2,1/(($B$2:$B832=$B833)*($N$2:$N832=1)),$M$2:$M832),""))</f>
        <v/>
      </c>
    </row>
    <row r="834">
      <c r="A834" t="n">
        <v>833</v>
      </c>
      <c r="B834">
        <f>Schedule!$A$121</f>
        <v/>
      </c>
      <c r="C834">
        <f>Schedule!$D$121</f>
        <v/>
      </c>
      <c r="D834">
        <f>Schedule!$F$121</f>
        <v/>
      </c>
      <c r="E834" t="n">
        <v>6</v>
      </c>
      <c r="F834">
        <f>Schedule!$M$1</f>
        <v/>
      </c>
      <c r="G834">
        <f>Schedule!$M$2</f>
        <v/>
      </c>
      <c r="H834">
        <f>Schedule!$M$121</f>
        <v/>
      </c>
      <c r="I834">
        <f>IF($N834=1,VALUE(LEFT($H834,2)),"")</f>
        <v/>
      </c>
      <c r="J834">
        <f>IF($N834=1,VALUE(MID($H834,9,2)),"")</f>
        <v/>
      </c>
      <c r="K834">
        <f>IF($N834=1,MOD($J834-$I834,24),0)</f>
        <v/>
      </c>
      <c r="L834">
        <f>IF($N834=1,$E834*24+$I834,"")</f>
        <v/>
      </c>
      <c r="M834">
        <f>IF($N834=1,$L834+$K834,"")</f>
        <v/>
      </c>
      <c r="N834">
        <f>IF(ISNUMBER(SEARCH(" - ",$H834&amp;"")),1,0)</f>
        <v/>
      </c>
      <c r="O834">
        <f>IF(UPPER($H834&amp;"")="LEAVE",1,0)</f>
        <v/>
      </c>
      <c r="P834">
        <f>IF($N834=1,$K834,0)</f>
        <v/>
      </c>
      <c r="Q834">
        <f>IF($N834=0,"",IFERROR($L834-LOOKUP(2,1/(($B$2:$B833=$B834)*($N$2:$N833=1)),$M$2:$M833),""))</f>
        <v/>
      </c>
    </row>
    <row r="835">
      <c r="A835" t="n">
        <v>834</v>
      </c>
      <c r="B835">
        <f>Schedule!$A$122</f>
        <v/>
      </c>
      <c r="C835">
        <f>Schedule!$D$122</f>
        <v/>
      </c>
      <c r="D835">
        <f>Schedule!$F$122</f>
        <v/>
      </c>
      <c r="E835" t="n">
        <v>0</v>
      </c>
      <c r="F835">
        <f>Schedule!$G$1</f>
        <v/>
      </c>
      <c r="G835">
        <f>Schedule!$G$2</f>
        <v/>
      </c>
      <c r="H835">
        <f>Schedule!$G$122</f>
        <v/>
      </c>
      <c r="I835">
        <f>IF($N835=1,VALUE(LEFT($H835,2)),"")</f>
        <v/>
      </c>
      <c r="J835">
        <f>IF($N835=1,VALUE(MID($H835,9,2)),"")</f>
        <v/>
      </c>
      <c r="K835">
        <f>IF($N835=1,MOD($J835-$I835,24),0)</f>
        <v/>
      </c>
      <c r="L835">
        <f>IF($N835=1,$E835*24+$I835,"")</f>
        <v/>
      </c>
      <c r="M835">
        <f>IF($N835=1,$L835+$K835,"")</f>
        <v/>
      </c>
      <c r="N835">
        <f>IF(ISNUMBER(SEARCH(" - ",$H835&amp;"")),1,0)</f>
        <v/>
      </c>
      <c r="O835">
        <f>IF(UPPER($H835&amp;"")="LEAVE",1,0)</f>
        <v/>
      </c>
      <c r="P835">
        <f>IF($N835=1,$K835,0)</f>
        <v/>
      </c>
      <c r="Q835">
        <f>IF($N835=0,"",IFERROR($L835-'Previous Engine'!$M$121,""))</f>
        <v/>
      </c>
    </row>
    <row r="836">
      <c r="A836" t="n">
        <v>835</v>
      </c>
      <c r="B836">
        <f>Schedule!$A$122</f>
        <v/>
      </c>
      <c r="C836">
        <f>Schedule!$D$122</f>
        <v/>
      </c>
      <c r="D836">
        <f>Schedule!$F$122</f>
        <v/>
      </c>
      <c r="E836" t="n">
        <v>1</v>
      </c>
      <c r="F836">
        <f>Schedule!$H$1</f>
        <v/>
      </c>
      <c r="G836">
        <f>Schedule!$H$2</f>
        <v/>
      </c>
      <c r="H836">
        <f>Schedule!$H$122</f>
        <v/>
      </c>
      <c r="I836">
        <f>IF($N836=1,VALUE(LEFT($H836,2)),"")</f>
        <v/>
      </c>
      <c r="J836">
        <f>IF($N836=1,VALUE(MID($H836,9,2)),"")</f>
        <v/>
      </c>
      <c r="K836">
        <f>IF($N836=1,MOD($J836-$I836,24),0)</f>
        <v/>
      </c>
      <c r="L836">
        <f>IF($N836=1,$E836*24+$I836,"")</f>
        <v/>
      </c>
      <c r="M836">
        <f>IF($N836=1,$L836+$K836,"")</f>
        <v/>
      </c>
      <c r="N836">
        <f>IF(ISNUMBER(SEARCH(" - ",$H836&amp;"")),1,0)</f>
        <v/>
      </c>
      <c r="O836">
        <f>IF(UPPER($H836&amp;"")="LEAVE",1,0)</f>
        <v/>
      </c>
      <c r="P836">
        <f>IF($N836=1,$K836,0)</f>
        <v/>
      </c>
      <c r="Q836">
        <f>IF($N836=0,"",IFERROR($L836-LOOKUP(2,1/(($B$2:$B835=$B836)*($N$2:$N835=1)),$M$2:$M835),""))</f>
        <v/>
      </c>
    </row>
    <row r="837">
      <c r="A837" t="n">
        <v>836</v>
      </c>
      <c r="B837">
        <f>Schedule!$A$122</f>
        <v/>
      </c>
      <c r="C837">
        <f>Schedule!$D$122</f>
        <v/>
      </c>
      <c r="D837">
        <f>Schedule!$F$122</f>
        <v/>
      </c>
      <c r="E837" t="n">
        <v>2</v>
      </c>
      <c r="F837">
        <f>Schedule!$I$1</f>
        <v/>
      </c>
      <c r="G837">
        <f>Schedule!$I$2</f>
        <v/>
      </c>
      <c r="H837">
        <f>Schedule!$I$122</f>
        <v/>
      </c>
      <c r="I837">
        <f>IF($N837=1,VALUE(LEFT($H837,2)),"")</f>
        <v/>
      </c>
      <c r="J837">
        <f>IF($N837=1,VALUE(MID($H837,9,2)),"")</f>
        <v/>
      </c>
      <c r="K837">
        <f>IF($N837=1,MOD($J837-$I837,24),0)</f>
        <v/>
      </c>
      <c r="L837">
        <f>IF($N837=1,$E837*24+$I837,"")</f>
        <v/>
      </c>
      <c r="M837">
        <f>IF($N837=1,$L837+$K837,"")</f>
        <v/>
      </c>
      <c r="N837">
        <f>IF(ISNUMBER(SEARCH(" - ",$H837&amp;"")),1,0)</f>
        <v/>
      </c>
      <c r="O837">
        <f>IF(UPPER($H837&amp;"")="LEAVE",1,0)</f>
        <v/>
      </c>
      <c r="P837">
        <f>IF($N837=1,$K837,0)</f>
        <v/>
      </c>
      <c r="Q837">
        <f>IF($N837=0,"",IFERROR($L837-LOOKUP(2,1/(($B$2:$B836=$B837)*($N$2:$N836=1)),$M$2:$M836),""))</f>
        <v/>
      </c>
    </row>
    <row r="838">
      <c r="A838" t="n">
        <v>837</v>
      </c>
      <c r="B838">
        <f>Schedule!$A$122</f>
        <v/>
      </c>
      <c r="C838">
        <f>Schedule!$D$122</f>
        <v/>
      </c>
      <c r="D838">
        <f>Schedule!$F$122</f>
        <v/>
      </c>
      <c r="E838" t="n">
        <v>3</v>
      </c>
      <c r="F838">
        <f>Schedule!$J$1</f>
        <v/>
      </c>
      <c r="G838">
        <f>Schedule!$J$2</f>
        <v/>
      </c>
      <c r="H838">
        <f>Schedule!$J$122</f>
        <v/>
      </c>
      <c r="I838">
        <f>IF($N838=1,VALUE(LEFT($H838,2)),"")</f>
        <v/>
      </c>
      <c r="J838">
        <f>IF($N838=1,VALUE(MID($H838,9,2)),"")</f>
        <v/>
      </c>
      <c r="K838">
        <f>IF($N838=1,MOD($J838-$I838,24),0)</f>
        <v/>
      </c>
      <c r="L838">
        <f>IF($N838=1,$E838*24+$I838,"")</f>
        <v/>
      </c>
      <c r="M838">
        <f>IF($N838=1,$L838+$K838,"")</f>
        <v/>
      </c>
      <c r="N838">
        <f>IF(ISNUMBER(SEARCH(" - ",$H838&amp;"")),1,0)</f>
        <v/>
      </c>
      <c r="O838">
        <f>IF(UPPER($H838&amp;"")="LEAVE",1,0)</f>
        <v/>
      </c>
      <c r="P838">
        <f>IF($N838=1,$K838,0)</f>
        <v/>
      </c>
      <c r="Q838">
        <f>IF($N838=0,"",IFERROR($L838-LOOKUP(2,1/(($B$2:$B837=$B838)*($N$2:$N837=1)),$M$2:$M837),""))</f>
        <v/>
      </c>
    </row>
    <row r="839">
      <c r="A839" t="n">
        <v>838</v>
      </c>
      <c r="B839">
        <f>Schedule!$A$122</f>
        <v/>
      </c>
      <c r="C839">
        <f>Schedule!$D$122</f>
        <v/>
      </c>
      <c r="D839">
        <f>Schedule!$F$122</f>
        <v/>
      </c>
      <c r="E839" t="n">
        <v>4</v>
      </c>
      <c r="F839">
        <f>Schedule!$K$1</f>
        <v/>
      </c>
      <c r="G839">
        <f>Schedule!$K$2</f>
        <v/>
      </c>
      <c r="H839">
        <f>Schedule!$K$122</f>
        <v/>
      </c>
      <c r="I839">
        <f>IF($N839=1,VALUE(LEFT($H839,2)),"")</f>
        <v/>
      </c>
      <c r="J839">
        <f>IF($N839=1,VALUE(MID($H839,9,2)),"")</f>
        <v/>
      </c>
      <c r="K839">
        <f>IF($N839=1,MOD($J839-$I839,24),0)</f>
        <v/>
      </c>
      <c r="L839">
        <f>IF($N839=1,$E839*24+$I839,"")</f>
        <v/>
      </c>
      <c r="M839">
        <f>IF($N839=1,$L839+$K839,"")</f>
        <v/>
      </c>
      <c r="N839">
        <f>IF(ISNUMBER(SEARCH(" - ",$H839&amp;"")),1,0)</f>
        <v/>
      </c>
      <c r="O839">
        <f>IF(UPPER($H839&amp;"")="LEAVE",1,0)</f>
        <v/>
      </c>
      <c r="P839">
        <f>IF($N839=1,$K839,0)</f>
        <v/>
      </c>
      <c r="Q839">
        <f>IF($N839=0,"",IFERROR($L839-LOOKUP(2,1/(($B$2:$B838=$B839)*($N$2:$N838=1)),$M$2:$M838),""))</f>
        <v/>
      </c>
    </row>
    <row r="840">
      <c r="A840" t="n">
        <v>839</v>
      </c>
      <c r="B840">
        <f>Schedule!$A$122</f>
        <v/>
      </c>
      <c r="C840">
        <f>Schedule!$D$122</f>
        <v/>
      </c>
      <c r="D840">
        <f>Schedule!$F$122</f>
        <v/>
      </c>
      <c r="E840" t="n">
        <v>5</v>
      </c>
      <c r="F840">
        <f>Schedule!$L$1</f>
        <v/>
      </c>
      <c r="G840">
        <f>Schedule!$L$2</f>
        <v/>
      </c>
      <c r="H840">
        <f>Schedule!$L$122</f>
        <v/>
      </c>
      <c r="I840">
        <f>IF($N840=1,VALUE(LEFT($H840,2)),"")</f>
        <v/>
      </c>
      <c r="J840">
        <f>IF($N840=1,VALUE(MID($H840,9,2)),"")</f>
        <v/>
      </c>
      <c r="K840">
        <f>IF($N840=1,MOD($J840-$I840,24),0)</f>
        <v/>
      </c>
      <c r="L840">
        <f>IF($N840=1,$E840*24+$I840,"")</f>
        <v/>
      </c>
      <c r="M840">
        <f>IF($N840=1,$L840+$K840,"")</f>
        <v/>
      </c>
      <c r="N840">
        <f>IF(ISNUMBER(SEARCH(" - ",$H840&amp;"")),1,0)</f>
        <v/>
      </c>
      <c r="O840">
        <f>IF(UPPER($H840&amp;"")="LEAVE",1,0)</f>
        <v/>
      </c>
      <c r="P840">
        <f>IF($N840=1,$K840,0)</f>
        <v/>
      </c>
      <c r="Q840">
        <f>IF($N840=0,"",IFERROR($L840-LOOKUP(2,1/(($B$2:$B839=$B840)*($N$2:$N839=1)),$M$2:$M839),""))</f>
        <v/>
      </c>
    </row>
    <row r="841">
      <c r="A841" t="n">
        <v>840</v>
      </c>
      <c r="B841">
        <f>Schedule!$A$122</f>
        <v/>
      </c>
      <c r="C841">
        <f>Schedule!$D$122</f>
        <v/>
      </c>
      <c r="D841">
        <f>Schedule!$F$122</f>
        <v/>
      </c>
      <c r="E841" t="n">
        <v>6</v>
      </c>
      <c r="F841">
        <f>Schedule!$M$1</f>
        <v/>
      </c>
      <c r="G841">
        <f>Schedule!$M$2</f>
        <v/>
      </c>
      <c r="H841">
        <f>Schedule!$M$122</f>
        <v/>
      </c>
      <c r="I841">
        <f>IF($N841=1,VALUE(LEFT($H841,2)),"")</f>
        <v/>
      </c>
      <c r="J841">
        <f>IF($N841=1,VALUE(MID($H841,9,2)),"")</f>
        <v/>
      </c>
      <c r="K841">
        <f>IF($N841=1,MOD($J841-$I841,24),0)</f>
        <v/>
      </c>
      <c r="L841">
        <f>IF($N841=1,$E841*24+$I841,"")</f>
        <v/>
      </c>
      <c r="M841">
        <f>IF($N841=1,$L841+$K841,"")</f>
        <v/>
      </c>
      <c r="N841">
        <f>IF(ISNUMBER(SEARCH(" - ",$H841&amp;"")),1,0)</f>
        <v/>
      </c>
      <c r="O841">
        <f>IF(UPPER($H841&amp;"")="LEAVE",1,0)</f>
        <v/>
      </c>
      <c r="P841">
        <f>IF($N841=1,$K841,0)</f>
        <v/>
      </c>
      <c r="Q841">
        <f>IF($N841=0,"",IFERROR($L841-LOOKUP(2,1/(($B$2:$B840=$B841)*($N$2:$N840=1)),$M$2:$M840),""))</f>
        <v/>
      </c>
    </row>
    <row r="842">
      <c r="A842" t="n">
        <v>841</v>
      </c>
      <c r="B842">
        <f>Schedule!$A$123</f>
        <v/>
      </c>
      <c r="C842">
        <f>Schedule!$D$123</f>
        <v/>
      </c>
      <c r="D842">
        <f>Schedule!$F$123</f>
        <v/>
      </c>
      <c r="E842" t="n">
        <v>0</v>
      </c>
      <c r="F842">
        <f>Schedule!$G$1</f>
        <v/>
      </c>
      <c r="G842">
        <f>Schedule!$G$2</f>
        <v/>
      </c>
      <c r="H842">
        <f>Schedule!$G$123</f>
        <v/>
      </c>
      <c r="I842">
        <f>IF($N842=1,VALUE(LEFT($H842,2)),"")</f>
        <v/>
      </c>
      <c r="J842">
        <f>IF($N842=1,VALUE(MID($H842,9,2)),"")</f>
        <v/>
      </c>
      <c r="K842">
        <f>IF($N842=1,MOD($J842-$I842,24),0)</f>
        <v/>
      </c>
      <c r="L842">
        <f>IF($N842=1,$E842*24+$I842,"")</f>
        <v/>
      </c>
      <c r="M842">
        <f>IF($N842=1,$L842+$K842,"")</f>
        <v/>
      </c>
      <c r="N842">
        <f>IF(ISNUMBER(SEARCH(" - ",$H842&amp;"")),1,0)</f>
        <v/>
      </c>
      <c r="O842">
        <f>IF(UPPER($H842&amp;"")="LEAVE",1,0)</f>
        <v/>
      </c>
      <c r="P842">
        <f>IF($N842=1,$K842,0)</f>
        <v/>
      </c>
      <c r="Q842">
        <f>IF($N842=0,"",IFERROR($L842-'Previous Engine'!$M$122,""))</f>
        <v/>
      </c>
    </row>
    <row r="843">
      <c r="A843" t="n">
        <v>842</v>
      </c>
      <c r="B843">
        <f>Schedule!$A$123</f>
        <v/>
      </c>
      <c r="C843">
        <f>Schedule!$D$123</f>
        <v/>
      </c>
      <c r="D843">
        <f>Schedule!$F$123</f>
        <v/>
      </c>
      <c r="E843" t="n">
        <v>1</v>
      </c>
      <c r="F843">
        <f>Schedule!$H$1</f>
        <v/>
      </c>
      <c r="G843">
        <f>Schedule!$H$2</f>
        <v/>
      </c>
      <c r="H843">
        <f>Schedule!$H$123</f>
        <v/>
      </c>
      <c r="I843">
        <f>IF($N843=1,VALUE(LEFT($H843,2)),"")</f>
        <v/>
      </c>
      <c r="J843">
        <f>IF($N843=1,VALUE(MID($H843,9,2)),"")</f>
        <v/>
      </c>
      <c r="K843">
        <f>IF($N843=1,MOD($J843-$I843,24),0)</f>
        <v/>
      </c>
      <c r="L843">
        <f>IF($N843=1,$E843*24+$I843,"")</f>
        <v/>
      </c>
      <c r="M843">
        <f>IF($N843=1,$L843+$K843,"")</f>
        <v/>
      </c>
      <c r="N843">
        <f>IF(ISNUMBER(SEARCH(" - ",$H843&amp;"")),1,0)</f>
        <v/>
      </c>
      <c r="O843">
        <f>IF(UPPER($H843&amp;"")="LEAVE",1,0)</f>
        <v/>
      </c>
      <c r="P843">
        <f>IF($N843=1,$K843,0)</f>
        <v/>
      </c>
      <c r="Q843">
        <f>IF($N843=0,"",IFERROR($L843-LOOKUP(2,1/(($B$2:$B842=$B843)*($N$2:$N842=1)),$M$2:$M842),""))</f>
        <v/>
      </c>
    </row>
    <row r="844">
      <c r="A844" t="n">
        <v>843</v>
      </c>
      <c r="B844">
        <f>Schedule!$A$123</f>
        <v/>
      </c>
      <c r="C844">
        <f>Schedule!$D$123</f>
        <v/>
      </c>
      <c r="D844">
        <f>Schedule!$F$123</f>
        <v/>
      </c>
      <c r="E844" t="n">
        <v>2</v>
      </c>
      <c r="F844">
        <f>Schedule!$I$1</f>
        <v/>
      </c>
      <c r="G844">
        <f>Schedule!$I$2</f>
        <v/>
      </c>
      <c r="H844">
        <f>Schedule!$I$123</f>
        <v/>
      </c>
      <c r="I844">
        <f>IF($N844=1,VALUE(LEFT($H844,2)),"")</f>
        <v/>
      </c>
      <c r="J844">
        <f>IF($N844=1,VALUE(MID($H844,9,2)),"")</f>
        <v/>
      </c>
      <c r="K844">
        <f>IF($N844=1,MOD($J844-$I844,24),0)</f>
        <v/>
      </c>
      <c r="L844">
        <f>IF($N844=1,$E844*24+$I844,"")</f>
        <v/>
      </c>
      <c r="M844">
        <f>IF($N844=1,$L844+$K844,"")</f>
        <v/>
      </c>
      <c r="N844">
        <f>IF(ISNUMBER(SEARCH(" - ",$H844&amp;"")),1,0)</f>
        <v/>
      </c>
      <c r="O844">
        <f>IF(UPPER($H844&amp;"")="LEAVE",1,0)</f>
        <v/>
      </c>
      <c r="P844">
        <f>IF($N844=1,$K844,0)</f>
        <v/>
      </c>
      <c r="Q844">
        <f>IF($N844=0,"",IFERROR($L844-LOOKUP(2,1/(($B$2:$B843=$B844)*($N$2:$N843=1)),$M$2:$M843),""))</f>
        <v/>
      </c>
    </row>
    <row r="845">
      <c r="A845" t="n">
        <v>844</v>
      </c>
      <c r="B845">
        <f>Schedule!$A$123</f>
        <v/>
      </c>
      <c r="C845">
        <f>Schedule!$D$123</f>
        <v/>
      </c>
      <c r="D845">
        <f>Schedule!$F$123</f>
        <v/>
      </c>
      <c r="E845" t="n">
        <v>3</v>
      </c>
      <c r="F845">
        <f>Schedule!$J$1</f>
        <v/>
      </c>
      <c r="G845">
        <f>Schedule!$J$2</f>
        <v/>
      </c>
      <c r="H845">
        <f>Schedule!$J$123</f>
        <v/>
      </c>
      <c r="I845">
        <f>IF($N845=1,VALUE(LEFT($H845,2)),"")</f>
        <v/>
      </c>
      <c r="J845">
        <f>IF($N845=1,VALUE(MID($H845,9,2)),"")</f>
        <v/>
      </c>
      <c r="K845">
        <f>IF($N845=1,MOD($J845-$I845,24),0)</f>
        <v/>
      </c>
      <c r="L845">
        <f>IF($N845=1,$E845*24+$I845,"")</f>
        <v/>
      </c>
      <c r="M845">
        <f>IF($N845=1,$L845+$K845,"")</f>
        <v/>
      </c>
      <c r="N845">
        <f>IF(ISNUMBER(SEARCH(" - ",$H845&amp;"")),1,0)</f>
        <v/>
      </c>
      <c r="O845">
        <f>IF(UPPER($H845&amp;"")="LEAVE",1,0)</f>
        <v/>
      </c>
      <c r="P845">
        <f>IF($N845=1,$K845,0)</f>
        <v/>
      </c>
      <c r="Q845">
        <f>IF($N845=0,"",IFERROR($L845-LOOKUP(2,1/(($B$2:$B844=$B845)*($N$2:$N844=1)),$M$2:$M844),""))</f>
        <v/>
      </c>
    </row>
    <row r="846">
      <c r="A846" t="n">
        <v>845</v>
      </c>
      <c r="B846">
        <f>Schedule!$A$123</f>
        <v/>
      </c>
      <c r="C846">
        <f>Schedule!$D$123</f>
        <v/>
      </c>
      <c r="D846">
        <f>Schedule!$F$123</f>
        <v/>
      </c>
      <c r="E846" t="n">
        <v>4</v>
      </c>
      <c r="F846">
        <f>Schedule!$K$1</f>
        <v/>
      </c>
      <c r="G846">
        <f>Schedule!$K$2</f>
        <v/>
      </c>
      <c r="H846">
        <f>Schedule!$K$123</f>
        <v/>
      </c>
      <c r="I846">
        <f>IF($N846=1,VALUE(LEFT($H846,2)),"")</f>
        <v/>
      </c>
      <c r="J846">
        <f>IF($N846=1,VALUE(MID($H846,9,2)),"")</f>
        <v/>
      </c>
      <c r="K846">
        <f>IF($N846=1,MOD($J846-$I846,24),0)</f>
        <v/>
      </c>
      <c r="L846">
        <f>IF($N846=1,$E846*24+$I846,"")</f>
        <v/>
      </c>
      <c r="M846">
        <f>IF($N846=1,$L846+$K846,"")</f>
        <v/>
      </c>
      <c r="N846">
        <f>IF(ISNUMBER(SEARCH(" - ",$H846&amp;"")),1,0)</f>
        <v/>
      </c>
      <c r="O846">
        <f>IF(UPPER($H846&amp;"")="LEAVE",1,0)</f>
        <v/>
      </c>
      <c r="P846">
        <f>IF($N846=1,$K846,0)</f>
        <v/>
      </c>
      <c r="Q846">
        <f>IF($N846=0,"",IFERROR($L846-LOOKUP(2,1/(($B$2:$B845=$B846)*($N$2:$N845=1)),$M$2:$M845),""))</f>
        <v/>
      </c>
    </row>
    <row r="847">
      <c r="A847" t="n">
        <v>846</v>
      </c>
      <c r="B847">
        <f>Schedule!$A$123</f>
        <v/>
      </c>
      <c r="C847">
        <f>Schedule!$D$123</f>
        <v/>
      </c>
      <c r="D847">
        <f>Schedule!$F$123</f>
        <v/>
      </c>
      <c r="E847" t="n">
        <v>5</v>
      </c>
      <c r="F847">
        <f>Schedule!$L$1</f>
        <v/>
      </c>
      <c r="G847">
        <f>Schedule!$L$2</f>
        <v/>
      </c>
      <c r="H847">
        <f>Schedule!$L$123</f>
        <v/>
      </c>
      <c r="I847">
        <f>IF($N847=1,VALUE(LEFT($H847,2)),"")</f>
        <v/>
      </c>
      <c r="J847">
        <f>IF($N847=1,VALUE(MID($H847,9,2)),"")</f>
        <v/>
      </c>
      <c r="K847">
        <f>IF($N847=1,MOD($J847-$I847,24),0)</f>
        <v/>
      </c>
      <c r="L847">
        <f>IF($N847=1,$E847*24+$I847,"")</f>
        <v/>
      </c>
      <c r="M847">
        <f>IF($N847=1,$L847+$K847,"")</f>
        <v/>
      </c>
      <c r="N847">
        <f>IF(ISNUMBER(SEARCH(" - ",$H847&amp;"")),1,0)</f>
        <v/>
      </c>
      <c r="O847">
        <f>IF(UPPER($H847&amp;"")="LEAVE",1,0)</f>
        <v/>
      </c>
      <c r="P847">
        <f>IF($N847=1,$K847,0)</f>
        <v/>
      </c>
      <c r="Q847">
        <f>IF($N847=0,"",IFERROR($L847-LOOKUP(2,1/(($B$2:$B846=$B847)*($N$2:$N846=1)),$M$2:$M846),""))</f>
        <v/>
      </c>
    </row>
    <row r="848">
      <c r="A848" t="n">
        <v>847</v>
      </c>
      <c r="B848">
        <f>Schedule!$A$123</f>
        <v/>
      </c>
      <c r="C848">
        <f>Schedule!$D$123</f>
        <v/>
      </c>
      <c r="D848">
        <f>Schedule!$F$123</f>
        <v/>
      </c>
      <c r="E848" t="n">
        <v>6</v>
      </c>
      <c r="F848">
        <f>Schedule!$M$1</f>
        <v/>
      </c>
      <c r="G848">
        <f>Schedule!$M$2</f>
        <v/>
      </c>
      <c r="H848">
        <f>Schedule!$M$123</f>
        <v/>
      </c>
      <c r="I848">
        <f>IF($N848=1,VALUE(LEFT($H848,2)),"")</f>
        <v/>
      </c>
      <c r="J848">
        <f>IF($N848=1,VALUE(MID($H848,9,2)),"")</f>
        <v/>
      </c>
      <c r="K848">
        <f>IF($N848=1,MOD($J848-$I848,24),0)</f>
        <v/>
      </c>
      <c r="L848">
        <f>IF($N848=1,$E848*24+$I848,"")</f>
        <v/>
      </c>
      <c r="M848">
        <f>IF($N848=1,$L848+$K848,"")</f>
        <v/>
      </c>
      <c r="N848">
        <f>IF(ISNUMBER(SEARCH(" - ",$H848&amp;"")),1,0)</f>
        <v/>
      </c>
      <c r="O848">
        <f>IF(UPPER($H848&amp;"")="LEAVE",1,0)</f>
        <v/>
      </c>
      <c r="P848">
        <f>IF($N848=1,$K848,0)</f>
        <v/>
      </c>
      <c r="Q848">
        <f>IF($N848=0,"",IFERROR($L848-LOOKUP(2,1/(($B$2:$B847=$B848)*($N$2:$N847=1)),$M$2:$M847),""))</f>
        <v/>
      </c>
    </row>
    <row r="849">
      <c r="A849" t="n">
        <v>848</v>
      </c>
      <c r="B849">
        <f>Schedule!$A$124</f>
        <v/>
      </c>
      <c r="C849">
        <f>Schedule!$D$124</f>
        <v/>
      </c>
      <c r="D849">
        <f>Schedule!$F$124</f>
        <v/>
      </c>
      <c r="E849" t="n">
        <v>0</v>
      </c>
      <c r="F849">
        <f>Schedule!$G$1</f>
        <v/>
      </c>
      <c r="G849">
        <f>Schedule!$G$2</f>
        <v/>
      </c>
      <c r="H849">
        <f>Schedule!$G$124</f>
        <v/>
      </c>
      <c r="I849">
        <f>IF($N849=1,VALUE(LEFT($H849,2)),"")</f>
        <v/>
      </c>
      <c r="J849">
        <f>IF($N849=1,VALUE(MID($H849,9,2)),"")</f>
        <v/>
      </c>
      <c r="K849">
        <f>IF($N849=1,MOD($J849-$I849,24),0)</f>
        <v/>
      </c>
      <c r="L849">
        <f>IF($N849=1,$E849*24+$I849,"")</f>
        <v/>
      </c>
      <c r="M849">
        <f>IF($N849=1,$L849+$K849,"")</f>
        <v/>
      </c>
      <c r="N849">
        <f>IF(ISNUMBER(SEARCH(" - ",$H849&amp;"")),1,0)</f>
        <v/>
      </c>
      <c r="O849">
        <f>IF(UPPER($H849&amp;"")="LEAVE",1,0)</f>
        <v/>
      </c>
      <c r="P849">
        <f>IF($N849=1,$K849,0)</f>
        <v/>
      </c>
      <c r="Q849">
        <f>IF($N849=0,"",IFERROR($L849-'Previous Engine'!$M$123,""))</f>
        <v/>
      </c>
    </row>
    <row r="850">
      <c r="A850" t="n">
        <v>849</v>
      </c>
      <c r="B850">
        <f>Schedule!$A$124</f>
        <v/>
      </c>
      <c r="C850">
        <f>Schedule!$D$124</f>
        <v/>
      </c>
      <c r="D850">
        <f>Schedule!$F$124</f>
        <v/>
      </c>
      <c r="E850" t="n">
        <v>1</v>
      </c>
      <c r="F850">
        <f>Schedule!$H$1</f>
        <v/>
      </c>
      <c r="G850">
        <f>Schedule!$H$2</f>
        <v/>
      </c>
      <c r="H850">
        <f>Schedule!$H$124</f>
        <v/>
      </c>
      <c r="I850">
        <f>IF($N850=1,VALUE(LEFT($H850,2)),"")</f>
        <v/>
      </c>
      <c r="J850">
        <f>IF($N850=1,VALUE(MID($H850,9,2)),"")</f>
        <v/>
      </c>
      <c r="K850">
        <f>IF($N850=1,MOD($J850-$I850,24),0)</f>
        <v/>
      </c>
      <c r="L850">
        <f>IF($N850=1,$E850*24+$I850,"")</f>
        <v/>
      </c>
      <c r="M850">
        <f>IF($N850=1,$L850+$K850,"")</f>
        <v/>
      </c>
      <c r="N850">
        <f>IF(ISNUMBER(SEARCH(" - ",$H850&amp;"")),1,0)</f>
        <v/>
      </c>
      <c r="O850">
        <f>IF(UPPER($H850&amp;"")="LEAVE",1,0)</f>
        <v/>
      </c>
      <c r="P850">
        <f>IF($N850=1,$K850,0)</f>
        <v/>
      </c>
      <c r="Q850">
        <f>IF($N850=0,"",IFERROR($L850-LOOKUP(2,1/(($B$2:$B849=$B850)*($N$2:$N849=1)),$M$2:$M849),""))</f>
        <v/>
      </c>
    </row>
    <row r="851">
      <c r="A851" t="n">
        <v>850</v>
      </c>
      <c r="B851">
        <f>Schedule!$A$124</f>
        <v/>
      </c>
      <c r="C851">
        <f>Schedule!$D$124</f>
        <v/>
      </c>
      <c r="D851">
        <f>Schedule!$F$124</f>
        <v/>
      </c>
      <c r="E851" t="n">
        <v>2</v>
      </c>
      <c r="F851">
        <f>Schedule!$I$1</f>
        <v/>
      </c>
      <c r="G851">
        <f>Schedule!$I$2</f>
        <v/>
      </c>
      <c r="H851">
        <f>Schedule!$I$124</f>
        <v/>
      </c>
      <c r="I851">
        <f>IF($N851=1,VALUE(LEFT($H851,2)),"")</f>
        <v/>
      </c>
      <c r="J851">
        <f>IF($N851=1,VALUE(MID($H851,9,2)),"")</f>
        <v/>
      </c>
      <c r="K851">
        <f>IF($N851=1,MOD($J851-$I851,24),0)</f>
        <v/>
      </c>
      <c r="L851">
        <f>IF($N851=1,$E851*24+$I851,"")</f>
        <v/>
      </c>
      <c r="M851">
        <f>IF($N851=1,$L851+$K851,"")</f>
        <v/>
      </c>
      <c r="N851">
        <f>IF(ISNUMBER(SEARCH(" - ",$H851&amp;"")),1,0)</f>
        <v/>
      </c>
      <c r="O851">
        <f>IF(UPPER($H851&amp;"")="LEAVE",1,0)</f>
        <v/>
      </c>
      <c r="P851">
        <f>IF($N851=1,$K851,0)</f>
        <v/>
      </c>
      <c r="Q851">
        <f>IF($N851=0,"",IFERROR($L851-LOOKUP(2,1/(($B$2:$B850=$B851)*($N$2:$N850=1)),$M$2:$M850),""))</f>
        <v/>
      </c>
    </row>
    <row r="852">
      <c r="A852" t="n">
        <v>851</v>
      </c>
      <c r="B852">
        <f>Schedule!$A$124</f>
        <v/>
      </c>
      <c r="C852">
        <f>Schedule!$D$124</f>
        <v/>
      </c>
      <c r="D852">
        <f>Schedule!$F$124</f>
        <v/>
      </c>
      <c r="E852" t="n">
        <v>3</v>
      </c>
      <c r="F852">
        <f>Schedule!$J$1</f>
        <v/>
      </c>
      <c r="G852">
        <f>Schedule!$J$2</f>
        <v/>
      </c>
      <c r="H852">
        <f>Schedule!$J$124</f>
        <v/>
      </c>
      <c r="I852">
        <f>IF($N852=1,VALUE(LEFT($H852,2)),"")</f>
        <v/>
      </c>
      <c r="J852">
        <f>IF($N852=1,VALUE(MID($H852,9,2)),"")</f>
        <v/>
      </c>
      <c r="K852">
        <f>IF($N852=1,MOD($J852-$I852,24),0)</f>
        <v/>
      </c>
      <c r="L852">
        <f>IF($N852=1,$E852*24+$I852,"")</f>
        <v/>
      </c>
      <c r="M852">
        <f>IF($N852=1,$L852+$K852,"")</f>
        <v/>
      </c>
      <c r="N852">
        <f>IF(ISNUMBER(SEARCH(" - ",$H852&amp;"")),1,0)</f>
        <v/>
      </c>
      <c r="O852">
        <f>IF(UPPER($H852&amp;"")="LEAVE",1,0)</f>
        <v/>
      </c>
      <c r="P852">
        <f>IF($N852=1,$K852,0)</f>
        <v/>
      </c>
      <c r="Q852">
        <f>IF($N852=0,"",IFERROR($L852-LOOKUP(2,1/(($B$2:$B851=$B852)*($N$2:$N851=1)),$M$2:$M851),""))</f>
        <v/>
      </c>
    </row>
    <row r="853">
      <c r="A853" t="n">
        <v>852</v>
      </c>
      <c r="B853">
        <f>Schedule!$A$124</f>
        <v/>
      </c>
      <c r="C853">
        <f>Schedule!$D$124</f>
        <v/>
      </c>
      <c r="D853">
        <f>Schedule!$F$124</f>
        <v/>
      </c>
      <c r="E853" t="n">
        <v>4</v>
      </c>
      <c r="F853">
        <f>Schedule!$K$1</f>
        <v/>
      </c>
      <c r="G853">
        <f>Schedule!$K$2</f>
        <v/>
      </c>
      <c r="H853">
        <f>Schedule!$K$124</f>
        <v/>
      </c>
      <c r="I853">
        <f>IF($N853=1,VALUE(LEFT($H853,2)),"")</f>
        <v/>
      </c>
      <c r="J853">
        <f>IF($N853=1,VALUE(MID($H853,9,2)),"")</f>
        <v/>
      </c>
      <c r="K853">
        <f>IF($N853=1,MOD($J853-$I853,24),0)</f>
        <v/>
      </c>
      <c r="L853">
        <f>IF($N853=1,$E853*24+$I853,"")</f>
        <v/>
      </c>
      <c r="M853">
        <f>IF($N853=1,$L853+$K853,"")</f>
        <v/>
      </c>
      <c r="N853">
        <f>IF(ISNUMBER(SEARCH(" - ",$H853&amp;"")),1,0)</f>
        <v/>
      </c>
      <c r="O853">
        <f>IF(UPPER($H853&amp;"")="LEAVE",1,0)</f>
        <v/>
      </c>
      <c r="P853">
        <f>IF($N853=1,$K853,0)</f>
        <v/>
      </c>
      <c r="Q853">
        <f>IF($N853=0,"",IFERROR($L853-LOOKUP(2,1/(($B$2:$B852=$B853)*($N$2:$N852=1)),$M$2:$M852),""))</f>
        <v/>
      </c>
    </row>
    <row r="854">
      <c r="A854" t="n">
        <v>853</v>
      </c>
      <c r="B854">
        <f>Schedule!$A$124</f>
        <v/>
      </c>
      <c r="C854">
        <f>Schedule!$D$124</f>
        <v/>
      </c>
      <c r="D854">
        <f>Schedule!$F$124</f>
        <v/>
      </c>
      <c r="E854" t="n">
        <v>5</v>
      </c>
      <c r="F854">
        <f>Schedule!$L$1</f>
        <v/>
      </c>
      <c r="G854">
        <f>Schedule!$L$2</f>
        <v/>
      </c>
      <c r="H854">
        <f>Schedule!$L$124</f>
        <v/>
      </c>
      <c r="I854">
        <f>IF($N854=1,VALUE(LEFT($H854,2)),"")</f>
        <v/>
      </c>
      <c r="J854">
        <f>IF($N854=1,VALUE(MID($H854,9,2)),"")</f>
        <v/>
      </c>
      <c r="K854">
        <f>IF($N854=1,MOD($J854-$I854,24),0)</f>
        <v/>
      </c>
      <c r="L854">
        <f>IF($N854=1,$E854*24+$I854,"")</f>
        <v/>
      </c>
      <c r="M854">
        <f>IF($N854=1,$L854+$K854,"")</f>
        <v/>
      </c>
      <c r="N854">
        <f>IF(ISNUMBER(SEARCH(" - ",$H854&amp;"")),1,0)</f>
        <v/>
      </c>
      <c r="O854">
        <f>IF(UPPER($H854&amp;"")="LEAVE",1,0)</f>
        <v/>
      </c>
      <c r="P854">
        <f>IF($N854=1,$K854,0)</f>
        <v/>
      </c>
      <c r="Q854">
        <f>IF($N854=0,"",IFERROR($L854-LOOKUP(2,1/(($B$2:$B853=$B854)*($N$2:$N853=1)),$M$2:$M853),""))</f>
        <v/>
      </c>
    </row>
    <row r="855">
      <c r="A855" t="n">
        <v>854</v>
      </c>
      <c r="B855">
        <f>Schedule!$A$124</f>
        <v/>
      </c>
      <c r="C855">
        <f>Schedule!$D$124</f>
        <v/>
      </c>
      <c r="D855">
        <f>Schedule!$F$124</f>
        <v/>
      </c>
      <c r="E855" t="n">
        <v>6</v>
      </c>
      <c r="F855">
        <f>Schedule!$M$1</f>
        <v/>
      </c>
      <c r="G855">
        <f>Schedule!$M$2</f>
        <v/>
      </c>
      <c r="H855">
        <f>Schedule!$M$124</f>
        <v/>
      </c>
      <c r="I855">
        <f>IF($N855=1,VALUE(LEFT($H855,2)),"")</f>
        <v/>
      </c>
      <c r="J855">
        <f>IF($N855=1,VALUE(MID($H855,9,2)),"")</f>
        <v/>
      </c>
      <c r="K855">
        <f>IF($N855=1,MOD($J855-$I855,24),0)</f>
        <v/>
      </c>
      <c r="L855">
        <f>IF($N855=1,$E855*24+$I855,"")</f>
        <v/>
      </c>
      <c r="M855">
        <f>IF($N855=1,$L855+$K855,"")</f>
        <v/>
      </c>
      <c r="N855">
        <f>IF(ISNUMBER(SEARCH(" - ",$H855&amp;"")),1,0)</f>
        <v/>
      </c>
      <c r="O855">
        <f>IF(UPPER($H855&amp;"")="LEAVE",1,0)</f>
        <v/>
      </c>
      <c r="P855">
        <f>IF($N855=1,$K855,0)</f>
        <v/>
      </c>
      <c r="Q855">
        <f>IF($N855=0,"",IFERROR($L855-LOOKUP(2,1/(($B$2:$B854=$B855)*($N$2:$N854=1)),$M$2:$M854),""))</f>
        <v/>
      </c>
    </row>
    <row r="856">
      <c r="A856" t="n">
        <v>855</v>
      </c>
      <c r="B856">
        <f>Schedule!$A$125</f>
        <v/>
      </c>
      <c r="C856">
        <f>Schedule!$D$125</f>
        <v/>
      </c>
      <c r="D856">
        <f>Schedule!$F$125</f>
        <v/>
      </c>
      <c r="E856" t="n">
        <v>0</v>
      </c>
      <c r="F856">
        <f>Schedule!$G$1</f>
        <v/>
      </c>
      <c r="G856">
        <f>Schedule!$G$2</f>
        <v/>
      </c>
      <c r="H856">
        <f>Schedule!$G$125</f>
        <v/>
      </c>
      <c r="I856">
        <f>IF($N856=1,VALUE(LEFT($H856,2)),"")</f>
        <v/>
      </c>
      <c r="J856">
        <f>IF($N856=1,VALUE(MID($H856,9,2)),"")</f>
        <v/>
      </c>
      <c r="K856">
        <f>IF($N856=1,MOD($J856-$I856,24),0)</f>
        <v/>
      </c>
      <c r="L856">
        <f>IF($N856=1,$E856*24+$I856,"")</f>
        <v/>
      </c>
      <c r="M856">
        <f>IF($N856=1,$L856+$K856,"")</f>
        <v/>
      </c>
      <c r="N856">
        <f>IF(ISNUMBER(SEARCH(" - ",$H856&amp;"")),1,0)</f>
        <v/>
      </c>
      <c r="O856">
        <f>IF(UPPER($H856&amp;"")="LEAVE",1,0)</f>
        <v/>
      </c>
      <c r="P856">
        <f>IF($N856=1,$K856,0)</f>
        <v/>
      </c>
      <c r="Q856">
        <f>IF($N856=0,"",IFERROR($L856-'Previous Engine'!$M$124,""))</f>
        <v/>
      </c>
    </row>
    <row r="857">
      <c r="A857" t="n">
        <v>856</v>
      </c>
      <c r="B857">
        <f>Schedule!$A$125</f>
        <v/>
      </c>
      <c r="C857">
        <f>Schedule!$D$125</f>
        <v/>
      </c>
      <c r="D857">
        <f>Schedule!$F$125</f>
        <v/>
      </c>
      <c r="E857" t="n">
        <v>1</v>
      </c>
      <c r="F857">
        <f>Schedule!$H$1</f>
        <v/>
      </c>
      <c r="G857">
        <f>Schedule!$H$2</f>
        <v/>
      </c>
      <c r="H857">
        <f>Schedule!$H$125</f>
        <v/>
      </c>
      <c r="I857">
        <f>IF($N857=1,VALUE(LEFT($H857,2)),"")</f>
        <v/>
      </c>
      <c r="J857">
        <f>IF($N857=1,VALUE(MID($H857,9,2)),"")</f>
        <v/>
      </c>
      <c r="K857">
        <f>IF($N857=1,MOD($J857-$I857,24),0)</f>
        <v/>
      </c>
      <c r="L857">
        <f>IF($N857=1,$E857*24+$I857,"")</f>
        <v/>
      </c>
      <c r="M857">
        <f>IF($N857=1,$L857+$K857,"")</f>
        <v/>
      </c>
      <c r="N857">
        <f>IF(ISNUMBER(SEARCH(" - ",$H857&amp;"")),1,0)</f>
        <v/>
      </c>
      <c r="O857">
        <f>IF(UPPER($H857&amp;"")="LEAVE",1,0)</f>
        <v/>
      </c>
      <c r="P857">
        <f>IF($N857=1,$K857,0)</f>
        <v/>
      </c>
      <c r="Q857">
        <f>IF($N857=0,"",IFERROR($L857-LOOKUP(2,1/(($B$2:$B856=$B857)*($N$2:$N856=1)),$M$2:$M856),""))</f>
        <v/>
      </c>
    </row>
    <row r="858">
      <c r="A858" t="n">
        <v>857</v>
      </c>
      <c r="B858">
        <f>Schedule!$A$125</f>
        <v/>
      </c>
      <c r="C858">
        <f>Schedule!$D$125</f>
        <v/>
      </c>
      <c r="D858">
        <f>Schedule!$F$125</f>
        <v/>
      </c>
      <c r="E858" t="n">
        <v>2</v>
      </c>
      <c r="F858">
        <f>Schedule!$I$1</f>
        <v/>
      </c>
      <c r="G858">
        <f>Schedule!$I$2</f>
        <v/>
      </c>
      <c r="H858">
        <f>Schedule!$I$125</f>
        <v/>
      </c>
      <c r="I858">
        <f>IF($N858=1,VALUE(LEFT($H858,2)),"")</f>
        <v/>
      </c>
      <c r="J858">
        <f>IF($N858=1,VALUE(MID($H858,9,2)),"")</f>
        <v/>
      </c>
      <c r="K858">
        <f>IF($N858=1,MOD($J858-$I858,24),0)</f>
        <v/>
      </c>
      <c r="L858">
        <f>IF($N858=1,$E858*24+$I858,"")</f>
        <v/>
      </c>
      <c r="M858">
        <f>IF($N858=1,$L858+$K858,"")</f>
        <v/>
      </c>
      <c r="N858">
        <f>IF(ISNUMBER(SEARCH(" - ",$H858&amp;"")),1,0)</f>
        <v/>
      </c>
      <c r="O858">
        <f>IF(UPPER($H858&amp;"")="LEAVE",1,0)</f>
        <v/>
      </c>
      <c r="P858">
        <f>IF($N858=1,$K858,0)</f>
        <v/>
      </c>
      <c r="Q858">
        <f>IF($N858=0,"",IFERROR($L858-LOOKUP(2,1/(($B$2:$B857=$B858)*($N$2:$N857=1)),$M$2:$M857),""))</f>
        <v/>
      </c>
    </row>
    <row r="859">
      <c r="A859" t="n">
        <v>858</v>
      </c>
      <c r="B859">
        <f>Schedule!$A$125</f>
        <v/>
      </c>
      <c r="C859">
        <f>Schedule!$D$125</f>
        <v/>
      </c>
      <c r="D859">
        <f>Schedule!$F$125</f>
        <v/>
      </c>
      <c r="E859" t="n">
        <v>3</v>
      </c>
      <c r="F859">
        <f>Schedule!$J$1</f>
        <v/>
      </c>
      <c r="G859">
        <f>Schedule!$J$2</f>
        <v/>
      </c>
      <c r="H859">
        <f>Schedule!$J$125</f>
        <v/>
      </c>
      <c r="I859">
        <f>IF($N859=1,VALUE(LEFT($H859,2)),"")</f>
        <v/>
      </c>
      <c r="J859">
        <f>IF($N859=1,VALUE(MID($H859,9,2)),"")</f>
        <v/>
      </c>
      <c r="K859">
        <f>IF($N859=1,MOD($J859-$I859,24),0)</f>
        <v/>
      </c>
      <c r="L859">
        <f>IF($N859=1,$E859*24+$I859,"")</f>
        <v/>
      </c>
      <c r="M859">
        <f>IF($N859=1,$L859+$K859,"")</f>
        <v/>
      </c>
      <c r="N859">
        <f>IF(ISNUMBER(SEARCH(" - ",$H859&amp;"")),1,0)</f>
        <v/>
      </c>
      <c r="O859">
        <f>IF(UPPER($H859&amp;"")="LEAVE",1,0)</f>
        <v/>
      </c>
      <c r="P859">
        <f>IF($N859=1,$K859,0)</f>
        <v/>
      </c>
      <c r="Q859">
        <f>IF($N859=0,"",IFERROR($L859-LOOKUP(2,1/(($B$2:$B858=$B859)*($N$2:$N858=1)),$M$2:$M858),""))</f>
        <v/>
      </c>
    </row>
    <row r="860">
      <c r="A860" t="n">
        <v>859</v>
      </c>
      <c r="B860">
        <f>Schedule!$A$125</f>
        <v/>
      </c>
      <c r="C860">
        <f>Schedule!$D$125</f>
        <v/>
      </c>
      <c r="D860">
        <f>Schedule!$F$125</f>
        <v/>
      </c>
      <c r="E860" t="n">
        <v>4</v>
      </c>
      <c r="F860">
        <f>Schedule!$K$1</f>
        <v/>
      </c>
      <c r="G860">
        <f>Schedule!$K$2</f>
        <v/>
      </c>
      <c r="H860">
        <f>Schedule!$K$125</f>
        <v/>
      </c>
      <c r="I860">
        <f>IF($N860=1,VALUE(LEFT($H860,2)),"")</f>
        <v/>
      </c>
      <c r="J860">
        <f>IF($N860=1,VALUE(MID($H860,9,2)),"")</f>
        <v/>
      </c>
      <c r="K860">
        <f>IF($N860=1,MOD($J860-$I860,24),0)</f>
        <v/>
      </c>
      <c r="L860">
        <f>IF($N860=1,$E860*24+$I860,"")</f>
        <v/>
      </c>
      <c r="M860">
        <f>IF($N860=1,$L860+$K860,"")</f>
        <v/>
      </c>
      <c r="N860">
        <f>IF(ISNUMBER(SEARCH(" - ",$H860&amp;"")),1,0)</f>
        <v/>
      </c>
      <c r="O860">
        <f>IF(UPPER($H860&amp;"")="LEAVE",1,0)</f>
        <v/>
      </c>
      <c r="P860">
        <f>IF($N860=1,$K860,0)</f>
        <v/>
      </c>
      <c r="Q860">
        <f>IF($N860=0,"",IFERROR($L860-LOOKUP(2,1/(($B$2:$B859=$B860)*($N$2:$N859=1)),$M$2:$M859),""))</f>
        <v/>
      </c>
    </row>
    <row r="861">
      <c r="A861" t="n">
        <v>860</v>
      </c>
      <c r="B861">
        <f>Schedule!$A$125</f>
        <v/>
      </c>
      <c r="C861">
        <f>Schedule!$D$125</f>
        <v/>
      </c>
      <c r="D861">
        <f>Schedule!$F$125</f>
        <v/>
      </c>
      <c r="E861" t="n">
        <v>5</v>
      </c>
      <c r="F861">
        <f>Schedule!$L$1</f>
        <v/>
      </c>
      <c r="G861">
        <f>Schedule!$L$2</f>
        <v/>
      </c>
      <c r="H861">
        <f>Schedule!$L$125</f>
        <v/>
      </c>
      <c r="I861">
        <f>IF($N861=1,VALUE(LEFT($H861,2)),"")</f>
        <v/>
      </c>
      <c r="J861">
        <f>IF($N861=1,VALUE(MID($H861,9,2)),"")</f>
        <v/>
      </c>
      <c r="K861">
        <f>IF($N861=1,MOD($J861-$I861,24),0)</f>
        <v/>
      </c>
      <c r="L861">
        <f>IF($N861=1,$E861*24+$I861,"")</f>
        <v/>
      </c>
      <c r="M861">
        <f>IF($N861=1,$L861+$K861,"")</f>
        <v/>
      </c>
      <c r="N861">
        <f>IF(ISNUMBER(SEARCH(" - ",$H861&amp;"")),1,0)</f>
        <v/>
      </c>
      <c r="O861">
        <f>IF(UPPER($H861&amp;"")="LEAVE",1,0)</f>
        <v/>
      </c>
      <c r="P861">
        <f>IF($N861=1,$K861,0)</f>
        <v/>
      </c>
      <c r="Q861">
        <f>IF($N861=0,"",IFERROR($L861-LOOKUP(2,1/(($B$2:$B860=$B861)*($N$2:$N860=1)),$M$2:$M860),""))</f>
        <v/>
      </c>
    </row>
    <row r="862">
      <c r="A862" t="n">
        <v>861</v>
      </c>
      <c r="B862">
        <f>Schedule!$A$125</f>
        <v/>
      </c>
      <c r="C862">
        <f>Schedule!$D$125</f>
        <v/>
      </c>
      <c r="D862">
        <f>Schedule!$F$125</f>
        <v/>
      </c>
      <c r="E862" t="n">
        <v>6</v>
      </c>
      <c r="F862">
        <f>Schedule!$M$1</f>
        <v/>
      </c>
      <c r="G862">
        <f>Schedule!$M$2</f>
        <v/>
      </c>
      <c r="H862">
        <f>Schedule!$M$125</f>
        <v/>
      </c>
      <c r="I862">
        <f>IF($N862=1,VALUE(LEFT($H862,2)),"")</f>
        <v/>
      </c>
      <c r="J862">
        <f>IF($N862=1,VALUE(MID($H862,9,2)),"")</f>
        <v/>
      </c>
      <c r="K862">
        <f>IF($N862=1,MOD($J862-$I862,24),0)</f>
        <v/>
      </c>
      <c r="L862">
        <f>IF($N862=1,$E862*24+$I862,"")</f>
        <v/>
      </c>
      <c r="M862">
        <f>IF($N862=1,$L862+$K862,"")</f>
        <v/>
      </c>
      <c r="N862">
        <f>IF(ISNUMBER(SEARCH(" - ",$H862&amp;"")),1,0)</f>
        <v/>
      </c>
      <c r="O862">
        <f>IF(UPPER($H862&amp;"")="LEAVE",1,0)</f>
        <v/>
      </c>
      <c r="P862">
        <f>IF($N862=1,$K862,0)</f>
        <v/>
      </c>
      <c r="Q862">
        <f>IF($N862=0,"",IFERROR($L862-LOOKUP(2,1/(($B$2:$B861=$B862)*($N$2:$N861=1)),$M$2:$M861),""))</f>
        <v/>
      </c>
    </row>
    <row r="863">
      <c r="A863" t="n">
        <v>862</v>
      </c>
      <c r="B863">
        <f>Schedule!$A$126</f>
        <v/>
      </c>
      <c r="C863">
        <f>Schedule!$D$126</f>
        <v/>
      </c>
      <c r="D863">
        <f>Schedule!$F$126</f>
        <v/>
      </c>
      <c r="E863" t="n">
        <v>0</v>
      </c>
      <c r="F863">
        <f>Schedule!$G$1</f>
        <v/>
      </c>
      <c r="G863">
        <f>Schedule!$G$2</f>
        <v/>
      </c>
      <c r="H863">
        <f>Schedule!$G$126</f>
        <v/>
      </c>
      <c r="I863">
        <f>IF($N863=1,VALUE(LEFT($H863,2)),"")</f>
        <v/>
      </c>
      <c r="J863">
        <f>IF($N863=1,VALUE(MID($H863,9,2)),"")</f>
        <v/>
      </c>
      <c r="K863">
        <f>IF($N863=1,MOD($J863-$I863,24),0)</f>
        <v/>
      </c>
      <c r="L863">
        <f>IF($N863=1,$E863*24+$I863,"")</f>
        <v/>
      </c>
      <c r="M863">
        <f>IF($N863=1,$L863+$K863,"")</f>
        <v/>
      </c>
      <c r="N863">
        <f>IF(ISNUMBER(SEARCH(" - ",$H863&amp;"")),1,0)</f>
        <v/>
      </c>
      <c r="O863">
        <f>IF(UPPER($H863&amp;"")="LEAVE",1,0)</f>
        <v/>
      </c>
      <c r="P863">
        <f>IF($N863=1,$K863,0)</f>
        <v/>
      </c>
      <c r="Q863">
        <f>IF($N863=0,"",IFERROR($L863-'Previous Engine'!$M$125,""))</f>
        <v/>
      </c>
    </row>
    <row r="864">
      <c r="A864" t="n">
        <v>863</v>
      </c>
      <c r="B864">
        <f>Schedule!$A$126</f>
        <v/>
      </c>
      <c r="C864">
        <f>Schedule!$D$126</f>
        <v/>
      </c>
      <c r="D864">
        <f>Schedule!$F$126</f>
        <v/>
      </c>
      <c r="E864" t="n">
        <v>1</v>
      </c>
      <c r="F864">
        <f>Schedule!$H$1</f>
        <v/>
      </c>
      <c r="G864">
        <f>Schedule!$H$2</f>
        <v/>
      </c>
      <c r="H864">
        <f>Schedule!$H$126</f>
        <v/>
      </c>
      <c r="I864">
        <f>IF($N864=1,VALUE(LEFT($H864,2)),"")</f>
        <v/>
      </c>
      <c r="J864">
        <f>IF($N864=1,VALUE(MID($H864,9,2)),"")</f>
        <v/>
      </c>
      <c r="K864">
        <f>IF($N864=1,MOD($J864-$I864,24),0)</f>
        <v/>
      </c>
      <c r="L864">
        <f>IF($N864=1,$E864*24+$I864,"")</f>
        <v/>
      </c>
      <c r="M864">
        <f>IF($N864=1,$L864+$K864,"")</f>
        <v/>
      </c>
      <c r="N864">
        <f>IF(ISNUMBER(SEARCH(" - ",$H864&amp;"")),1,0)</f>
        <v/>
      </c>
      <c r="O864">
        <f>IF(UPPER($H864&amp;"")="LEAVE",1,0)</f>
        <v/>
      </c>
      <c r="P864">
        <f>IF($N864=1,$K864,0)</f>
        <v/>
      </c>
      <c r="Q864">
        <f>IF($N864=0,"",IFERROR($L864-LOOKUP(2,1/(($B$2:$B863=$B864)*($N$2:$N863=1)),$M$2:$M863),""))</f>
        <v/>
      </c>
    </row>
    <row r="865">
      <c r="A865" t="n">
        <v>864</v>
      </c>
      <c r="B865">
        <f>Schedule!$A$126</f>
        <v/>
      </c>
      <c r="C865">
        <f>Schedule!$D$126</f>
        <v/>
      </c>
      <c r="D865">
        <f>Schedule!$F$126</f>
        <v/>
      </c>
      <c r="E865" t="n">
        <v>2</v>
      </c>
      <c r="F865">
        <f>Schedule!$I$1</f>
        <v/>
      </c>
      <c r="G865">
        <f>Schedule!$I$2</f>
        <v/>
      </c>
      <c r="H865">
        <f>Schedule!$I$126</f>
        <v/>
      </c>
      <c r="I865">
        <f>IF($N865=1,VALUE(LEFT($H865,2)),"")</f>
        <v/>
      </c>
      <c r="J865">
        <f>IF($N865=1,VALUE(MID($H865,9,2)),"")</f>
        <v/>
      </c>
      <c r="K865">
        <f>IF($N865=1,MOD($J865-$I865,24),0)</f>
        <v/>
      </c>
      <c r="L865">
        <f>IF($N865=1,$E865*24+$I865,"")</f>
        <v/>
      </c>
      <c r="M865">
        <f>IF($N865=1,$L865+$K865,"")</f>
        <v/>
      </c>
      <c r="N865">
        <f>IF(ISNUMBER(SEARCH(" - ",$H865&amp;"")),1,0)</f>
        <v/>
      </c>
      <c r="O865">
        <f>IF(UPPER($H865&amp;"")="LEAVE",1,0)</f>
        <v/>
      </c>
      <c r="P865">
        <f>IF($N865=1,$K865,0)</f>
        <v/>
      </c>
      <c r="Q865">
        <f>IF($N865=0,"",IFERROR($L865-LOOKUP(2,1/(($B$2:$B864=$B865)*($N$2:$N864=1)),$M$2:$M864),""))</f>
        <v/>
      </c>
    </row>
    <row r="866">
      <c r="A866" t="n">
        <v>865</v>
      </c>
      <c r="B866">
        <f>Schedule!$A$126</f>
        <v/>
      </c>
      <c r="C866">
        <f>Schedule!$D$126</f>
        <v/>
      </c>
      <c r="D866">
        <f>Schedule!$F$126</f>
        <v/>
      </c>
      <c r="E866" t="n">
        <v>3</v>
      </c>
      <c r="F866">
        <f>Schedule!$J$1</f>
        <v/>
      </c>
      <c r="G866">
        <f>Schedule!$J$2</f>
        <v/>
      </c>
      <c r="H866">
        <f>Schedule!$J$126</f>
        <v/>
      </c>
      <c r="I866">
        <f>IF($N866=1,VALUE(LEFT($H866,2)),"")</f>
        <v/>
      </c>
      <c r="J866">
        <f>IF($N866=1,VALUE(MID($H866,9,2)),"")</f>
        <v/>
      </c>
      <c r="K866">
        <f>IF($N866=1,MOD($J866-$I866,24),0)</f>
        <v/>
      </c>
      <c r="L866">
        <f>IF($N866=1,$E866*24+$I866,"")</f>
        <v/>
      </c>
      <c r="M866">
        <f>IF($N866=1,$L866+$K866,"")</f>
        <v/>
      </c>
      <c r="N866">
        <f>IF(ISNUMBER(SEARCH(" - ",$H866&amp;"")),1,0)</f>
        <v/>
      </c>
      <c r="O866">
        <f>IF(UPPER($H866&amp;"")="LEAVE",1,0)</f>
        <v/>
      </c>
      <c r="P866">
        <f>IF($N866=1,$K866,0)</f>
        <v/>
      </c>
      <c r="Q866">
        <f>IF($N866=0,"",IFERROR($L866-LOOKUP(2,1/(($B$2:$B865=$B866)*($N$2:$N865=1)),$M$2:$M865),""))</f>
        <v/>
      </c>
    </row>
    <row r="867">
      <c r="A867" t="n">
        <v>866</v>
      </c>
      <c r="B867">
        <f>Schedule!$A$126</f>
        <v/>
      </c>
      <c r="C867">
        <f>Schedule!$D$126</f>
        <v/>
      </c>
      <c r="D867">
        <f>Schedule!$F$126</f>
        <v/>
      </c>
      <c r="E867" t="n">
        <v>4</v>
      </c>
      <c r="F867">
        <f>Schedule!$K$1</f>
        <v/>
      </c>
      <c r="G867">
        <f>Schedule!$K$2</f>
        <v/>
      </c>
      <c r="H867">
        <f>Schedule!$K$126</f>
        <v/>
      </c>
      <c r="I867">
        <f>IF($N867=1,VALUE(LEFT($H867,2)),"")</f>
        <v/>
      </c>
      <c r="J867">
        <f>IF($N867=1,VALUE(MID($H867,9,2)),"")</f>
        <v/>
      </c>
      <c r="K867">
        <f>IF($N867=1,MOD($J867-$I867,24),0)</f>
        <v/>
      </c>
      <c r="L867">
        <f>IF($N867=1,$E867*24+$I867,"")</f>
        <v/>
      </c>
      <c r="M867">
        <f>IF($N867=1,$L867+$K867,"")</f>
        <v/>
      </c>
      <c r="N867">
        <f>IF(ISNUMBER(SEARCH(" - ",$H867&amp;"")),1,0)</f>
        <v/>
      </c>
      <c r="O867">
        <f>IF(UPPER($H867&amp;"")="LEAVE",1,0)</f>
        <v/>
      </c>
      <c r="P867">
        <f>IF($N867=1,$K867,0)</f>
        <v/>
      </c>
      <c r="Q867">
        <f>IF($N867=0,"",IFERROR($L867-LOOKUP(2,1/(($B$2:$B866=$B867)*($N$2:$N866=1)),$M$2:$M866),""))</f>
        <v/>
      </c>
    </row>
    <row r="868">
      <c r="A868" t="n">
        <v>867</v>
      </c>
      <c r="B868">
        <f>Schedule!$A$126</f>
        <v/>
      </c>
      <c r="C868">
        <f>Schedule!$D$126</f>
        <v/>
      </c>
      <c r="D868">
        <f>Schedule!$F$126</f>
        <v/>
      </c>
      <c r="E868" t="n">
        <v>5</v>
      </c>
      <c r="F868">
        <f>Schedule!$L$1</f>
        <v/>
      </c>
      <c r="G868">
        <f>Schedule!$L$2</f>
        <v/>
      </c>
      <c r="H868">
        <f>Schedule!$L$126</f>
        <v/>
      </c>
      <c r="I868">
        <f>IF($N868=1,VALUE(LEFT($H868,2)),"")</f>
        <v/>
      </c>
      <c r="J868">
        <f>IF($N868=1,VALUE(MID($H868,9,2)),"")</f>
        <v/>
      </c>
      <c r="K868">
        <f>IF($N868=1,MOD($J868-$I868,24),0)</f>
        <v/>
      </c>
      <c r="L868">
        <f>IF($N868=1,$E868*24+$I868,"")</f>
        <v/>
      </c>
      <c r="M868">
        <f>IF($N868=1,$L868+$K868,"")</f>
        <v/>
      </c>
      <c r="N868">
        <f>IF(ISNUMBER(SEARCH(" - ",$H868&amp;"")),1,0)</f>
        <v/>
      </c>
      <c r="O868">
        <f>IF(UPPER($H868&amp;"")="LEAVE",1,0)</f>
        <v/>
      </c>
      <c r="P868">
        <f>IF($N868=1,$K868,0)</f>
        <v/>
      </c>
      <c r="Q868">
        <f>IF($N868=0,"",IFERROR($L868-LOOKUP(2,1/(($B$2:$B867=$B868)*($N$2:$N867=1)),$M$2:$M867),""))</f>
        <v/>
      </c>
    </row>
    <row r="869">
      <c r="A869" t="n">
        <v>868</v>
      </c>
      <c r="B869">
        <f>Schedule!$A$126</f>
        <v/>
      </c>
      <c r="C869">
        <f>Schedule!$D$126</f>
        <v/>
      </c>
      <c r="D869">
        <f>Schedule!$F$126</f>
        <v/>
      </c>
      <c r="E869" t="n">
        <v>6</v>
      </c>
      <c r="F869">
        <f>Schedule!$M$1</f>
        <v/>
      </c>
      <c r="G869">
        <f>Schedule!$M$2</f>
        <v/>
      </c>
      <c r="H869">
        <f>Schedule!$M$126</f>
        <v/>
      </c>
      <c r="I869">
        <f>IF($N869=1,VALUE(LEFT($H869,2)),"")</f>
        <v/>
      </c>
      <c r="J869">
        <f>IF($N869=1,VALUE(MID($H869,9,2)),"")</f>
        <v/>
      </c>
      <c r="K869">
        <f>IF($N869=1,MOD($J869-$I869,24),0)</f>
        <v/>
      </c>
      <c r="L869">
        <f>IF($N869=1,$E869*24+$I869,"")</f>
        <v/>
      </c>
      <c r="M869">
        <f>IF($N869=1,$L869+$K869,"")</f>
        <v/>
      </c>
      <c r="N869">
        <f>IF(ISNUMBER(SEARCH(" - ",$H869&amp;"")),1,0)</f>
        <v/>
      </c>
      <c r="O869">
        <f>IF(UPPER($H869&amp;"")="LEAVE",1,0)</f>
        <v/>
      </c>
      <c r="P869">
        <f>IF($N869=1,$K869,0)</f>
        <v/>
      </c>
      <c r="Q869">
        <f>IF($N869=0,"",IFERROR($L869-LOOKUP(2,1/(($B$2:$B868=$B869)*($N$2:$N868=1)),$M$2:$M868),""))</f>
        <v/>
      </c>
    </row>
    <row r="870">
      <c r="A870" t="n">
        <v>869</v>
      </c>
      <c r="B870">
        <f>Schedule!$A$127</f>
        <v/>
      </c>
      <c r="C870">
        <f>Schedule!$D$127</f>
        <v/>
      </c>
      <c r="D870">
        <f>Schedule!$F$127</f>
        <v/>
      </c>
      <c r="E870" t="n">
        <v>0</v>
      </c>
      <c r="F870">
        <f>Schedule!$G$1</f>
        <v/>
      </c>
      <c r="G870">
        <f>Schedule!$G$2</f>
        <v/>
      </c>
      <c r="H870">
        <f>Schedule!$G$127</f>
        <v/>
      </c>
      <c r="I870">
        <f>IF($N870=1,VALUE(LEFT($H870,2)),"")</f>
        <v/>
      </c>
      <c r="J870">
        <f>IF($N870=1,VALUE(MID($H870,9,2)),"")</f>
        <v/>
      </c>
      <c r="K870">
        <f>IF($N870=1,MOD($J870-$I870,24),0)</f>
        <v/>
      </c>
      <c r="L870">
        <f>IF($N870=1,$E870*24+$I870,"")</f>
        <v/>
      </c>
      <c r="M870">
        <f>IF($N870=1,$L870+$K870,"")</f>
        <v/>
      </c>
      <c r="N870">
        <f>IF(ISNUMBER(SEARCH(" - ",$H870&amp;"")),1,0)</f>
        <v/>
      </c>
      <c r="O870">
        <f>IF(UPPER($H870&amp;"")="LEAVE",1,0)</f>
        <v/>
      </c>
      <c r="P870">
        <f>IF($N870=1,$K870,0)</f>
        <v/>
      </c>
      <c r="Q870">
        <f>IF($N870=0,"",IFERROR($L870-'Previous Engine'!$M$126,""))</f>
        <v/>
      </c>
    </row>
    <row r="871">
      <c r="A871" t="n">
        <v>870</v>
      </c>
      <c r="B871">
        <f>Schedule!$A$127</f>
        <v/>
      </c>
      <c r="C871">
        <f>Schedule!$D$127</f>
        <v/>
      </c>
      <c r="D871">
        <f>Schedule!$F$127</f>
        <v/>
      </c>
      <c r="E871" t="n">
        <v>1</v>
      </c>
      <c r="F871">
        <f>Schedule!$H$1</f>
        <v/>
      </c>
      <c r="G871">
        <f>Schedule!$H$2</f>
        <v/>
      </c>
      <c r="H871">
        <f>Schedule!$H$127</f>
        <v/>
      </c>
      <c r="I871">
        <f>IF($N871=1,VALUE(LEFT($H871,2)),"")</f>
        <v/>
      </c>
      <c r="J871">
        <f>IF($N871=1,VALUE(MID($H871,9,2)),"")</f>
        <v/>
      </c>
      <c r="K871">
        <f>IF($N871=1,MOD($J871-$I871,24),0)</f>
        <v/>
      </c>
      <c r="L871">
        <f>IF($N871=1,$E871*24+$I871,"")</f>
        <v/>
      </c>
      <c r="M871">
        <f>IF($N871=1,$L871+$K871,"")</f>
        <v/>
      </c>
      <c r="N871">
        <f>IF(ISNUMBER(SEARCH(" - ",$H871&amp;"")),1,0)</f>
        <v/>
      </c>
      <c r="O871">
        <f>IF(UPPER($H871&amp;"")="LEAVE",1,0)</f>
        <v/>
      </c>
      <c r="P871">
        <f>IF($N871=1,$K871,0)</f>
        <v/>
      </c>
      <c r="Q871">
        <f>IF($N871=0,"",IFERROR($L871-LOOKUP(2,1/(($B$2:$B870=$B871)*($N$2:$N870=1)),$M$2:$M870),""))</f>
        <v/>
      </c>
    </row>
    <row r="872">
      <c r="A872" t="n">
        <v>871</v>
      </c>
      <c r="B872">
        <f>Schedule!$A$127</f>
        <v/>
      </c>
      <c r="C872">
        <f>Schedule!$D$127</f>
        <v/>
      </c>
      <c r="D872">
        <f>Schedule!$F$127</f>
        <v/>
      </c>
      <c r="E872" t="n">
        <v>2</v>
      </c>
      <c r="F872">
        <f>Schedule!$I$1</f>
        <v/>
      </c>
      <c r="G872">
        <f>Schedule!$I$2</f>
        <v/>
      </c>
      <c r="H872">
        <f>Schedule!$I$127</f>
        <v/>
      </c>
      <c r="I872">
        <f>IF($N872=1,VALUE(LEFT($H872,2)),"")</f>
        <v/>
      </c>
      <c r="J872">
        <f>IF($N872=1,VALUE(MID($H872,9,2)),"")</f>
        <v/>
      </c>
      <c r="K872">
        <f>IF($N872=1,MOD($J872-$I872,24),0)</f>
        <v/>
      </c>
      <c r="L872">
        <f>IF($N872=1,$E872*24+$I872,"")</f>
        <v/>
      </c>
      <c r="M872">
        <f>IF($N872=1,$L872+$K872,"")</f>
        <v/>
      </c>
      <c r="N872">
        <f>IF(ISNUMBER(SEARCH(" - ",$H872&amp;"")),1,0)</f>
        <v/>
      </c>
      <c r="O872">
        <f>IF(UPPER($H872&amp;"")="LEAVE",1,0)</f>
        <v/>
      </c>
      <c r="P872">
        <f>IF($N872=1,$K872,0)</f>
        <v/>
      </c>
      <c r="Q872">
        <f>IF($N872=0,"",IFERROR($L872-LOOKUP(2,1/(($B$2:$B871=$B872)*($N$2:$N871=1)),$M$2:$M871),""))</f>
        <v/>
      </c>
    </row>
    <row r="873">
      <c r="A873" t="n">
        <v>872</v>
      </c>
      <c r="B873">
        <f>Schedule!$A$127</f>
        <v/>
      </c>
      <c r="C873">
        <f>Schedule!$D$127</f>
        <v/>
      </c>
      <c r="D873">
        <f>Schedule!$F$127</f>
        <v/>
      </c>
      <c r="E873" t="n">
        <v>3</v>
      </c>
      <c r="F873">
        <f>Schedule!$J$1</f>
        <v/>
      </c>
      <c r="G873">
        <f>Schedule!$J$2</f>
        <v/>
      </c>
      <c r="H873">
        <f>Schedule!$J$127</f>
        <v/>
      </c>
      <c r="I873">
        <f>IF($N873=1,VALUE(LEFT($H873,2)),"")</f>
        <v/>
      </c>
      <c r="J873">
        <f>IF($N873=1,VALUE(MID($H873,9,2)),"")</f>
        <v/>
      </c>
      <c r="K873">
        <f>IF($N873=1,MOD($J873-$I873,24),0)</f>
        <v/>
      </c>
      <c r="L873">
        <f>IF($N873=1,$E873*24+$I873,"")</f>
        <v/>
      </c>
      <c r="M873">
        <f>IF($N873=1,$L873+$K873,"")</f>
        <v/>
      </c>
      <c r="N873">
        <f>IF(ISNUMBER(SEARCH(" - ",$H873&amp;"")),1,0)</f>
        <v/>
      </c>
      <c r="O873">
        <f>IF(UPPER($H873&amp;"")="LEAVE",1,0)</f>
        <v/>
      </c>
      <c r="P873">
        <f>IF($N873=1,$K873,0)</f>
        <v/>
      </c>
      <c r="Q873">
        <f>IF($N873=0,"",IFERROR($L873-LOOKUP(2,1/(($B$2:$B872=$B873)*($N$2:$N872=1)),$M$2:$M872),""))</f>
        <v/>
      </c>
    </row>
    <row r="874">
      <c r="A874" t="n">
        <v>873</v>
      </c>
      <c r="B874">
        <f>Schedule!$A$127</f>
        <v/>
      </c>
      <c r="C874">
        <f>Schedule!$D$127</f>
        <v/>
      </c>
      <c r="D874">
        <f>Schedule!$F$127</f>
        <v/>
      </c>
      <c r="E874" t="n">
        <v>4</v>
      </c>
      <c r="F874">
        <f>Schedule!$K$1</f>
        <v/>
      </c>
      <c r="G874">
        <f>Schedule!$K$2</f>
        <v/>
      </c>
      <c r="H874">
        <f>Schedule!$K$127</f>
        <v/>
      </c>
      <c r="I874">
        <f>IF($N874=1,VALUE(LEFT($H874,2)),"")</f>
        <v/>
      </c>
      <c r="J874">
        <f>IF($N874=1,VALUE(MID($H874,9,2)),"")</f>
        <v/>
      </c>
      <c r="K874">
        <f>IF($N874=1,MOD($J874-$I874,24),0)</f>
        <v/>
      </c>
      <c r="L874">
        <f>IF($N874=1,$E874*24+$I874,"")</f>
        <v/>
      </c>
      <c r="M874">
        <f>IF($N874=1,$L874+$K874,"")</f>
        <v/>
      </c>
      <c r="N874">
        <f>IF(ISNUMBER(SEARCH(" - ",$H874&amp;"")),1,0)</f>
        <v/>
      </c>
      <c r="O874">
        <f>IF(UPPER($H874&amp;"")="LEAVE",1,0)</f>
        <v/>
      </c>
      <c r="P874">
        <f>IF($N874=1,$K874,0)</f>
        <v/>
      </c>
      <c r="Q874">
        <f>IF($N874=0,"",IFERROR($L874-LOOKUP(2,1/(($B$2:$B873=$B874)*($N$2:$N873=1)),$M$2:$M873),""))</f>
        <v/>
      </c>
    </row>
    <row r="875">
      <c r="A875" t="n">
        <v>874</v>
      </c>
      <c r="B875">
        <f>Schedule!$A$127</f>
        <v/>
      </c>
      <c r="C875">
        <f>Schedule!$D$127</f>
        <v/>
      </c>
      <c r="D875">
        <f>Schedule!$F$127</f>
        <v/>
      </c>
      <c r="E875" t="n">
        <v>5</v>
      </c>
      <c r="F875">
        <f>Schedule!$L$1</f>
        <v/>
      </c>
      <c r="G875">
        <f>Schedule!$L$2</f>
        <v/>
      </c>
      <c r="H875">
        <f>Schedule!$L$127</f>
        <v/>
      </c>
      <c r="I875">
        <f>IF($N875=1,VALUE(LEFT($H875,2)),"")</f>
        <v/>
      </c>
      <c r="J875">
        <f>IF($N875=1,VALUE(MID($H875,9,2)),"")</f>
        <v/>
      </c>
      <c r="K875">
        <f>IF($N875=1,MOD($J875-$I875,24),0)</f>
        <v/>
      </c>
      <c r="L875">
        <f>IF($N875=1,$E875*24+$I875,"")</f>
        <v/>
      </c>
      <c r="M875">
        <f>IF($N875=1,$L875+$K875,"")</f>
        <v/>
      </c>
      <c r="N875">
        <f>IF(ISNUMBER(SEARCH(" - ",$H875&amp;"")),1,0)</f>
        <v/>
      </c>
      <c r="O875">
        <f>IF(UPPER($H875&amp;"")="LEAVE",1,0)</f>
        <v/>
      </c>
      <c r="P875">
        <f>IF($N875=1,$K875,0)</f>
        <v/>
      </c>
      <c r="Q875">
        <f>IF($N875=0,"",IFERROR($L875-LOOKUP(2,1/(($B$2:$B874=$B875)*($N$2:$N874=1)),$M$2:$M874),""))</f>
        <v/>
      </c>
    </row>
    <row r="876">
      <c r="A876" t="n">
        <v>875</v>
      </c>
      <c r="B876">
        <f>Schedule!$A$127</f>
        <v/>
      </c>
      <c r="C876">
        <f>Schedule!$D$127</f>
        <v/>
      </c>
      <c r="D876">
        <f>Schedule!$F$127</f>
        <v/>
      </c>
      <c r="E876" t="n">
        <v>6</v>
      </c>
      <c r="F876">
        <f>Schedule!$M$1</f>
        <v/>
      </c>
      <c r="G876">
        <f>Schedule!$M$2</f>
        <v/>
      </c>
      <c r="H876">
        <f>Schedule!$M$127</f>
        <v/>
      </c>
      <c r="I876">
        <f>IF($N876=1,VALUE(LEFT($H876,2)),"")</f>
        <v/>
      </c>
      <c r="J876">
        <f>IF($N876=1,VALUE(MID($H876,9,2)),"")</f>
        <v/>
      </c>
      <c r="K876">
        <f>IF($N876=1,MOD($J876-$I876,24),0)</f>
        <v/>
      </c>
      <c r="L876">
        <f>IF($N876=1,$E876*24+$I876,"")</f>
        <v/>
      </c>
      <c r="M876">
        <f>IF($N876=1,$L876+$K876,"")</f>
        <v/>
      </c>
      <c r="N876">
        <f>IF(ISNUMBER(SEARCH(" - ",$H876&amp;"")),1,0)</f>
        <v/>
      </c>
      <c r="O876">
        <f>IF(UPPER($H876&amp;"")="LEAVE",1,0)</f>
        <v/>
      </c>
      <c r="P876">
        <f>IF($N876=1,$K876,0)</f>
        <v/>
      </c>
      <c r="Q876">
        <f>IF($N876=0,"",IFERROR($L876-LOOKUP(2,1/(($B$2:$B875=$B876)*($N$2:$N875=1)),$M$2:$M875),""))</f>
        <v/>
      </c>
    </row>
    <row r="877">
      <c r="A877" t="n">
        <v>876</v>
      </c>
      <c r="B877">
        <f>Schedule!$A$128</f>
        <v/>
      </c>
      <c r="C877">
        <f>Schedule!$D$128</f>
        <v/>
      </c>
      <c r="D877">
        <f>Schedule!$F$128</f>
        <v/>
      </c>
      <c r="E877" t="n">
        <v>0</v>
      </c>
      <c r="F877">
        <f>Schedule!$G$1</f>
        <v/>
      </c>
      <c r="G877">
        <f>Schedule!$G$2</f>
        <v/>
      </c>
      <c r="H877">
        <f>Schedule!$G$128</f>
        <v/>
      </c>
      <c r="I877">
        <f>IF($N877=1,VALUE(LEFT($H877,2)),"")</f>
        <v/>
      </c>
      <c r="J877">
        <f>IF($N877=1,VALUE(MID($H877,9,2)),"")</f>
        <v/>
      </c>
      <c r="K877">
        <f>IF($N877=1,MOD($J877-$I877,24),0)</f>
        <v/>
      </c>
      <c r="L877">
        <f>IF($N877=1,$E877*24+$I877,"")</f>
        <v/>
      </c>
      <c r="M877">
        <f>IF($N877=1,$L877+$K877,"")</f>
        <v/>
      </c>
      <c r="N877">
        <f>IF(ISNUMBER(SEARCH(" - ",$H877&amp;"")),1,0)</f>
        <v/>
      </c>
      <c r="O877">
        <f>IF(UPPER($H877&amp;"")="LEAVE",1,0)</f>
        <v/>
      </c>
      <c r="P877">
        <f>IF($N877=1,$K877,0)</f>
        <v/>
      </c>
      <c r="Q877">
        <f>IF($N877=0,"",IFERROR($L877-'Previous Engine'!$M$127,""))</f>
        <v/>
      </c>
    </row>
    <row r="878">
      <c r="A878" t="n">
        <v>877</v>
      </c>
      <c r="B878">
        <f>Schedule!$A$128</f>
        <v/>
      </c>
      <c r="C878">
        <f>Schedule!$D$128</f>
        <v/>
      </c>
      <c r="D878">
        <f>Schedule!$F$128</f>
        <v/>
      </c>
      <c r="E878" t="n">
        <v>1</v>
      </c>
      <c r="F878">
        <f>Schedule!$H$1</f>
        <v/>
      </c>
      <c r="G878">
        <f>Schedule!$H$2</f>
        <v/>
      </c>
      <c r="H878">
        <f>Schedule!$H$128</f>
        <v/>
      </c>
      <c r="I878">
        <f>IF($N878=1,VALUE(LEFT($H878,2)),"")</f>
        <v/>
      </c>
      <c r="J878">
        <f>IF($N878=1,VALUE(MID($H878,9,2)),"")</f>
        <v/>
      </c>
      <c r="K878">
        <f>IF($N878=1,MOD($J878-$I878,24),0)</f>
        <v/>
      </c>
      <c r="L878">
        <f>IF($N878=1,$E878*24+$I878,"")</f>
        <v/>
      </c>
      <c r="M878">
        <f>IF($N878=1,$L878+$K878,"")</f>
        <v/>
      </c>
      <c r="N878">
        <f>IF(ISNUMBER(SEARCH(" - ",$H878&amp;"")),1,0)</f>
        <v/>
      </c>
      <c r="O878">
        <f>IF(UPPER($H878&amp;"")="LEAVE",1,0)</f>
        <v/>
      </c>
      <c r="P878">
        <f>IF($N878=1,$K878,0)</f>
        <v/>
      </c>
      <c r="Q878">
        <f>IF($N878=0,"",IFERROR($L878-LOOKUP(2,1/(($B$2:$B877=$B878)*($N$2:$N877=1)),$M$2:$M877),""))</f>
        <v/>
      </c>
    </row>
    <row r="879">
      <c r="A879" t="n">
        <v>878</v>
      </c>
      <c r="B879">
        <f>Schedule!$A$128</f>
        <v/>
      </c>
      <c r="C879">
        <f>Schedule!$D$128</f>
        <v/>
      </c>
      <c r="D879">
        <f>Schedule!$F$128</f>
        <v/>
      </c>
      <c r="E879" t="n">
        <v>2</v>
      </c>
      <c r="F879">
        <f>Schedule!$I$1</f>
        <v/>
      </c>
      <c r="G879">
        <f>Schedule!$I$2</f>
        <v/>
      </c>
      <c r="H879">
        <f>Schedule!$I$128</f>
        <v/>
      </c>
      <c r="I879">
        <f>IF($N879=1,VALUE(LEFT($H879,2)),"")</f>
        <v/>
      </c>
      <c r="J879">
        <f>IF($N879=1,VALUE(MID($H879,9,2)),"")</f>
        <v/>
      </c>
      <c r="K879">
        <f>IF($N879=1,MOD($J879-$I879,24),0)</f>
        <v/>
      </c>
      <c r="L879">
        <f>IF($N879=1,$E879*24+$I879,"")</f>
        <v/>
      </c>
      <c r="M879">
        <f>IF($N879=1,$L879+$K879,"")</f>
        <v/>
      </c>
      <c r="N879">
        <f>IF(ISNUMBER(SEARCH(" - ",$H879&amp;"")),1,0)</f>
        <v/>
      </c>
      <c r="O879">
        <f>IF(UPPER($H879&amp;"")="LEAVE",1,0)</f>
        <v/>
      </c>
      <c r="P879">
        <f>IF($N879=1,$K879,0)</f>
        <v/>
      </c>
      <c r="Q879">
        <f>IF($N879=0,"",IFERROR($L879-LOOKUP(2,1/(($B$2:$B878=$B879)*($N$2:$N878=1)),$M$2:$M878),""))</f>
        <v/>
      </c>
    </row>
    <row r="880">
      <c r="A880" t="n">
        <v>879</v>
      </c>
      <c r="B880">
        <f>Schedule!$A$128</f>
        <v/>
      </c>
      <c r="C880">
        <f>Schedule!$D$128</f>
        <v/>
      </c>
      <c r="D880">
        <f>Schedule!$F$128</f>
        <v/>
      </c>
      <c r="E880" t="n">
        <v>3</v>
      </c>
      <c r="F880">
        <f>Schedule!$J$1</f>
        <v/>
      </c>
      <c r="G880">
        <f>Schedule!$J$2</f>
        <v/>
      </c>
      <c r="H880">
        <f>Schedule!$J$128</f>
        <v/>
      </c>
      <c r="I880">
        <f>IF($N880=1,VALUE(LEFT($H880,2)),"")</f>
        <v/>
      </c>
      <c r="J880">
        <f>IF($N880=1,VALUE(MID($H880,9,2)),"")</f>
        <v/>
      </c>
      <c r="K880">
        <f>IF($N880=1,MOD($J880-$I880,24),0)</f>
        <v/>
      </c>
      <c r="L880">
        <f>IF($N880=1,$E880*24+$I880,"")</f>
        <v/>
      </c>
      <c r="M880">
        <f>IF($N880=1,$L880+$K880,"")</f>
        <v/>
      </c>
      <c r="N880">
        <f>IF(ISNUMBER(SEARCH(" - ",$H880&amp;"")),1,0)</f>
        <v/>
      </c>
      <c r="O880">
        <f>IF(UPPER($H880&amp;"")="LEAVE",1,0)</f>
        <v/>
      </c>
      <c r="P880">
        <f>IF($N880=1,$K880,0)</f>
        <v/>
      </c>
      <c r="Q880">
        <f>IF($N880=0,"",IFERROR($L880-LOOKUP(2,1/(($B$2:$B879=$B880)*($N$2:$N879=1)),$M$2:$M879),""))</f>
        <v/>
      </c>
    </row>
    <row r="881">
      <c r="A881" t="n">
        <v>880</v>
      </c>
      <c r="B881">
        <f>Schedule!$A$128</f>
        <v/>
      </c>
      <c r="C881">
        <f>Schedule!$D$128</f>
        <v/>
      </c>
      <c r="D881">
        <f>Schedule!$F$128</f>
        <v/>
      </c>
      <c r="E881" t="n">
        <v>4</v>
      </c>
      <c r="F881">
        <f>Schedule!$K$1</f>
        <v/>
      </c>
      <c r="G881">
        <f>Schedule!$K$2</f>
        <v/>
      </c>
      <c r="H881">
        <f>Schedule!$K$128</f>
        <v/>
      </c>
      <c r="I881">
        <f>IF($N881=1,VALUE(LEFT($H881,2)),"")</f>
        <v/>
      </c>
      <c r="J881">
        <f>IF($N881=1,VALUE(MID($H881,9,2)),"")</f>
        <v/>
      </c>
      <c r="K881">
        <f>IF($N881=1,MOD($J881-$I881,24),0)</f>
        <v/>
      </c>
      <c r="L881">
        <f>IF($N881=1,$E881*24+$I881,"")</f>
        <v/>
      </c>
      <c r="M881">
        <f>IF($N881=1,$L881+$K881,"")</f>
        <v/>
      </c>
      <c r="N881">
        <f>IF(ISNUMBER(SEARCH(" - ",$H881&amp;"")),1,0)</f>
        <v/>
      </c>
      <c r="O881">
        <f>IF(UPPER($H881&amp;"")="LEAVE",1,0)</f>
        <v/>
      </c>
      <c r="P881">
        <f>IF($N881=1,$K881,0)</f>
        <v/>
      </c>
      <c r="Q881">
        <f>IF($N881=0,"",IFERROR($L881-LOOKUP(2,1/(($B$2:$B880=$B881)*($N$2:$N880=1)),$M$2:$M880),""))</f>
        <v/>
      </c>
    </row>
    <row r="882">
      <c r="A882" t="n">
        <v>881</v>
      </c>
      <c r="B882">
        <f>Schedule!$A$128</f>
        <v/>
      </c>
      <c r="C882">
        <f>Schedule!$D$128</f>
        <v/>
      </c>
      <c r="D882">
        <f>Schedule!$F$128</f>
        <v/>
      </c>
      <c r="E882" t="n">
        <v>5</v>
      </c>
      <c r="F882">
        <f>Schedule!$L$1</f>
        <v/>
      </c>
      <c r="G882">
        <f>Schedule!$L$2</f>
        <v/>
      </c>
      <c r="H882">
        <f>Schedule!$L$128</f>
        <v/>
      </c>
      <c r="I882">
        <f>IF($N882=1,VALUE(LEFT($H882,2)),"")</f>
        <v/>
      </c>
      <c r="J882">
        <f>IF($N882=1,VALUE(MID($H882,9,2)),"")</f>
        <v/>
      </c>
      <c r="K882">
        <f>IF($N882=1,MOD($J882-$I882,24),0)</f>
        <v/>
      </c>
      <c r="L882">
        <f>IF($N882=1,$E882*24+$I882,"")</f>
        <v/>
      </c>
      <c r="M882">
        <f>IF($N882=1,$L882+$K882,"")</f>
        <v/>
      </c>
      <c r="N882">
        <f>IF(ISNUMBER(SEARCH(" - ",$H882&amp;"")),1,0)</f>
        <v/>
      </c>
      <c r="O882">
        <f>IF(UPPER($H882&amp;"")="LEAVE",1,0)</f>
        <v/>
      </c>
      <c r="P882">
        <f>IF($N882=1,$K882,0)</f>
        <v/>
      </c>
      <c r="Q882">
        <f>IF($N882=0,"",IFERROR($L882-LOOKUP(2,1/(($B$2:$B881=$B882)*($N$2:$N881=1)),$M$2:$M881),""))</f>
        <v/>
      </c>
    </row>
    <row r="883">
      <c r="A883" t="n">
        <v>882</v>
      </c>
      <c r="B883">
        <f>Schedule!$A$128</f>
        <v/>
      </c>
      <c r="C883">
        <f>Schedule!$D$128</f>
        <v/>
      </c>
      <c r="D883">
        <f>Schedule!$F$128</f>
        <v/>
      </c>
      <c r="E883" t="n">
        <v>6</v>
      </c>
      <c r="F883">
        <f>Schedule!$M$1</f>
        <v/>
      </c>
      <c r="G883">
        <f>Schedule!$M$2</f>
        <v/>
      </c>
      <c r="H883">
        <f>Schedule!$M$128</f>
        <v/>
      </c>
      <c r="I883">
        <f>IF($N883=1,VALUE(LEFT($H883,2)),"")</f>
        <v/>
      </c>
      <c r="J883">
        <f>IF($N883=1,VALUE(MID($H883,9,2)),"")</f>
        <v/>
      </c>
      <c r="K883">
        <f>IF($N883=1,MOD($J883-$I883,24),0)</f>
        <v/>
      </c>
      <c r="L883">
        <f>IF($N883=1,$E883*24+$I883,"")</f>
        <v/>
      </c>
      <c r="M883">
        <f>IF($N883=1,$L883+$K883,"")</f>
        <v/>
      </c>
      <c r="N883">
        <f>IF(ISNUMBER(SEARCH(" - ",$H883&amp;"")),1,0)</f>
        <v/>
      </c>
      <c r="O883">
        <f>IF(UPPER($H883&amp;"")="LEAVE",1,0)</f>
        <v/>
      </c>
      <c r="P883">
        <f>IF($N883=1,$K883,0)</f>
        <v/>
      </c>
      <c r="Q883">
        <f>IF($N883=0,"",IFERROR($L883-LOOKUP(2,1/(($B$2:$B882=$B883)*($N$2:$N882=1)),$M$2:$M882),""))</f>
        <v/>
      </c>
    </row>
    <row r="884">
      <c r="A884" t="n">
        <v>883</v>
      </c>
      <c r="B884">
        <f>Schedule!$A$129</f>
        <v/>
      </c>
      <c r="C884">
        <f>Schedule!$D$129</f>
        <v/>
      </c>
      <c r="D884">
        <f>Schedule!$F$129</f>
        <v/>
      </c>
      <c r="E884" t="n">
        <v>0</v>
      </c>
      <c r="F884">
        <f>Schedule!$G$1</f>
        <v/>
      </c>
      <c r="G884">
        <f>Schedule!$G$2</f>
        <v/>
      </c>
      <c r="H884">
        <f>Schedule!$G$129</f>
        <v/>
      </c>
      <c r="I884">
        <f>IF($N884=1,VALUE(LEFT($H884,2)),"")</f>
        <v/>
      </c>
      <c r="J884">
        <f>IF($N884=1,VALUE(MID($H884,9,2)),"")</f>
        <v/>
      </c>
      <c r="K884">
        <f>IF($N884=1,MOD($J884-$I884,24),0)</f>
        <v/>
      </c>
      <c r="L884">
        <f>IF($N884=1,$E884*24+$I884,"")</f>
        <v/>
      </c>
      <c r="M884">
        <f>IF($N884=1,$L884+$K884,"")</f>
        <v/>
      </c>
      <c r="N884">
        <f>IF(ISNUMBER(SEARCH(" - ",$H884&amp;"")),1,0)</f>
        <v/>
      </c>
      <c r="O884">
        <f>IF(UPPER($H884&amp;"")="LEAVE",1,0)</f>
        <v/>
      </c>
      <c r="P884">
        <f>IF($N884=1,$K884,0)</f>
        <v/>
      </c>
      <c r="Q884">
        <f>IF($N884=0,"",IFERROR($L884-'Previous Engine'!$M$128,""))</f>
        <v/>
      </c>
    </row>
    <row r="885">
      <c r="A885" t="n">
        <v>884</v>
      </c>
      <c r="B885">
        <f>Schedule!$A$129</f>
        <v/>
      </c>
      <c r="C885">
        <f>Schedule!$D$129</f>
        <v/>
      </c>
      <c r="D885">
        <f>Schedule!$F$129</f>
        <v/>
      </c>
      <c r="E885" t="n">
        <v>1</v>
      </c>
      <c r="F885">
        <f>Schedule!$H$1</f>
        <v/>
      </c>
      <c r="G885">
        <f>Schedule!$H$2</f>
        <v/>
      </c>
      <c r="H885">
        <f>Schedule!$H$129</f>
        <v/>
      </c>
      <c r="I885">
        <f>IF($N885=1,VALUE(LEFT($H885,2)),"")</f>
        <v/>
      </c>
      <c r="J885">
        <f>IF($N885=1,VALUE(MID($H885,9,2)),"")</f>
        <v/>
      </c>
      <c r="K885">
        <f>IF($N885=1,MOD($J885-$I885,24),0)</f>
        <v/>
      </c>
      <c r="L885">
        <f>IF($N885=1,$E885*24+$I885,"")</f>
        <v/>
      </c>
      <c r="M885">
        <f>IF($N885=1,$L885+$K885,"")</f>
        <v/>
      </c>
      <c r="N885">
        <f>IF(ISNUMBER(SEARCH(" - ",$H885&amp;"")),1,0)</f>
        <v/>
      </c>
      <c r="O885">
        <f>IF(UPPER($H885&amp;"")="LEAVE",1,0)</f>
        <v/>
      </c>
      <c r="P885">
        <f>IF($N885=1,$K885,0)</f>
        <v/>
      </c>
      <c r="Q885">
        <f>IF($N885=0,"",IFERROR($L885-LOOKUP(2,1/(($B$2:$B884=$B885)*($N$2:$N884=1)),$M$2:$M884),""))</f>
        <v/>
      </c>
    </row>
    <row r="886">
      <c r="A886" t="n">
        <v>885</v>
      </c>
      <c r="B886">
        <f>Schedule!$A$129</f>
        <v/>
      </c>
      <c r="C886">
        <f>Schedule!$D$129</f>
        <v/>
      </c>
      <c r="D886">
        <f>Schedule!$F$129</f>
        <v/>
      </c>
      <c r="E886" t="n">
        <v>2</v>
      </c>
      <c r="F886">
        <f>Schedule!$I$1</f>
        <v/>
      </c>
      <c r="G886">
        <f>Schedule!$I$2</f>
        <v/>
      </c>
      <c r="H886">
        <f>Schedule!$I$129</f>
        <v/>
      </c>
      <c r="I886">
        <f>IF($N886=1,VALUE(LEFT($H886,2)),"")</f>
        <v/>
      </c>
      <c r="J886">
        <f>IF($N886=1,VALUE(MID($H886,9,2)),"")</f>
        <v/>
      </c>
      <c r="K886">
        <f>IF($N886=1,MOD($J886-$I886,24),0)</f>
        <v/>
      </c>
      <c r="L886">
        <f>IF($N886=1,$E886*24+$I886,"")</f>
        <v/>
      </c>
      <c r="M886">
        <f>IF($N886=1,$L886+$K886,"")</f>
        <v/>
      </c>
      <c r="N886">
        <f>IF(ISNUMBER(SEARCH(" - ",$H886&amp;"")),1,0)</f>
        <v/>
      </c>
      <c r="O886">
        <f>IF(UPPER($H886&amp;"")="LEAVE",1,0)</f>
        <v/>
      </c>
      <c r="P886">
        <f>IF($N886=1,$K886,0)</f>
        <v/>
      </c>
      <c r="Q886">
        <f>IF($N886=0,"",IFERROR($L886-LOOKUP(2,1/(($B$2:$B885=$B886)*($N$2:$N885=1)),$M$2:$M885),""))</f>
        <v/>
      </c>
    </row>
    <row r="887">
      <c r="A887" t="n">
        <v>886</v>
      </c>
      <c r="B887">
        <f>Schedule!$A$129</f>
        <v/>
      </c>
      <c r="C887">
        <f>Schedule!$D$129</f>
        <v/>
      </c>
      <c r="D887">
        <f>Schedule!$F$129</f>
        <v/>
      </c>
      <c r="E887" t="n">
        <v>3</v>
      </c>
      <c r="F887">
        <f>Schedule!$J$1</f>
        <v/>
      </c>
      <c r="G887">
        <f>Schedule!$J$2</f>
        <v/>
      </c>
      <c r="H887">
        <f>Schedule!$J$129</f>
        <v/>
      </c>
      <c r="I887">
        <f>IF($N887=1,VALUE(LEFT($H887,2)),"")</f>
        <v/>
      </c>
      <c r="J887">
        <f>IF($N887=1,VALUE(MID($H887,9,2)),"")</f>
        <v/>
      </c>
      <c r="K887">
        <f>IF($N887=1,MOD($J887-$I887,24),0)</f>
        <v/>
      </c>
      <c r="L887">
        <f>IF($N887=1,$E887*24+$I887,"")</f>
        <v/>
      </c>
      <c r="M887">
        <f>IF($N887=1,$L887+$K887,"")</f>
        <v/>
      </c>
      <c r="N887">
        <f>IF(ISNUMBER(SEARCH(" - ",$H887&amp;"")),1,0)</f>
        <v/>
      </c>
      <c r="O887">
        <f>IF(UPPER($H887&amp;"")="LEAVE",1,0)</f>
        <v/>
      </c>
      <c r="P887">
        <f>IF($N887=1,$K887,0)</f>
        <v/>
      </c>
      <c r="Q887">
        <f>IF($N887=0,"",IFERROR($L887-LOOKUP(2,1/(($B$2:$B886=$B887)*($N$2:$N886=1)),$M$2:$M886),""))</f>
        <v/>
      </c>
    </row>
    <row r="888">
      <c r="A888" t="n">
        <v>887</v>
      </c>
      <c r="B888">
        <f>Schedule!$A$129</f>
        <v/>
      </c>
      <c r="C888">
        <f>Schedule!$D$129</f>
        <v/>
      </c>
      <c r="D888">
        <f>Schedule!$F$129</f>
        <v/>
      </c>
      <c r="E888" t="n">
        <v>4</v>
      </c>
      <c r="F888">
        <f>Schedule!$K$1</f>
        <v/>
      </c>
      <c r="G888">
        <f>Schedule!$K$2</f>
        <v/>
      </c>
      <c r="H888">
        <f>Schedule!$K$129</f>
        <v/>
      </c>
      <c r="I888">
        <f>IF($N888=1,VALUE(LEFT($H888,2)),"")</f>
        <v/>
      </c>
      <c r="J888">
        <f>IF($N888=1,VALUE(MID($H888,9,2)),"")</f>
        <v/>
      </c>
      <c r="K888">
        <f>IF($N888=1,MOD($J888-$I888,24),0)</f>
        <v/>
      </c>
      <c r="L888">
        <f>IF($N888=1,$E888*24+$I888,"")</f>
        <v/>
      </c>
      <c r="M888">
        <f>IF($N888=1,$L888+$K888,"")</f>
        <v/>
      </c>
      <c r="N888">
        <f>IF(ISNUMBER(SEARCH(" - ",$H888&amp;"")),1,0)</f>
        <v/>
      </c>
      <c r="O888">
        <f>IF(UPPER($H888&amp;"")="LEAVE",1,0)</f>
        <v/>
      </c>
      <c r="P888">
        <f>IF($N888=1,$K888,0)</f>
        <v/>
      </c>
      <c r="Q888">
        <f>IF($N888=0,"",IFERROR($L888-LOOKUP(2,1/(($B$2:$B887=$B888)*($N$2:$N887=1)),$M$2:$M887),""))</f>
        <v/>
      </c>
    </row>
    <row r="889">
      <c r="A889" t="n">
        <v>888</v>
      </c>
      <c r="B889">
        <f>Schedule!$A$129</f>
        <v/>
      </c>
      <c r="C889">
        <f>Schedule!$D$129</f>
        <v/>
      </c>
      <c r="D889">
        <f>Schedule!$F$129</f>
        <v/>
      </c>
      <c r="E889" t="n">
        <v>5</v>
      </c>
      <c r="F889">
        <f>Schedule!$L$1</f>
        <v/>
      </c>
      <c r="G889">
        <f>Schedule!$L$2</f>
        <v/>
      </c>
      <c r="H889">
        <f>Schedule!$L$129</f>
        <v/>
      </c>
      <c r="I889">
        <f>IF($N889=1,VALUE(LEFT($H889,2)),"")</f>
        <v/>
      </c>
      <c r="J889">
        <f>IF($N889=1,VALUE(MID($H889,9,2)),"")</f>
        <v/>
      </c>
      <c r="K889">
        <f>IF($N889=1,MOD($J889-$I889,24),0)</f>
        <v/>
      </c>
      <c r="L889">
        <f>IF($N889=1,$E889*24+$I889,"")</f>
        <v/>
      </c>
      <c r="M889">
        <f>IF($N889=1,$L889+$K889,"")</f>
        <v/>
      </c>
      <c r="N889">
        <f>IF(ISNUMBER(SEARCH(" - ",$H889&amp;"")),1,0)</f>
        <v/>
      </c>
      <c r="O889">
        <f>IF(UPPER($H889&amp;"")="LEAVE",1,0)</f>
        <v/>
      </c>
      <c r="P889">
        <f>IF($N889=1,$K889,0)</f>
        <v/>
      </c>
      <c r="Q889">
        <f>IF($N889=0,"",IFERROR($L889-LOOKUP(2,1/(($B$2:$B888=$B889)*($N$2:$N888=1)),$M$2:$M888),""))</f>
        <v/>
      </c>
    </row>
    <row r="890">
      <c r="A890" t="n">
        <v>889</v>
      </c>
      <c r="B890">
        <f>Schedule!$A$129</f>
        <v/>
      </c>
      <c r="C890">
        <f>Schedule!$D$129</f>
        <v/>
      </c>
      <c r="D890">
        <f>Schedule!$F$129</f>
        <v/>
      </c>
      <c r="E890" t="n">
        <v>6</v>
      </c>
      <c r="F890">
        <f>Schedule!$M$1</f>
        <v/>
      </c>
      <c r="G890">
        <f>Schedule!$M$2</f>
        <v/>
      </c>
      <c r="H890">
        <f>Schedule!$M$129</f>
        <v/>
      </c>
      <c r="I890">
        <f>IF($N890=1,VALUE(LEFT($H890,2)),"")</f>
        <v/>
      </c>
      <c r="J890">
        <f>IF($N890=1,VALUE(MID($H890,9,2)),"")</f>
        <v/>
      </c>
      <c r="K890">
        <f>IF($N890=1,MOD($J890-$I890,24),0)</f>
        <v/>
      </c>
      <c r="L890">
        <f>IF($N890=1,$E890*24+$I890,"")</f>
        <v/>
      </c>
      <c r="M890">
        <f>IF($N890=1,$L890+$K890,"")</f>
        <v/>
      </c>
      <c r="N890">
        <f>IF(ISNUMBER(SEARCH(" - ",$H890&amp;"")),1,0)</f>
        <v/>
      </c>
      <c r="O890">
        <f>IF(UPPER($H890&amp;"")="LEAVE",1,0)</f>
        <v/>
      </c>
      <c r="P890">
        <f>IF($N890=1,$K890,0)</f>
        <v/>
      </c>
      <c r="Q890">
        <f>IF($N890=0,"",IFERROR($L890-LOOKUP(2,1/(($B$2:$B889=$B890)*($N$2:$N889=1)),$M$2:$M889),""))</f>
        <v/>
      </c>
    </row>
    <row r="891">
      <c r="A891" t="n">
        <v>890</v>
      </c>
      <c r="B891">
        <f>Schedule!$A$130</f>
        <v/>
      </c>
      <c r="C891">
        <f>Schedule!$D$130</f>
        <v/>
      </c>
      <c r="D891">
        <f>Schedule!$F$130</f>
        <v/>
      </c>
      <c r="E891" t="n">
        <v>0</v>
      </c>
      <c r="F891">
        <f>Schedule!$G$1</f>
        <v/>
      </c>
      <c r="G891">
        <f>Schedule!$G$2</f>
        <v/>
      </c>
      <c r="H891">
        <f>Schedule!$G$130</f>
        <v/>
      </c>
      <c r="I891">
        <f>IF($N891=1,VALUE(LEFT($H891,2)),"")</f>
        <v/>
      </c>
      <c r="J891">
        <f>IF($N891=1,VALUE(MID($H891,9,2)),"")</f>
        <v/>
      </c>
      <c r="K891">
        <f>IF($N891=1,MOD($J891-$I891,24),0)</f>
        <v/>
      </c>
      <c r="L891">
        <f>IF($N891=1,$E891*24+$I891,"")</f>
        <v/>
      </c>
      <c r="M891">
        <f>IF($N891=1,$L891+$K891,"")</f>
        <v/>
      </c>
      <c r="N891">
        <f>IF(ISNUMBER(SEARCH(" - ",$H891&amp;"")),1,0)</f>
        <v/>
      </c>
      <c r="O891">
        <f>IF(UPPER($H891&amp;"")="LEAVE",1,0)</f>
        <v/>
      </c>
      <c r="P891">
        <f>IF($N891=1,$K891,0)</f>
        <v/>
      </c>
      <c r="Q891">
        <f>IF($N891=0,"",IFERROR($L891-'Previous Engine'!$M$129,""))</f>
        <v/>
      </c>
    </row>
    <row r="892">
      <c r="A892" t="n">
        <v>891</v>
      </c>
      <c r="B892">
        <f>Schedule!$A$130</f>
        <v/>
      </c>
      <c r="C892">
        <f>Schedule!$D$130</f>
        <v/>
      </c>
      <c r="D892">
        <f>Schedule!$F$130</f>
        <v/>
      </c>
      <c r="E892" t="n">
        <v>1</v>
      </c>
      <c r="F892">
        <f>Schedule!$H$1</f>
        <v/>
      </c>
      <c r="G892">
        <f>Schedule!$H$2</f>
        <v/>
      </c>
      <c r="H892">
        <f>Schedule!$H$130</f>
        <v/>
      </c>
      <c r="I892">
        <f>IF($N892=1,VALUE(LEFT($H892,2)),"")</f>
        <v/>
      </c>
      <c r="J892">
        <f>IF($N892=1,VALUE(MID($H892,9,2)),"")</f>
        <v/>
      </c>
      <c r="K892">
        <f>IF($N892=1,MOD($J892-$I892,24),0)</f>
        <v/>
      </c>
      <c r="L892">
        <f>IF($N892=1,$E892*24+$I892,"")</f>
        <v/>
      </c>
      <c r="M892">
        <f>IF($N892=1,$L892+$K892,"")</f>
        <v/>
      </c>
      <c r="N892">
        <f>IF(ISNUMBER(SEARCH(" - ",$H892&amp;"")),1,0)</f>
        <v/>
      </c>
      <c r="O892">
        <f>IF(UPPER($H892&amp;"")="LEAVE",1,0)</f>
        <v/>
      </c>
      <c r="P892">
        <f>IF($N892=1,$K892,0)</f>
        <v/>
      </c>
      <c r="Q892">
        <f>IF($N892=0,"",IFERROR($L892-LOOKUP(2,1/(($B$2:$B891=$B892)*($N$2:$N891=1)),$M$2:$M891),""))</f>
        <v/>
      </c>
    </row>
    <row r="893">
      <c r="A893" t="n">
        <v>892</v>
      </c>
      <c r="B893">
        <f>Schedule!$A$130</f>
        <v/>
      </c>
      <c r="C893">
        <f>Schedule!$D$130</f>
        <v/>
      </c>
      <c r="D893">
        <f>Schedule!$F$130</f>
        <v/>
      </c>
      <c r="E893" t="n">
        <v>2</v>
      </c>
      <c r="F893">
        <f>Schedule!$I$1</f>
        <v/>
      </c>
      <c r="G893">
        <f>Schedule!$I$2</f>
        <v/>
      </c>
      <c r="H893">
        <f>Schedule!$I$130</f>
        <v/>
      </c>
      <c r="I893">
        <f>IF($N893=1,VALUE(LEFT($H893,2)),"")</f>
        <v/>
      </c>
      <c r="J893">
        <f>IF($N893=1,VALUE(MID($H893,9,2)),"")</f>
        <v/>
      </c>
      <c r="K893">
        <f>IF($N893=1,MOD($J893-$I893,24),0)</f>
        <v/>
      </c>
      <c r="L893">
        <f>IF($N893=1,$E893*24+$I893,"")</f>
        <v/>
      </c>
      <c r="M893">
        <f>IF($N893=1,$L893+$K893,"")</f>
        <v/>
      </c>
      <c r="N893">
        <f>IF(ISNUMBER(SEARCH(" - ",$H893&amp;"")),1,0)</f>
        <v/>
      </c>
      <c r="O893">
        <f>IF(UPPER($H893&amp;"")="LEAVE",1,0)</f>
        <v/>
      </c>
      <c r="P893">
        <f>IF($N893=1,$K893,0)</f>
        <v/>
      </c>
      <c r="Q893">
        <f>IF($N893=0,"",IFERROR($L893-LOOKUP(2,1/(($B$2:$B892=$B893)*($N$2:$N892=1)),$M$2:$M892),""))</f>
        <v/>
      </c>
    </row>
    <row r="894">
      <c r="A894" t="n">
        <v>893</v>
      </c>
      <c r="B894">
        <f>Schedule!$A$130</f>
        <v/>
      </c>
      <c r="C894">
        <f>Schedule!$D$130</f>
        <v/>
      </c>
      <c r="D894">
        <f>Schedule!$F$130</f>
        <v/>
      </c>
      <c r="E894" t="n">
        <v>3</v>
      </c>
      <c r="F894">
        <f>Schedule!$J$1</f>
        <v/>
      </c>
      <c r="G894">
        <f>Schedule!$J$2</f>
        <v/>
      </c>
      <c r="H894">
        <f>Schedule!$J$130</f>
        <v/>
      </c>
      <c r="I894">
        <f>IF($N894=1,VALUE(LEFT($H894,2)),"")</f>
        <v/>
      </c>
      <c r="J894">
        <f>IF($N894=1,VALUE(MID($H894,9,2)),"")</f>
        <v/>
      </c>
      <c r="K894">
        <f>IF($N894=1,MOD($J894-$I894,24),0)</f>
        <v/>
      </c>
      <c r="L894">
        <f>IF($N894=1,$E894*24+$I894,"")</f>
        <v/>
      </c>
      <c r="M894">
        <f>IF($N894=1,$L894+$K894,"")</f>
        <v/>
      </c>
      <c r="N894">
        <f>IF(ISNUMBER(SEARCH(" - ",$H894&amp;"")),1,0)</f>
        <v/>
      </c>
      <c r="O894">
        <f>IF(UPPER($H894&amp;"")="LEAVE",1,0)</f>
        <v/>
      </c>
      <c r="P894">
        <f>IF($N894=1,$K894,0)</f>
        <v/>
      </c>
      <c r="Q894">
        <f>IF($N894=0,"",IFERROR($L894-LOOKUP(2,1/(($B$2:$B893=$B894)*($N$2:$N893=1)),$M$2:$M893),""))</f>
        <v/>
      </c>
    </row>
    <row r="895">
      <c r="A895" t="n">
        <v>894</v>
      </c>
      <c r="B895">
        <f>Schedule!$A$130</f>
        <v/>
      </c>
      <c r="C895">
        <f>Schedule!$D$130</f>
        <v/>
      </c>
      <c r="D895">
        <f>Schedule!$F$130</f>
        <v/>
      </c>
      <c r="E895" t="n">
        <v>4</v>
      </c>
      <c r="F895">
        <f>Schedule!$K$1</f>
        <v/>
      </c>
      <c r="G895">
        <f>Schedule!$K$2</f>
        <v/>
      </c>
      <c r="H895">
        <f>Schedule!$K$130</f>
        <v/>
      </c>
      <c r="I895">
        <f>IF($N895=1,VALUE(LEFT($H895,2)),"")</f>
        <v/>
      </c>
      <c r="J895">
        <f>IF($N895=1,VALUE(MID($H895,9,2)),"")</f>
        <v/>
      </c>
      <c r="K895">
        <f>IF($N895=1,MOD($J895-$I895,24),0)</f>
        <v/>
      </c>
      <c r="L895">
        <f>IF($N895=1,$E895*24+$I895,"")</f>
        <v/>
      </c>
      <c r="M895">
        <f>IF($N895=1,$L895+$K895,"")</f>
        <v/>
      </c>
      <c r="N895">
        <f>IF(ISNUMBER(SEARCH(" - ",$H895&amp;"")),1,0)</f>
        <v/>
      </c>
      <c r="O895">
        <f>IF(UPPER($H895&amp;"")="LEAVE",1,0)</f>
        <v/>
      </c>
      <c r="P895">
        <f>IF($N895=1,$K895,0)</f>
        <v/>
      </c>
      <c r="Q895">
        <f>IF($N895=0,"",IFERROR($L895-LOOKUP(2,1/(($B$2:$B894=$B895)*($N$2:$N894=1)),$M$2:$M894),""))</f>
        <v/>
      </c>
    </row>
    <row r="896">
      <c r="A896" t="n">
        <v>895</v>
      </c>
      <c r="B896">
        <f>Schedule!$A$130</f>
        <v/>
      </c>
      <c r="C896">
        <f>Schedule!$D$130</f>
        <v/>
      </c>
      <c r="D896">
        <f>Schedule!$F$130</f>
        <v/>
      </c>
      <c r="E896" t="n">
        <v>5</v>
      </c>
      <c r="F896">
        <f>Schedule!$L$1</f>
        <v/>
      </c>
      <c r="G896">
        <f>Schedule!$L$2</f>
        <v/>
      </c>
      <c r="H896">
        <f>Schedule!$L$130</f>
        <v/>
      </c>
      <c r="I896">
        <f>IF($N896=1,VALUE(LEFT($H896,2)),"")</f>
        <v/>
      </c>
      <c r="J896">
        <f>IF($N896=1,VALUE(MID($H896,9,2)),"")</f>
        <v/>
      </c>
      <c r="K896">
        <f>IF($N896=1,MOD($J896-$I896,24),0)</f>
        <v/>
      </c>
      <c r="L896">
        <f>IF($N896=1,$E896*24+$I896,"")</f>
        <v/>
      </c>
      <c r="M896">
        <f>IF($N896=1,$L896+$K896,"")</f>
        <v/>
      </c>
      <c r="N896">
        <f>IF(ISNUMBER(SEARCH(" - ",$H896&amp;"")),1,0)</f>
        <v/>
      </c>
      <c r="O896">
        <f>IF(UPPER($H896&amp;"")="LEAVE",1,0)</f>
        <v/>
      </c>
      <c r="P896">
        <f>IF($N896=1,$K896,0)</f>
        <v/>
      </c>
      <c r="Q896">
        <f>IF($N896=0,"",IFERROR($L896-LOOKUP(2,1/(($B$2:$B895=$B896)*($N$2:$N895=1)),$M$2:$M895),""))</f>
        <v/>
      </c>
    </row>
    <row r="897">
      <c r="A897" t="n">
        <v>896</v>
      </c>
      <c r="B897">
        <f>Schedule!$A$130</f>
        <v/>
      </c>
      <c r="C897">
        <f>Schedule!$D$130</f>
        <v/>
      </c>
      <c r="D897">
        <f>Schedule!$F$130</f>
        <v/>
      </c>
      <c r="E897" t="n">
        <v>6</v>
      </c>
      <c r="F897">
        <f>Schedule!$M$1</f>
        <v/>
      </c>
      <c r="G897">
        <f>Schedule!$M$2</f>
        <v/>
      </c>
      <c r="H897">
        <f>Schedule!$M$130</f>
        <v/>
      </c>
      <c r="I897">
        <f>IF($N897=1,VALUE(LEFT($H897,2)),"")</f>
        <v/>
      </c>
      <c r="J897">
        <f>IF($N897=1,VALUE(MID($H897,9,2)),"")</f>
        <v/>
      </c>
      <c r="K897">
        <f>IF($N897=1,MOD($J897-$I897,24),0)</f>
        <v/>
      </c>
      <c r="L897">
        <f>IF($N897=1,$E897*24+$I897,"")</f>
        <v/>
      </c>
      <c r="M897">
        <f>IF($N897=1,$L897+$K897,"")</f>
        <v/>
      </c>
      <c r="N897">
        <f>IF(ISNUMBER(SEARCH(" - ",$H897&amp;"")),1,0)</f>
        <v/>
      </c>
      <c r="O897">
        <f>IF(UPPER($H897&amp;"")="LEAVE",1,0)</f>
        <v/>
      </c>
      <c r="P897">
        <f>IF($N897=1,$K897,0)</f>
        <v/>
      </c>
      <c r="Q897">
        <f>IF($N897=0,"",IFERROR($L897-LOOKUP(2,1/(($B$2:$B896=$B897)*($N$2:$N896=1)),$M$2:$M896),""))</f>
        <v/>
      </c>
    </row>
    <row r="898">
      <c r="A898" t="n">
        <v>897</v>
      </c>
      <c r="B898">
        <f>Schedule!$A$131</f>
        <v/>
      </c>
      <c r="C898">
        <f>Schedule!$D$131</f>
        <v/>
      </c>
      <c r="D898">
        <f>Schedule!$F$131</f>
        <v/>
      </c>
      <c r="E898" t="n">
        <v>0</v>
      </c>
      <c r="F898">
        <f>Schedule!$G$1</f>
        <v/>
      </c>
      <c r="G898">
        <f>Schedule!$G$2</f>
        <v/>
      </c>
      <c r="H898">
        <f>Schedule!$G$131</f>
        <v/>
      </c>
      <c r="I898">
        <f>IF($N898=1,VALUE(LEFT($H898,2)),"")</f>
        <v/>
      </c>
      <c r="J898">
        <f>IF($N898=1,VALUE(MID($H898,9,2)),"")</f>
        <v/>
      </c>
      <c r="K898">
        <f>IF($N898=1,MOD($J898-$I898,24),0)</f>
        <v/>
      </c>
      <c r="L898">
        <f>IF($N898=1,$E898*24+$I898,"")</f>
        <v/>
      </c>
      <c r="M898">
        <f>IF($N898=1,$L898+$K898,"")</f>
        <v/>
      </c>
      <c r="N898">
        <f>IF(ISNUMBER(SEARCH(" - ",$H898&amp;"")),1,0)</f>
        <v/>
      </c>
      <c r="O898">
        <f>IF(UPPER($H898&amp;"")="LEAVE",1,0)</f>
        <v/>
      </c>
      <c r="P898">
        <f>IF($N898=1,$K898,0)</f>
        <v/>
      </c>
      <c r="Q898">
        <f>IF($N898=0,"",IFERROR($L898-'Previous Engine'!$M$130,""))</f>
        <v/>
      </c>
    </row>
    <row r="899">
      <c r="A899" t="n">
        <v>898</v>
      </c>
      <c r="B899">
        <f>Schedule!$A$131</f>
        <v/>
      </c>
      <c r="C899">
        <f>Schedule!$D$131</f>
        <v/>
      </c>
      <c r="D899">
        <f>Schedule!$F$131</f>
        <v/>
      </c>
      <c r="E899" t="n">
        <v>1</v>
      </c>
      <c r="F899">
        <f>Schedule!$H$1</f>
        <v/>
      </c>
      <c r="G899">
        <f>Schedule!$H$2</f>
        <v/>
      </c>
      <c r="H899">
        <f>Schedule!$H$131</f>
        <v/>
      </c>
      <c r="I899">
        <f>IF($N899=1,VALUE(LEFT($H899,2)),"")</f>
        <v/>
      </c>
      <c r="J899">
        <f>IF($N899=1,VALUE(MID($H899,9,2)),"")</f>
        <v/>
      </c>
      <c r="K899">
        <f>IF($N899=1,MOD($J899-$I899,24),0)</f>
        <v/>
      </c>
      <c r="L899">
        <f>IF($N899=1,$E899*24+$I899,"")</f>
        <v/>
      </c>
      <c r="M899">
        <f>IF($N899=1,$L899+$K899,"")</f>
        <v/>
      </c>
      <c r="N899">
        <f>IF(ISNUMBER(SEARCH(" - ",$H899&amp;"")),1,0)</f>
        <v/>
      </c>
      <c r="O899">
        <f>IF(UPPER($H899&amp;"")="LEAVE",1,0)</f>
        <v/>
      </c>
      <c r="P899">
        <f>IF($N899=1,$K899,0)</f>
        <v/>
      </c>
      <c r="Q899">
        <f>IF($N899=0,"",IFERROR($L899-LOOKUP(2,1/(($B$2:$B898=$B899)*($N$2:$N898=1)),$M$2:$M898),""))</f>
        <v/>
      </c>
    </row>
    <row r="900">
      <c r="A900" t="n">
        <v>899</v>
      </c>
      <c r="B900">
        <f>Schedule!$A$131</f>
        <v/>
      </c>
      <c r="C900">
        <f>Schedule!$D$131</f>
        <v/>
      </c>
      <c r="D900">
        <f>Schedule!$F$131</f>
        <v/>
      </c>
      <c r="E900" t="n">
        <v>2</v>
      </c>
      <c r="F900">
        <f>Schedule!$I$1</f>
        <v/>
      </c>
      <c r="G900">
        <f>Schedule!$I$2</f>
        <v/>
      </c>
      <c r="H900">
        <f>Schedule!$I$131</f>
        <v/>
      </c>
      <c r="I900">
        <f>IF($N900=1,VALUE(LEFT($H900,2)),"")</f>
        <v/>
      </c>
      <c r="J900">
        <f>IF($N900=1,VALUE(MID($H900,9,2)),"")</f>
        <v/>
      </c>
      <c r="K900">
        <f>IF($N900=1,MOD($J900-$I900,24),0)</f>
        <v/>
      </c>
      <c r="L900">
        <f>IF($N900=1,$E900*24+$I900,"")</f>
        <v/>
      </c>
      <c r="M900">
        <f>IF($N900=1,$L900+$K900,"")</f>
        <v/>
      </c>
      <c r="N900">
        <f>IF(ISNUMBER(SEARCH(" - ",$H900&amp;"")),1,0)</f>
        <v/>
      </c>
      <c r="O900">
        <f>IF(UPPER($H900&amp;"")="LEAVE",1,0)</f>
        <v/>
      </c>
      <c r="P900">
        <f>IF($N900=1,$K900,0)</f>
        <v/>
      </c>
      <c r="Q900">
        <f>IF($N900=0,"",IFERROR($L900-LOOKUP(2,1/(($B$2:$B899=$B900)*($N$2:$N899=1)),$M$2:$M899),""))</f>
        <v/>
      </c>
    </row>
    <row r="901">
      <c r="A901" t="n">
        <v>900</v>
      </c>
      <c r="B901">
        <f>Schedule!$A$131</f>
        <v/>
      </c>
      <c r="C901">
        <f>Schedule!$D$131</f>
        <v/>
      </c>
      <c r="D901">
        <f>Schedule!$F$131</f>
        <v/>
      </c>
      <c r="E901" t="n">
        <v>3</v>
      </c>
      <c r="F901">
        <f>Schedule!$J$1</f>
        <v/>
      </c>
      <c r="G901">
        <f>Schedule!$J$2</f>
        <v/>
      </c>
      <c r="H901">
        <f>Schedule!$J$131</f>
        <v/>
      </c>
      <c r="I901">
        <f>IF($N901=1,VALUE(LEFT($H901,2)),"")</f>
        <v/>
      </c>
      <c r="J901">
        <f>IF($N901=1,VALUE(MID($H901,9,2)),"")</f>
        <v/>
      </c>
      <c r="K901">
        <f>IF($N901=1,MOD($J901-$I901,24),0)</f>
        <v/>
      </c>
      <c r="L901">
        <f>IF($N901=1,$E901*24+$I901,"")</f>
        <v/>
      </c>
      <c r="M901">
        <f>IF($N901=1,$L901+$K901,"")</f>
        <v/>
      </c>
      <c r="N901">
        <f>IF(ISNUMBER(SEARCH(" - ",$H901&amp;"")),1,0)</f>
        <v/>
      </c>
      <c r="O901">
        <f>IF(UPPER($H901&amp;"")="LEAVE",1,0)</f>
        <v/>
      </c>
      <c r="P901">
        <f>IF($N901=1,$K901,0)</f>
        <v/>
      </c>
      <c r="Q901">
        <f>IF($N901=0,"",IFERROR($L901-LOOKUP(2,1/(($B$2:$B900=$B901)*($N$2:$N900=1)),$M$2:$M900),""))</f>
        <v/>
      </c>
    </row>
    <row r="902">
      <c r="A902" t="n">
        <v>901</v>
      </c>
      <c r="B902">
        <f>Schedule!$A$131</f>
        <v/>
      </c>
      <c r="C902">
        <f>Schedule!$D$131</f>
        <v/>
      </c>
      <c r="D902">
        <f>Schedule!$F$131</f>
        <v/>
      </c>
      <c r="E902" t="n">
        <v>4</v>
      </c>
      <c r="F902">
        <f>Schedule!$K$1</f>
        <v/>
      </c>
      <c r="G902">
        <f>Schedule!$K$2</f>
        <v/>
      </c>
      <c r="H902">
        <f>Schedule!$K$131</f>
        <v/>
      </c>
      <c r="I902">
        <f>IF($N902=1,VALUE(LEFT($H902,2)),"")</f>
        <v/>
      </c>
      <c r="J902">
        <f>IF($N902=1,VALUE(MID($H902,9,2)),"")</f>
        <v/>
      </c>
      <c r="K902">
        <f>IF($N902=1,MOD($J902-$I902,24),0)</f>
        <v/>
      </c>
      <c r="L902">
        <f>IF($N902=1,$E902*24+$I902,"")</f>
        <v/>
      </c>
      <c r="M902">
        <f>IF($N902=1,$L902+$K902,"")</f>
        <v/>
      </c>
      <c r="N902">
        <f>IF(ISNUMBER(SEARCH(" - ",$H902&amp;"")),1,0)</f>
        <v/>
      </c>
      <c r="O902">
        <f>IF(UPPER($H902&amp;"")="LEAVE",1,0)</f>
        <v/>
      </c>
      <c r="P902">
        <f>IF($N902=1,$K902,0)</f>
        <v/>
      </c>
      <c r="Q902">
        <f>IF($N902=0,"",IFERROR($L902-LOOKUP(2,1/(($B$2:$B901=$B902)*($N$2:$N901=1)),$M$2:$M901),""))</f>
        <v/>
      </c>
    </row>
    <row r="903">
      <c r="A903" t="n">
        <v>902</v>
      </c>
      <c r="B903">
        <f>Schedule!$A$131</f>
        <v/>
      </c>
      <c r="C903">
        <f>Schedule!$D$131</f>
        <v/>
      </c>
      <c r="D903">
        <f>Schedule!$F$131</f>
        <v/>
      </c>
      <c r="E903" t="n">
        <v>5</v>
      </c>
      <c r="F903">
        <f>Schedule!$L$1</f>
        <v/>
      </c>
      <c r="G903">
        <f>Schedule!$L$2</f>
        <v/>
      </c>
      <c r="H903">
        <f>Schedule!$L$131</f>
        <v/>
      </c>
      <c r="I903">
        <f>IF($N903=1,VALUE(LEFT($H903,2)),"")</f>
        <v/>
      </c>
      <c r="J903">
        <f>IF($N903=1,VALUE(MID($H903,9,2)),"")</f>
        <v/>
      </c>
      <c r="K903">
        <f>IF($N903=1,MOD($J903-$I903,24),0)</f>
        <v/>
      </c>
      <c r="L903">
        <f>IF($N903=1,$E903*24+$I903,"")</f>
        <v/>
      </c>
      <c r="M903">
        <f>IF($N903=1,$L903+$K903,"")</f>
        <v/>
      </c>
      <c r="N903">
        <f>IF(ISNUMBER(SEARCH(" - ",$H903&amp;"")),1,0)</f>
        <v/>
      </c>
      <c r="O903">
        <f>IF(UPPER($H903&amp;"")="LEAVE",1,0)</f>
        <v/>
      </c>
      <c r="P903">
        <f>IF($N903=1,$K903,0)</f>
        <v/>
      </c>
      <c r="Q903">
        <f>IF($N903=0,"",IFERROR($L903-LOOKUP(2,1/(($B$2:$B902=$B903)*($N$2:$N902=1)),$M$2:$M902),""))</f>
        <v/>
      </c>
    </row>
    <row r="904">
      <c r="A904" t="n">
        <v>903</v>
      </c>
      <c r="B904">
        <f>Schedule!$A$131</f>
        <v/>
      </c>
      <c r="C904">
        <f>Schedule!$D$131</f>
        <v/>
      </c>
      <c r="D904">
        <f>Schedule!$F$131</f>
        <v/>
      </c>
      <c r="E904" t="n">
        <v>6</v>
      </c>
      <c r="F904">
        <f>Schedule!$M$1</f>
        <v/>
      </c>
      <c r="G904">
        <f>Schedule!$M$2</f>
        <v/>
      </c>
      <c r="H904">
        <f>Schedule!$M$131</f>
        <v/>
      </c>
      <c r="I904">
        <f>IF($N904=1,VALUE(LEFT($H904,2)),"")</f>
        <v/>
      </c>
      <c r="J904">
        <f>IF($N904=1,VALUE(MID($H904,9,2)),"")</f>
        <v/>
      </c>
      <c r="K904">
        <f>IF($N904=1,MOD($J904-$I904,24),0)</f>
        <v/>
      </c>
      <c r="L904">
        <f>IF($N904=1,$E904*24+$I904,"")</f>
        <v/>
      </c>
      <c r="M904">
        <f>IF($N904=1,$L904+$K904,"")</f>
        <v/>
      </c>
      <c r="N904">
        <f>IF(ISNUMBER(SEARCH(" - ",$H904&amp;"")),1,0)</f>
        <v/>
      </c>
      <c r="O904">
        <f>IF(UPPER($H904&amp;"")="LEAVE",1,0)</f>
        <v/>
      </c>
      <c r="P904">
        <f>IF($N904=1,$K904,0)</f>
        <v/>
      </c>
      <c r="Q904">
        <f>IF($N904=0,"",IFERROR($L904-LOOKUP(2,1/(($B$2:$B903=$B904)*($N$2:$N903=1)),$M$2:$M903),""))</f>
        <v/>
      </c>
    </row>
    <row r="905">
      <c r="A905" t="n">
        <v>904</v>
      </c>
      <c r="B905">
        <f>Schedule!$A$132</f>
        <v/>
      </c>
      <c r="C905">
        <f>Schedule!$D$132</f>
        <v/>
      </c>
      <c r="D905">
        <f>Schedule!$F$132</f>
        <v/>
      </c>
      <c r="E905" t="n">
        <v>0</v>
      </c>
      <c r="F905">
        <f>Schedule!$G$1</f>
        <v/>
      </c>
      <c r="G905">
        <f>Schedule!$G$2</f>
        <v/>
      </c>
      <c r="H905">
        <f>Schedule!$G$132</f>
        <v/>
      </c>
      <c r="I905">
        <f>IF($N905=1,VALUE(LEFT($H905,2)),"")</f>
        <v/>
      </c>
      <c r="J905">
        <f>IF($N905=1,VALUE(MID($H905,9,2)),"")</f>
        <v/>
      </c>
      <c r="K905">
        <f>IF($N905=1,MOD($J905-$I905,24),0)</f>
        <v/>
      </c>
      <c r="L905">
        <f>IF($N905=1,$E905*24+$I905,"")</f>
        <v/>
      </c>
      <c r="M905">
        <f>IF($N905=1,$L905+$K905,"")</f>
        <v/>
      </c>
      <c r="N905">
        <f>IF(ISNUMBER(SEARCH(" - ",$H905&amp;"")),1,0)</f>
        <v/>
      </c>
      <c r="O905">
        <f>IF(UPPER($H905&amp;"")="LEAVE",1,0)</f>
        <v/>
      </c>
      <c r="P905">
        <f>IF($N905=1,$K905,0)</f>
        <v/>
      </c>
      <c r="Q905">
        <f>IF($N905=0,"",IFERROR($L905-'Previous Engine'!$M$131,""))</f>
        <v/>
      </c>
    </row>
    <row r="906">
      <c r="A906" t="n">
        <v>905</v>
      </c>
      <c r="B906">
        <f>Schedule!$A$132</f>
        <v/>
      </c>
      <c r="C906">
        <f>Schedule!$D$132</f>
        <v/>
      </c>
      <c r="D906">
        <f>Schedule!$F$132</f>
        <v/>
      </c>
      <c r="E906" t="n">
        <v>1</v>
      </c>
      <c r="F906">
        <f>Schedule!$H$1</f>
        <v/>
      </c>
      <c r="G906">
        <f>Schedule!$H$2</f>
        <v/>
      </c>
      <c r="H906">
        <f>Schedule!$H$132</f>
        <v/>
      </c>
      <c r="I906">
        <f>IF($N906=1,VALUE(LEFT($H906,2)),"")</f>
        <v/>
      </c>
      <c r="J906">
        <f>IF($N906=1,VALUE(MID($H906,9,2)),"")</f>
        <v/>
      </c>
      <c r="K906">
        <f>IF($N906=1,MOD($J906-$I906,24),0)</f>
        <v/>
      </c>
      <c r="L906">
        <f>IF($N906=1,$E906*24+$I906,"")</f>
        <v/>
      </c>
      <c r="M906">
        <f>IF($N906=1,$L906+$K906,"")</f>
        <v/>
      </c>
      <c r="N906">
        <f>IF(ISNUMBER(SEARCH(" - ",$H906&amp;"")),1,0)</f>
        <v/>
      </c>
      <c r="O906">
        <f>IF(UPPER($H906&amp;"")="LEAVE",1,0)</f>
        <v/>
      </c>
      <c r="P906">
        <f>IF($N906=1,$K906,0)</f>
        <v/>
      </c>
      <c r="Q906">
        <f>IF($N906=0,"",IFERROR($L906-LOOKUP(2,1/(($B$2:$B905=$B906)*($N$2:$N905=1)),$M$2:$M905),""))</f>
        <v/>
      </c>
    </row>
    <row r="907">
      <c r="A907" t="n">
        <v>906</v>
      </c>
      <c r="B907">
        <f>Schedule!$A$132</f>
        <v/>
      </c>
      <c r="C907">
        <f>Schedule!$D$132</f>
        <v/>
      </c>
      <c r="D907">
        <f>Schedule!$F$132</f>
        <v/>
      </c>
      <c r="E907" t="n">
        <v>2</v>
      </c>
      <c r="F907">
        <f>Schedule!$I$1</f>
        <v/>
      </c>
      <c r="G907">
        <f>Schedule!$I$2</f>
        <v/>
      </c>
      <c r="H907">
        <f>Schedule!$I$132</f>
        <v/>
      </c>
      <c r="I907">
        <f>IF($N907=1,VALUE(LEFT($H907,2)),"")</f>
        <v/>
      </c>
      <c r="J907">
        <f>IF($N907=1,VALUE(MID($H907,9,2)),"")</f>
        <v/>
      </c>
      <c r="K907">
        <f>IF($N907=1,MOD($J907-$I907,24),0)</f>
        <v/>
      </c>
      <c r="L907">
        <f>IF($N907=1,$E907*24+$I907,"")</f>
        <v/>
      </c>
      <c r="M907">
        <f>IF($N907=1,$L907+$K907,"")</f>
        <v/>
      </c>
      <c r="N907">
        <f>IF(ISNUMBER(SEARCH(" - ",$H907&amp;"")),1,0)</f>
        <v/>
      </c>
      <c r="O907">
        <f>IF(UPPER($H907&amp;"")="LEAVE",1,0)</f>
        <v/>
      </c>
      <c r="P907">
        <f>IF($N907=1,$K907,0)</f>
        <v/>
      </c>
      <c r="Q907">
        <f>IF($N907=0,"",IFERROR($L907-LOOKUP(2,1/(($B$2:$B906=$B907)*($N$2:$N906=1)),$M$2:$M906),""))</f>
        <v/>
      </c>
    </row>
    <row r="908">
      <c r="A908" t="n">
        <v>907</v>
      </c>
      <c r="B908">
        <f>Schedule!$A$132</f>
        <v/>
      </c>
      <c r="C908">
        <f>Schedule!$D$132</f>
        <v/>
      </c>
      <c r="D908">
        <f>Schedule!$F$132</f>
        <v/>
      </c>
      <c r="E908" t="n">
        <v>3</v>
      </c>
      <c r="F908">
        <f>Schedule!$J$1</f>
        <v/>
      </c>
      <c r="G908">
        <f>Schedule!$J$2</f>
        <v/>
      </c>
      <c r="H908">
        <f>Schedule!$J$132</f>
        <v/>
      </c>
      <c r="I908">
        <f>IF($N908=1,VALUE(LEFT($H908,2)),"")</f>
        <v/>
      </c>
      <c r="J908">
        <f>IF($N908=1,VALUE(MID($H908,9,2)),"")</f>
        <v/>
      </c>
      <c r="K908">
        <f>IF($N908=1,MOD($J908-$I908,24),0)</f>
        <v/>
      </c>
      <c r="L908">
        <f>IF($N908=1,$E908*24+$I908,"")</f>
        <v/>
      </c>
      <c r="M908">
        <f>IF($N908=1,$L908+$K908,"")</f>
        <v/>
      </c>
      <c r="N908">
        <f>IF(ISNUMBER(SEARCH(" - ",$H908&amp;"")),1,0)</f>
        <v/>
      </c>
      <c r="O908">
        <f>IF(UPPER($H908&amp;"")="LEAVE",1,0)</f>
        <v/>
      </c>
      <c r="P908">
        <f>IF($N908=1,$K908,0)</f>
        <v/>
      </c>
      <c r="Q908">
        <f>IF($N908=0,"",IFERROR($L908-LOOKUP(2,1/(($B$2:$B907=$B908)*($N$2:$N907=1)),$M$2:$M907),""))</f>
        <v/>
      </c>
    </row>
    <row r="909">
      <c r="A909" t="n">
        <v>908</v>
      </c>
      <c r="B909">
        <f>Schedule!$A$132</f>
        <v/>
      </c>
      <c r="C909">
        <f>Schedule!$D$132</f>
        <v/>
      </c>
      <c r="D909">
        <f>Schedule!$F$132</f>
        <v/>
      </c>
      <c r="E909" t="n">
        <v>4</v>
      </c>
      <c r="F909">
        <f>Schedule!$K$1</f>
        <v/>
      </c>
      <c r="G909">
        <f>Schedule!$K$2</f>
        <v/>
      </c>
      <c r="H909">
        <f>Schedule!$K$132</f>
        <v/>
      </c>
      <c r="I909">
        <f>IF($N909=1,VALUE(LEFT($H909,2)),"")</f>
        <v/>
      </c>
      <c r="J909">
        <f>IF($N909=1,VALUE(MID($H909,9,2)),"")</f>
        <v/>
      </c>
      <c r="K909">
        <f>IF($N909=1,MOD($J909-$I909,24),0)</f>
        <v/>
      </c>
      <c r="L909">
        <f>IF($N909=1,$E909*24+$I909,"")</f>
        <v/>
      </c>
      <c r="M909">
        <f>IF($N909=1,$L909+$K909,"")</f>
        <v/>
      </c>
      <c r="N909">
        <f>IF(ISNUMBER(SEARCH(" - ",$H909&amp;"")),1,0)</f>
        <v/>
      </c>
      <c r="O909">
        <f>IF(UPPER($H909&amp;"")="LEAVE",1,0)</f>
        <v/>
      </c>
      <c r="P909">
        <f>IF($N909=1,$K909,0)</f>
        <v/>
      </c>
      <c r="Q909">
        <f>IF($N909=0,"",IFERROR($L909-LOOKUP(2,1/(($B$2:$B908=$B909)*($N$2:$N908=1)),$M$2:$M908),""))</f>
        <v/>
      </c>
    </row>
    <row r="910">
      <c r="A910" t="n">
        <v>909</v>
      </c>
      <c r="B910">
        <f>Schedule!$A$132</f>
        <v/>
      </c>
      <c r="C910">
        <f>Schedule!$D$132</f>
        <v/>
      </c>
      <c r="D910">
        <f>Schedule!$F$132</f>
        <v/>
      </c>
      <c r="E910" t="n">
        <v>5</v>
      </c>
      <c r="F910">
        <f>Schedule!$L$1</f>
        <v/>
      </c>
      <c r="G910">
        <f>Schedule!$L$2</f>
        <v/>
      </c>
      <c r="H910">
        <f>Schedule!$L$132</f>
        <v/>
      </c>
      <c r="I910">
        <f>IF($N910=1,VALUE(LEFT($H910,2)),"")</f>
        <v/>
      </c>
      <c r="J910">
        <f>IF($N910=1,VALUE(MID($H910,9,2)),"")</f>
        <v/>
      </c>
      <c r="K910">
        <f>IF($N910=1,MOD($J910-$I910,24),0)</f>
        <v/>
      </c>
      <c r="L910">
        <f>IF($N910=1,$E910*24+$I910,"")</f>
        <v/>
      </c>
      <c r="M910">
        <f>IF($N910=1,$L910+$K910,"")</f>
        <v/>
      </c>
      <c r="N910">
        <f>IF(ISNUMBER(SEARCH(" - ",$H910&amp;"")),1,0)</f>
        <v/>
      </c>
      <c r="O910">
        <f>IF(UPPER($H910&amp;"")="LEAVE",1,0)</f>
        <v/>
      </c>
      <c r="P910">
        <f>IF($N910=1,$K910,0)</f>
        <v/>
      </c>
      <c r="Q910">
        <f>IF($N910=0,"",IFERROR($L910-LOOKUP(2,1/(($B$2:$B909=$B910)*($N$2:$N909=1)),$M$2:$M909),""))</f>
        <v/>
      </c>
    </row>
    <row r="911">
      <c r="A911" t="n">
        <v>910</v>
      </c>
      <c r="B911">
        <f>Schedule!$A$132</f>
        <v/>
      </c>
      <c r="C911">
        <f>Schedule!$D$132</f>
        <v/>
      </c>
      <c r="D911">
        <f>Schedule!$F$132</f>
        <v/>
      </c>
      <c r="E911" t="n">
        <v>6</v>
      </c>
      <c r="F911">
        <f>Schedule!$M$1</f>
        <v/>
      </c>
      <c r="G911">
        <f>Schedule!$M$2</f>
        <v/>
      </c>
      <c r="H911">
        <f>Schedule!$M$132</f>
        <v/>
      </c>
      <c r="I911">
        <f>IF($N911=1,VALUE(LEFT($H911,2)),"")</f>
        <v/>
      </c>
      <c r="J911">
        <f>IF($N911=1,VALUE(MID($H911,9,2)),"")</f>
        <v/>
      </c>
      <c r="K911">
        <f>IF($N911=1,MOD($J911-$I911,24),0)</f>
        <v/>
      </c>
      <c r="L911">
        <f>IF($N911=1,$E911*24+$I911,"")</f>
        <v/>
      </c>
      <c r="M911">
        <f>IF($N911=1,$L911+$K911,"")</f>
        <v/>
      </c>
      <c r="N911">
        <f>IF(ISNUMBER(SEARCH(" - ",$H911&amp;"")),1,0)</f>
        <v/>
      </c>
      <c r="O911">
        <f>IF(UPPER($H911&amp;"")="LEAVE",1,0)</f>
        <v/>
      </c>
      <c r="P911">
        <f>IF($N911=1,$K911,0)</f>
        <v/>
      </c>
      <c r="Q911">
        <f>IF($N911=0,"",IFERROR($L911-LOOKUP(2,1/(($B$2:$B910=$B911)*($N$2:$N910=1)),$M$2:$M910),""))</f>
        <v/>
      </c>
    </row>
    <row r="912">
      <c r="A912" t="n">
        <v>911</v>
      </c>
      <c r="B912">
        <f>Schedule!$A$133</f>
        <v/>
      </c>
      <c r="C912">
        <f>Schedule!$D$133</f>
        <v/>
      </c>
      <c r="D912">
        <f>Schedule!$F$133</f>
        <v/>
      </c>
      <c r="E912" t="n">
        <v>0</v>
      </c>
      <c r="F912">
        <f>Schedule!$G$1</f>
        <v/>
      </c>
      <c r="G912">
        <f>Schedule!$G$2</f>
        <v/>
      </c>
      <c r="H912">
        <f>Schedule!$G$133</f>
        <v/>
      </c>
      <c r="I912">
        <f>IF($N912=1,VALUE(LEFT($H912,2)),"")</f>
        <v/>
      </c>
      <c r="J912">
        <f>IF($N912=1,VALUE(MID($H912,9,2)),"")</f>
        <v/>
      </c>
      <c r="K912">
        <f>IF($N912=1,MOD($J912-$I912,24),0)</f>
        <v/>
      </c>
      <c r="L912">
        <f>IF($N912=1,$E912*24+$I912,"")</f>
        <v/>
      </c>
      <c r="M912">
        <f>IF($N912=1,$L912+$K912,"")</f>
        <v/>
      </c>
      <c r="N912">
        <f>IF(ISNUMBER(SEARCH(" - ",$H912&amp;"")),1,0)</f>
        <v/>
      </c>
      <c r="O912">
        <f>IF(UPPER($H912&amp;"")="LEAVE",1,0)</f>
        <v/>
      </c>
      <c r="P912">
        <f>IF($N912=1,$K912,0)</f>
        <v/>
      </c>
      <c r="Q912">
        <f>IF($N912=0,"",IFERROR($L912-'Previous Engine'!$M$132,""))</f>
        <v/>
      </c>
    </row>
    <row r="913">
      <c r="A913" t="n">
        <v>912</v>
      </c>
      <c r="B913">
        <f>Schedule!$A$133</f>
        <v/>
      </c>
      <c r="C913">
        <f>Schedule!$D$133</f>
        <v/>
      </c>
      <c r="D913">
        <f>Schedule!$F$133</f>
        <v/>
      </c>
      <c r="E913" t="n">
        <v>1</v>
      </c>
      <c r="F913">
        <f>Schedule!$H$1</f>
        <v/>
      </c>
      <c r="G913">
        <f>Schedule!$H$2</f>
        <v/>
      </c>
      <c r="H913">
        <f>Schedule!$H$133</f>
        <v/>
      </c>
      <c r="I913">
        <f>IF($N913=1,VALUE(LEFT($H913,2)),"")</f>
        <v/>
      </c>
      <c r="J913">
        <f>IF($N913=1,VALUE(MID($H913,9,2)),"")</f>
        <v/>
      </c>
      <c r="K913">
        <f>IF($N913=1,MOD($J913-$I913,24),0)</f>
        <v/>
      </c>
      <c r="L913">
        <f>IF($N913=1,$E913*24+$I913,"")</f>
        <v/>
      </c>
      <c r="M913">
        <f>IF($N913=1,$L913+$K913,"")</f>
        <v/>
      </c>
      <c r="N913">
        <f>IF(ISNUMBER(SEARCH(" - ",$H913&amp;"")),1,0)</f>
        <v/>
      </c>
      <c r="O913">
        <f>IF(UPPER($H913&amp;"")="LEAVE",1,0)</f>
        <v/>
      </c>
      <c r="P913">
        <f>IF($N913=1,$K913,0)</f>
        <v/>
      </c>
      <c r="Q913">
        <f>IF($N913=0,"",IFERROR($L913-LOOKUP(2,1/(($B$2:$B912=$B913)*($N$2:$N912=1)),$M$2:$M912),""))</f>
        <v/>
      </c>
    </row>
    <row r="914">
      <c r="A914" t="n">
        <v>913</v>
      </c>
      <c r="B914">
        <f>Schedule!$A$133</f>
        <v/>
      </c>
      <c r="C914">
        <f>Schedule!$D$133</f>
        <v/>
      </c>
      <c r="D914">
        <f>Schedule!$F$133</f>
        <v/>
      </c>
      <c r="E914" t="n">
        <v>2</v>
      </c>
      <c r="F914">
        <f>Schedule!$I$1</f>
        <v/>
      </c>
      <c r="G914">
        <f>Schedule!$I$2</f>
        <v/>
      </c>
      <c r="H914">
        <f>Schedule!$I$133</f>
        <v/>
      </c>
      <c r="I914">
        <f>IF($N914=1,VALUE(LEFT($H914,2)),"")</f>
        <v/>
      </c>
      <c r="J914">
        <f>IF($N914=1,VALUE(MID($H914,9,2)),"")</f>
        <v/>
      </c>
      <c r="K914">
        <f>IF($N914=1,MOD($J914-$I914,24),0)</f>
        <v/>
      </c>
      <c r="L914">
        <f>IF($N914=1,$E914*24+$I914,"")</f>
        <v/>
      </c>
      <c r="M914">
        <f>IF($N914=1,$L914+$K914,"")</f>
        <v/>
      </c>
      <c r="N914">
        <f>IF(ISNUMBER(SEARCH(" - ",$H914&amp;"")),1,0)</f>
        <v/>
      </c>
      <c r="O914">
        <f>IF(UPPER($H914&amp;"")="LEAVE",1,0)</f>
        <v/>
      </c>
      <c r="P914">
        <f>IF($N914=1,$K914,0)</f>
        <v/>
      </c>
      <c r="Q914">
        <f>IF($N914=0,"",IFERROR($L914-LOOKUP(2,1/(($B$2:$B913=$B914)*($N$2:$N913=1)),$M$2:$M913),""))</f>
        <v/>
      </c>
    </row>
    <row r="915">
      <c r="A915" t="n">
        <v>914</v>
      </c>
      <c r="B915">
        <f>Schedule!$A$133</f>
        <v/>
      </c>
      <c r="C915">
        <f>Schedule!$D$133</f>
        <v/>
      </c>
      <c r="D915">
        <f>Schedule!$F$133</f>
        <v/>
      </c>
      <c r="E915" t="n">
        <v>3</v>
      </c>
      <c r="F915">
        <f>Schedule!$J$1</f>
        <v/>
      </c>
      <c r="G915">
        <f>Schedule!$J$2</f>
        <v/>
      </c>
      <c r="H915">
        <f>Schedule!$J$133</f>
        <v/>
      </c>
      <c r="I915">
        <f>IF($N915=1,VALUE(LEFT($H915,2)),"")</f>
        <v/>
      </c>
      <c r="J915">
        <f>IF($N915=1,VALUE(MID($H915,9,2)),"")</f>
        <v/>
      </c>
      <c r="K915">
        <f>IF($N915=1,MOD($J915-$I915,24),0)</f>
        <v/>
      </c>
      <c r="L915">
        <f>IF($N915=1,$E915*24+$I915,"")</f>
        <v/>
      </c>
      <c r="M915">
        <f>IF($N915=1,$L915+$K915,"")</f>
        <v/>
      </c>
      <c r="N915">
        <f>IF(ISNUMBER(SEARCH(" - ",$H915&amp;"")),1,0)</f>
        <v/>
      </c>
      <c r="O915">
        <f>IF(UPPER($H915&amp;"")="LEAVE",1,0)</f>
        <v/>
      </c>
      <c r="P915">
        <f>IF($N915=1,$K915,0)</f>
        <v/>
      </c>
      <c r="Q915">
        <f>IF($N915=0,"",IFERROR($L915-LOOKUP(2,1/(($B$2:$B914=$B915)*($N$2:$N914=1)),$M$2:$M914),""))</f>
        <v/>
      </c>
    </row>
    <row r="916">
      <c r="A916" t="n">
        <v>915</v>
      </c>
      <c r="B916">
        <f>Schedule!$A$133</f>
        <v/>
      </c>
      <c r="C916">
        <f>Schedule!$D$133</f>
        <v/>
      </c>
      <c r="D916">
        <f>Schedule!$F$133</f>
        <v/>
      </c>
      <c r="E916" t="n">
        <v>4</v>
      </c>
      <c r="F916">
        <f>Schedule!$K$1</f>
        <v/>
      </c>
      <c r="G916">
        <f>Schedule!$K$2</f>
        <v/>
      </c>
      <c r="H916">
        <f>Schedule!$K$133</f>
        <v/>
      </c>
      <c r="I916">
        <f>IF($N916=1,VALUE(LEFT($H916,2)),"")</f>
        <v/>
      </c>
      <c r="J916">
        <f>IF($N916=1,VALUE(MID($H916,9,2)),"")</f>
        <v/>
      </c>
      <c r="K916">
        <f>IF($N916=1,MOD($J916-$I916,24),0)</f>
        <v/>
      </c>
      <c r="L916">
        <f>IF($N916=1,$E916*24+$I916,"")</f>
        <v/>
      </c>
      <c r="M916">
        <f>IF($N916=1,$L916+$K916,"")</f>
        <v/>
      </c>
      <c r="N916">
        <f>IF(ISNUMBER(SEARCH(" - ",$H916&amp;"")),1,0)</f>
        <v/>
      </c>
      <c r="O916">
        <f>IF(UPPER($H916&amp;"")="LEAVE",1,0)</f>
        <v/>
      </c>
      <c r="P916">
        <f>IF($N916=1,$K916,0)</f>
        <v/>
      </c>
      <c r="Q916">
        <f>IF($N916=0,"",IFERROR($L916-LOOKUP(2,1/(($B$2:$B915=$B916)*($N$2:$N915=1)),$M$2:$M915),""))</f>
        <v/>
      </c>
    </row>
    <row r="917">
      <c r="A917" t="n">
        <v>916</v>
      </c>
      <c r="B917">
        <f>Schedule!$A$133</f>
        <v/>
      </c>
      <c r="C917">
        <f>Schedule!$D$133</f>
        <v/>
      </c>
      <c r="D917">
        <f>Schedule!$F$133</f>
        <v/>
      </c>
      <c r="E917" t="n">
        <v>5</v>
      </c>
      <c r="F917">
        <f>Schedule!$L$1</f>
        <v/>
      </c>
      <c r="G917">
        <f>Schedule!$L$2</f>
        <v/>
      </c>
      <c r="H917">
        <f>Schedule!$L$133</f>
        <v/>
      </c>
      <c r="I917">
        <f>IF($N917=1,VALUE(LEFT($H917,2)),"")</f>
        <v/>
      </c>
      <c r="J917">
        <f>IF($N917=1,VALUE(MID($H917,9,2)),"")</f>
        <v/>
      </c>
      <c r="K917">
        <f>IF($N917=1,MOD($J917-$I917,24),0)</f>
        <v/>
      </c>
      <c r="L917">
        <f>IF($N917=1,$E917*24+$I917,"")</f>
        <v/>
      </c>
      <c r="M917">
        <f>IF($N917=1,$L917+$K917,"")</f>
        <v/>
      </c>
      <c r="N917">
        <f>IF(ISNUMBER(SEARCH(" - ",$H917&amp;"")),1,0)</f>
        <v/>
      </c>
      <c r="O917">
        <f>IF(UPPER($H917&amp;"")="LEAVE",1,0)</f>
        <v/>
      </c>
      <c r="P917">
        <f>IF($N917=1,$K917,0)</f>
        <v/>
      </c>
      <c r="Q917">
        <f>IF($N917=0,"",IFERROR($L917-LOOKUP(2,1/(($B$2:$B916=$B917)*($N$2:$N916=1)),$M$2:$M916),""))</f>
        <v/>
      </c>
    </row>
    <row r="918">
      <c r="A918" t="n">
        <v>917</v>
      </c>
      <c r="B918">
        <f>Schedule!$A$133</f>
        <v/>
      </c>
      <c r="C918">
        <f>Schedule!$D$133</f>
        <v/>
      </c>
      <c r="D918">
        <f>Schedule!$F$133</f>
        <v/>
      </c>
      <c r="E918" t="n">
        <v>6</v>
      </c>
      <c r="F918">
        <f>Schedule!$M$1</f>
        <v/>
      </c>
      <c r="G918">
        <f>Schedule!$M$2</f>
        <v/>
      </c>
      <c r="H918">
        <f>Schedule!$M$133</f>
        <v/>
      </c>
      <c r="I918">
        <f>IF($N918=1,VALUE(LEFT($H918,2)),"")</f>
        <v/>
      </c>
      <c r="J918">
        <f>IF($N918=1,VALUE(MID($H918,9,2)),"")</f>
        <v/>
      </c>
      <c r="K918">
        <f>IF($N918=1,MOD($J918-$I918,24),0)</f>
        <v/>
      </c>
      <c r="L918">
        <f>IF($N918=1,$E918*24+$I918,"")</f>
        <v/>
      </c>
      <c r="M918">
        <f>IF($N918=1,$L918+$K918,"")</f>
        <v/>
      </c>
      <c r="N918">
        <f>IF(ISNUMBER(SEARCH(" - ",$H918&amp;"")),1,0)</f>
        <v/>
      </c>
      <c r="O918">
        <f>IF(UPPER($H918&amp;"")="LEAVE",1,0)</f>
        <v/>
      </c>
      <c r="P918">
        <f>IF($N918=1,$K918,0)</f>
        <v/>
      </c>
      <c r="Q918">
        <f>IF($N918=0,"",IFERROR($L918-LOOKUP(2,1/(($B$2:$B917=$B918)*($N$2:$N917=1)),$M$2:$M917),""))</f>
        <v/>
      </c>
    </row>
    <row r="919">
      <c r="A919" t="n">
        <v>918</v>
      </c>
      <c r="B919">
        <f>Schedule!$A$134</f>
        <v/>
      </c>
      <c r="C919">
        <f>Schedule!$D$134</f>
        <v/>
      </c>
      <c r="D919">
        <f>Schedule!$F$134</f>
        <v/>
      </c>
      <c r="E919" t="n">
        <v>0</v>
      </c>
      <c r="F919">
        <f>Schedule!$G$1</f>
        <v/>
      </c>
      <c r="G919">
        <f>Schedule!$G$2</f>
        <v/>
      </c>
      <c r="H919">
        <f>Schedule!$G$134</f>
        <v/>
      </c>
      <c r="I919">
        <f>IF($N919=1,VALUE(LEFT($H919,2)),"")</f>
        <v/>
      </c>
      <c r="J919">
        <f>IF($N919=1,VALUE(MID($H919,9,2)),"")</f>
        <v/>
      </c>
      <c r="K919">
        <f>IF($N919=1,MOD($J919-$I919,24),0)</f>
        <v/>
      </c>
      <c r="L919">
        <f>IF($N919=1,$E919*24+$I919,"")</f>
        <v/>
      </c>
      <c r="M919">
        <f>IF($N919=1,$L919+$K919,"")</f>
        <v/>
      </c>
      <c r="N919">
        <f>IF(ISNUMBER(SEARCH(" - ",$H919&amp;"")),1,0)</f>
        <v/>
      </c>
      <c r="O919">
        <f>IF(UPPER($H919&amp;"")="LEAVE",1,0)</f>
        <v/>
      </c>
      <c r="P919">
        <f>IF($N919=1,$K919,0)</f>
        <v/>
      </c>
      <c r="Q919">
        <f>IF($N919=0,"",IFERROR($L919-'Previous Engine'!$M$133,""))</f>
        <v/>
      </c>
    </row>
    <row r="920">
      <c r="A920" t="n">
        <v>919</v>
      </c>
      <c r="B920">
        <f>Schedule!$A$134</f>
        <v/>
      </c>
      <c r="C920">
        <f>Schedule!$D$134</f>
        <v/>
      </c>
      <c r="D920">
        <f>Schedule!$F$134</f>
        <v/>
      </c>
      <c r="E920" t="n">
        <v>1</v>
      </c>
      <c r="F920">
        <f>Schedule!$H$1</f>
        <v/>
      </c>
      <c r="G920">
        <f>Schedule!$H$2</f>
        <v/>
      </c>
      <c r="H920">
        <f>Schedule!$H$134</f>
        <v/>
      </c>
      <c r="I920">
        <f>IF($N920=1,VALUE(LEFT($H920,2)),"")</f>
        <v/>
      </c>
      <c r="J920">
        <f>IF($N920=1,VALUE(MID($H920,9,2)),"")</f>
        <v/>
      </c>
      <c r="K920">
        <f>IF($N920=1,MOD($J920-$I920,24),0)</f>
        <v/>
      </c>
      <c r="L920">
        <f>IF($N920=1,$E920*24+$I920,"")</f>
        <v/>
      </c>
      <c r="M920">
        <f>IF($N920=1,$L920+$K920,"")</f>
        <v/>
      </c>
      <c r="N920">
        <f>IF(ISNUMBER(SEARCH(" - ",$H920&amp;"")),1,0)</f>
        <v/>
      </c>
      <c r="O920">
        <f>IF(UPPER($H920&amp;"")="LEAVE",1,0)</f>
        <v/>
      </c>
      <c r="P920">
        <f>IF($N920=1,$K920,0)</f>
        <v/>
      </c>
      <c r="Q920">
        <f>IF($N920=0,"",IFERROR($L920-LOOKUP(2,1/(($B$2:$B919=$B920)*($N$2:$N919=1)),$M$2:$M919),""))</f>
        <v/>
      </c>
    </row>
    <row r="921">
      <c r="A921" t="n">
        <v>920</v>
      </c>
      <c r="B921">
        <f>Schedule!$A$134</f>
        <v/>
      </c>
      <c r="C921">
        <f>Schedule!$D$134</f>
        <v/>
      </c>
      <c r="D921">
        <f>Schedule!$F$134</f>
        <v/>
      </c>
      <c r="E921" t="n">
        <v>2</v>
      </c>
      <c r="F921">
        <f>Schedule!$I$1</f>
        <v/>
      </c>
      <c r="G921">
        <f>Schedule!$I$2</f>
        <v/>
      </c>
      <c r="H921">
        <f>Schedule!$I$134</f>
        <v/>
      </c>
      <c r="I921">
        <f>IF($N921=1,VALUE(LEFT($H921,2)),"")</f>
        <v/>
      </c>
      <c r="J921">
        <f>IF($N921=1,VALUE(MID($H921,9,2)),"")</f>
        <v/>
      </c>
      <c r="K921">
        <f>IF($N921=1,MOD($J921-$I921,24),0)</f>
        <v/>
      </c>
      <c r="L921">
        <f>IF($N921=1,$E921*24+$I921,"")</f>
        <v/>
      </c>
      <c r="M921">
        <f>IF($N921=1,$L921+$K921,"")</f>
        <v/>
      </c>
      <c r="N921">
        <f>IF(ISNUMBER(SEARCH(" - ",$H921&amp;"")),1,0)</f>
        <v/>
      </c>
      <c r="O921">
        <f>IF(UPPER($H921&amp;"")="LEAVE",1,0)</f>
        <v/>
      </c>
      <c r="P921">
        <f>IF($N921=1,$K921,0)</f>
        <v/>
      </c>
      <c r="Q921">
        <f>IF($N921=0,"",IFERROR($L921-LOOKUP(2,1/(($B$2:$B920=$B921)*($N$2:$N920=1)),$M$2:$M920),""))</f>
        <v/>
      </c>
    </row>
    <row r="922">
      <c r="A922" t="n">
        <v>921</v>
      </c>
      <c r="B922">
        <f>Schedule!$A$134</f>
        <v/>
      </c>
      <c r="C922">
        <f>Schedule!$D$134</f>
        <v/>
      </c>
      <c r="D922">
        <f>Schedule!$F$134</f>
        <v/>
      </c>
      <c r="E922" t="n">
        <v>3</v>
      </c>
      <c r="F922">
        <f>Schedule!$J$1</f>
        <v/>
      </c>
      <c r="G922">
        <f>Schedule!$J$2</f>
        <v/>
      </c>
      <c r="H922">
        <f>Schedule!$J$134</f>
        <v/>
      </c>
      <c r="I922">
        <f>IF($N922=1,VALUE(LEFT($H922,2)),"")</f>
        <v/>
      </c>
      <c r="J922">
        <f>IF($N922=1,VALUE(MID($H922,9,2)),"")</f>
        <v/>
      </c>
      <c r="K922">
        <f>IF($N922=1,MOD($J922-$I922,24),0)</f>
        <v/>
      </c>
      <c r="L922">
        <f>IF($N922=1,$E922*24+$I922,"")</f>
        <v/>
      </c>
      <c r="M922">
        <f>IF($N922=1,$L922+$K922,"")</f>
        <v/>
      </c>
      <c r="N922">
        <f>IF(ISNUMBER(SEARCH(" - ",$H922&amp;"")),1,0)</f>
        <v/>
      </c>
      <c r="O922">
        <f>IF(UPPER($H922&amp;"")="LEAVE",1,0)</f>
        <v/>
      </c>
      <c r="P922">
        <f>IF($N922=1,$K922,0)</f>
        <v/>
      </c>
      <c r="Q922">
        <f>IF($N922=0,"",IFERROR($L922-LOOKUP(2,1/(($B$2:$B921=$B922)*($N$2:$N921=1)),$M$2:$M921),""))</f>
        <v/>
      </c>
    </row>
    <row r="923">
      <c r="A923" t="n">
        <v>922</v>
      </c>
      <c r="B923">
        <f>Schedule!$A$134</f>
        <v/>
      </c>
      <c r="C923">
        <f>Schedule!$D$134</f>
        <v/>
      </c>
      <c r="D923">
        <f>Schedule!$F$134</f>
        <v/>
      </c>
      <c r="E923" t="n">
        <v>4</v>
      </c>
      <c r="F923">
        <f>Schedule!$K$1</f>
        <v/>
      </c>
      <c r="G923">
        <f>Schedule!$K$2</f>
        <v/>
      </c>
      <c r="H923">
        <f>Schedule!$K$134</f>
        <v/>
      </c>
      <c r="I923">
        <f>IF($N923=1,VALUE(LEFT($H923,2)),"")</f>
        <v/>
      </c>
      <c r="J923">
        <f>IF($N923=1,VALUE(MID($H923,9,2)),"")</f>
        <v/>
      </c>
      <c r="K923">
        <f>IF($N923=1,MOD($J923-$I923,24),0)</f>
        <v/>
      </c>
      <c r="L923">
        <f>IF($N923=1,$E923*24+$I923,"")</f>
        <v/>
      </c>
      <c r="M923">
        <f>IF($N923=1,$L923+$K923,"")</f>
        <v/>
      </c>
      <c r="N923">
        <f>IF(ISNUMBER(SEARCH(" - ",$H923&amp;"")),1,0)</f>
        <v/>
      </c>
      <c r="O923">
        <f>IF(UPPER($H923&amp;"")="LEAVE",1,0)</f>
        <v/>
      </c>
      <c r="P923">
        <f>IF($N923=1,$K923,0)</f>
        <v/>
      </c>
      <c r="Q923">
        <f>IF($N923=0,"",IFERROR($L923-LOOKUP(2,1/(($B$2:$B922=$B923)*($N$2:$N922=1)),$M$2:$M922),""))</f>
        <v/>
      </c>
    </row>
    <row r="924">
      <c r="A924" t="n">
        <v>923</v>
      </c>
      <c r="B924">
        <f>Schedule!$A$134</f>
        <v/>
      </c>
      <c r="C924">
        <f>Schedule!$D$134</f>
        <v/>
      </c>
      <c r="D924">
        <f>Schedule!$F$134</f>
        <v/>
      </c>
      <c r="E924" t="n">
        <v>5</v>
      </c>
      <c r="F924">
        <f>Schedule!$L$1</f>
        <v/>
      </c>
      <c r="G924">
        <f>Schedule!$L$2</f>
        <v/>
      </c>
      <c r="H924">
        <f>Schedule!$L$134</f>
        <v/>
      </c>
      <c r="I924">
        <f>IF($N924=1,VALUE(LEFT($H924,2)),"")</f>
        <v/>
      </c>
      <c r="J924">
        <f>IF($N924=1,VALUE(MID($H924,9,2)),"")</f>
        <v/>
      </c>
      <c r="K924">
        <f>IF($N924=1,MOD($J924-$I924,24),0)</f>
        <v/>
      </c>
      <c r="L924">
        <f>IF($N924=1,$E924*24+$I924,"")</f>
        <v/>
      </c>
      <c r="M924">
        <f>IF($N924=1,$L924+$K924,"")</f>
        <v/>
      </c>
      <c r="N924">
        <f>IF(ISNUMBER(SEARCH(" - ",$H924&amp;"")),1,0)</f>
        <v/>
      </c>
      <c r="O924">
        <f>IF(UPPER($H924&amp;"")="LEAVE",1,0)</f>
        <v/>
      </c>
      <c r="P924">
        <f>IF($N924=1,$K924,0)</f>
        <v/>
      </c>
      <c r="Q924">
        <f>IF($N924=0,"",IFERROR($L924-LOOKUP(2,1/(($B$2:$B923=$B924)*($N$2:$N923=1)),$M$2:$M923),""))</f>
        <v/>
      </c>
    </row>
    <row r="925">
      <c r="A925" t="n">
        <v>924</v>
      </c>
      <c r="B925">
        <f>Schedule!$A$134</f>
        <v/>
      </c>
      <c r="C925">
        <f>Schedule!$D$134</f>
        <v/>
      </c>
      <c r="D925">
        <f>Schedule!$F$134</f>
        <v/>
      </c>
      <c r="E925" t="n">
        <v>6</v>
      </c>
      <c r="F925">
        <f>Schedule!$M$1</f>
        <v/>
      </c>
      <c r="G925">
        <f>Schedule!$M$2</f>
        <v/>
      </c>
      <c r="H925">
        <f>Schedule!$M$134</f>
        <v/>
      </c>
      <c r="I925">
        <f>IF($N925=1,VALUE(LEFT($H925,2)),"")</f>
        <v/>
      </c>
      <c r="J925">
        <f>IF($N925=1,VALUE(MID($H925,9,2)),"")</f>
        <v/>
      </c>
      <c r="K925">
        <f>IF($N925=1,MOD($J925-$I925,24),0)</f>
        <v/>
      </c>
      <c r="L925">
        <f>IF($N925=1,$E925*24+$I925,"")</f>
        <v/>
      </c>
      <c r="M925">
        <f>IF($N925=1,$L925+$K925,"")</f>
        <v/>
      </c>
      <c r="N925">
        <f>IF(ISNUMBER(SEARCH(" - ",$H925&amp;"")),1,0)</f>
        <v/>
      </c>
      <c r="O925">
        <f>IF(UPPER($H925&amp;"")="LEAVE",1,0)</f>
        <v/>
      </c>
      <c r="P925">
        <f>IF($N925=1,$K925,0)</f>
        <v/>
      </c>
      <c r="Q925">
        <f>IF($N925=0,"",IFERROR($L925-LOOKUP(2,1/(($B$2:$B924=$B925)*($N$2:$N924=1)),$M$2:$M924),""))</f>
        <v/>
      </c>
    </row>
    <row r="926">
      <c r="A926" t="n">
        <v>925</v>
      </c>
      <c r="B926">
        <f>Schedule!$A$135</f>
        <v/>
      </c>
      <c r="C926">
        <f>Schedule!$D$135</f>
        <v/>
      </c>
      <c r="D926">
        <f>Schedule!$F$135</f>
        <v/>
      </c>
      <c r="E926" t="n">
        <v>0</v>
      </c>
      <c r="F926">
        <f>Schedule!$G$1</f>
        <v/>
      </c>
      <c r="G926">
        <f>Schedule!$G$2</f>
        <v/>
      </c>
      <c r="H926">
        <f>Schedule!$G$135</f>
        <v/>
      </c>
      <c r="I926">
        <f>IF($N926=1,VALUE(LEFT($H926,2)),"")</f>
        <v/>
      </c>
      <c r="J926">
        <f>IF($N926=1,VALUE(MID($H926,9,2)),"")</f>
        <v/>
      </c>
      <c r="K926">
        <f>IF($N926=1,MOD($J926-$I926,24),0)</f>
        <v/>
      </c>
      <c r="L926">
        <f>IF($N926=1,$E926*24+$I926,"")</f>
        <v/>
      </c>
      <c r="M926">
        <f>IF($N926=1,$L926+$K926,"")</f>
        <v/>
      </c>
      <c r="N926">
        <f>IF(ISNUMBER(SEARCH(" - ",$H926&amp;"")),1,0)</f>
        <v/>
      </c>
      <c r="O926">
        <f>IF(UPPER($H926&amp;"")="LEAVE",1,0)</f>
        <v/>
      </c>
      <c r="P926">
        <f>IF($N926=1,$K926,0)</f>
        <v/>
      </c>
      <c r="Q926">
        <f>IF($N926=0,"",IFERROR($L926-'Previous Engine'!$M$134,""))</f>
        <v/>
      </c>
    </row>
    <row r="927">
      <c r="A927" t="n">
        <v>926</v>
      </c>
      <c r="B927">
        <f>Schedule!$A$135</f>
        <v/>
      </c>
      <c r="C927">
        <f>Schedule!$D$135</f>
        <v/>
      </c>
      <c r="D927">
        <f>Schedule!$F$135</f>
        <v/>
      </c>
      <c r="E927" t="n">
        <v>1</v>
      </c>
      <c r="F927">
        <f>Schedule!$H$1</f>
        <v/>
      </c>
      <c r="G927">
        <f>Schedule!$H$2</f>
        <v/>
      </c>
      <c r="H927">
        <f>Schedule!$H$135</f>
        <v/>
      </c>
      <c r="I927">
        <f>IF($N927=1,VALUE(LEFT($H927,2)),"")</f>
        <v/>
      </c>
      <c r="J927">
        <f>IF($N927=1,VALUE(MID($H927,9,2)),"")</f>
        <v/>
      </c>
      <c r="K927">
        <f>IF($N927=1,MOD($J927-$I927,24),0)</f>
        <v/>
      </c>
      <c r="L927">
        <f>IF($N927=1,$E927*24+$I927,"")</f>
        <v/>
      </c>
      <c r="M927">
        <f>IF($N927=1,$L927+$K927,"")</f>
        <v/>
      </c>
      <c r="N927">
        <f>IF(ISNUMBER(SEARCH(" - ",$H927&amp;"")),1,0)</f>
        <v/>
      </c>
      <c r="O927">
        <f>IF(UPPER($H927&amp;"")="LEAVE",1,0)</f>
        <v/>
      </c>
      <c r="P927">
        <f>IF($N927=1,$K927,0)</f>
        <v/>
      </c>
      <c r="Q927">
        <f>IF($N927=0,"",IFERROR($L927-LOOKUP(2,1/(($B$2:$B926=$B927)*($N$2:$N926=1)),$M$2:$M926),""))</f>
        <v/>
      </c>
    </row>
    <row r="928">
      <c r="A928" t="n">
        <v>927</v>
      </c>
      <c r="B928">
        <f>Schedule!$A$135</f>
        <v/>
      </c>
      <c r="C928">
        <f>Schedule!$D$135</f>
        <v/>
      </c>
      <c r="D928">
        <f>Schedule!$F$135</f>
        <v/>
      </c>
      <c r="E928" t="n">
        <v>2</v>
      </c>
      <c r="F928">
        <f>Schedule!$I$1</f>
        <v/>
      </c>
      <c r="G928">
        <f>Schedule!$I$2</f>
        <v/>
      </c>
      <c r="H928">
        <f>Schedule!$I$135</f>
        <v/>
      </c>
      <c r="I928">
        <f>IF($N928=1,VALUE(LEFT($H928,2)),"")</f>
        <v/>
      </c>
      <c r="J928">
        <f>IF($N928=1,VALUE(MID($H928,9,2)),"")</f>
        <v/>
      </c>
      <c r="K928">
        <f>IF($N928=1,MOD($J928-$I928,24),0)</f>
        <v/>
      </c>
      <c r="L928">
        <f>IF($N928=1,$E928*24+$I928,"")</f>
        <v/>
      </c>
      <c r="M928">
        <f>IF($N928=1,$L928+$K928,"")</f>
        <v/>
      </c>
      <c r="N928">
        <f>IF(ISNUMBER(SEARCH(" - ",$H928&amp;"")),1,0)</f>
        <v/>
      </c>
      <c r="O928">
        <f>IF(UPPER($H928&amp;"")="LEAVE",1,0)</f>
        <v/>
      </c>
      <c r="P928">
        <f>IF($N928=1,$K928,0)</f>
        <v/>
      </c>
      <c r="Q928">
        <f>IF($N928=0,"",IFERROR($L928-LOOKUP(2,1/(($B$2:$B927=$B928)*($N$2:$N927=1)),$M$2:$M927),""))</f>
        <v/>
      </c>
    </row>
    <row r="929">
      <c r="A929" t="n">
        <v>928</v>
      </c>
      <c r="B929">
        <f>Schedule!$A$135</f>
        <v/>
      </c>
      <c r="C929">
        <f>Schedule!$D$135</f>
        <v/>
      </c>
      <c r="D929">
        <f>Schedule!$F$135</f>
        <v/>
      </c>
      <c r="E929" t="n">
        <v>3</v>
      </c>
      <c r="F929">
        <f>Schedule!$J$1</f>
        <v/>
      </c>
      <c r="G929">
        <f>Schedule!$J$2</f>
        <v/>
      </c>
      <c r="H929">
        <f>Schedule!$J$135</f>
        <v/>
      </c>
      <c r="I929">
        <f>IF($N929=1,VALUE(LEFT($H929,2)),"")</f>
        <v/>
      </c>
      <c r="J929">
        <f>IF($N929=1,VALUE(MID($H929,9,2)),"")</f>
        <v/>
      </c>
      <c r="K929">
        <f>IF($N929=1,MOD($J929-$I929,24),0)</f>
        <v/>
      </c>
      <c r="L929">
        <f>IF($N929=1,$E929*24+$I929,"")</f>
        <v/>
      </c>
      <c r="M929">
        <f>IF($N929=1,$L929+$K929,"")</f>
        <v/>
      </c>
      <c r="N929">
        <f>IF(ISNUMBER(SEARCH(" - ",$H929&amp;"")),1,0)</f>
        <v/>
      </c>
      <c r="O929">
        <f>IF(UPPER($H929&amp;"")="LEAVE",1,0)</f>
        <v/>
      </c>
      <c r="P929">
        <f>IF($N929=1,$K929,0)</f>
        <v/>
      </c>
      <c r="Q929">
        <f>IF($N929=0,"",IFERROR($L929-LOOKUP(2,1/(($B$2:$B928=$B929)*($N$2:$N928=1)),$M$2:$M928),""))</f>
        <v/>
      </c>
    </row>
    <row r="930">
      <c r="A930" t="n">
        <v>929</v>
      </c>
      <c r="B930">
        <f>Schedule!$A$135</f>
        <v/>
      </c>
      <c r="C930">
        <f>Schedule!$D$135</f>
        <v/>
      </c>
      <c r="D930">
        <f>Schedule!$F$135</f>
        <v/>
      </c>
      <c r="E930" t="n">
        <v>4</v>
      </c>
      <c r="F930">
        <f>Schedule!$K$1</f>
        <v/>
      </c>
      <c r="G930">
        <f>Schedule!$K$2</f>
        <v/>
      </c>
      <c r="H930">
        <f>Schedule!$K$135</f>
        <v/>
      </c>
      <c r="I930">
        <f>IF($N930=1,VALUE(LEFT($H930,2)),"")</f>
        <v/>
      </c>
      <c r="J930">
        <f>IF($N930=1,VALUE(MID($H930,9,2)),"")</f>
        <v/>
      </c>
      <c r="K930">
        <f>IF($N930=1,MOD($J930-$I930,24),0)</f>
        <v/>
      </c>
      <c r="L930">
        <f>IF($N930=1,$E930*24+$I930,"")</f>
        <v/>
      </c>
      <c r="M930">
        <f>IF($N930=1,$L930+$K930,"")</f>
        <v/>
      </c>
      <c r="N930">
        <f>IF(ISNUMBER(SEARCH(" - ",$H930&amp;"")),1,0)</f>
        <v/>
      </c>
      <c r="O930">
        <f>IF(UPPER($H930&amp;"")="LEAVE",1,0)</f>
        <v/>
      </c>
      <c r="P930">
        <f>IF($N930=1,$K930,0)</f>
        <v/>
      </c>
      <c r="Q930">
        <f>IF($N930=0,"",IFERROR($L930-LOOKUP(2,1/(($B$2:$B929=$B930)*($N$2:$N929=1)),$M$2:$M929),""))</f>
        <v/>
      </c>
    </row>
    <row r="931">
      <c r="A931" t="n">
        <v>930</v>
      </c>
      <c r="B931">
        <f>Schedule!$A$135</f>
        <v/>
      </c>
      <c r="C931">
        <f>Schedule!$D$135</f>
        <v/>
      </c>
      <c r="D931">
        <f>Schedule!$F$135</f>
        <v/>
      </c>
      <c r="E931" t="n">
        <v>5</v>
      </c>
      <c r="F931">
        <f>Schedule!$L$1</f>
        <v/>
      </c>
      <c r="G931">
        <f>Schedule!$L$2</f>
        <v/>
      </c>
      <c r="H931">
        <f>Schedule!$L$135</f>
        <v/>
      </c>
      <c r="I931">
        <f>IF($N931=1,VALUE(LEFT($H931,2)),"")</f>
        <v/>
      </c>
      <c r="J931">
        <f>IF($N931=1,VALUE(MID($H931,9,2)),"")</f>
        <v/>
      </c>
      <c r="K931">
        <f>IF($N931=1,MOD($J931-$I931,24),0)</f>
        <v/>
      </c>
      <c r="L931">
        <f>IF($N931=1,$E931*24+$I931,"")</f>
        <v/>
      </c>
      <c r="M931">
        <f>IF($N931=1,$L931+$K931,"")</f>
        <v/>
      </c>
      <c r="N931">
        <f>IF(ISNUMBER(SEARCH(" - ",$H931&amp;"")),1,0)</f>
        <v/>
      </c>
      <c r="O931">
        <f>IF(UPPER($H931&amp;"")="LEAVE",1,0)</f>
        <v/>
      </c>
      <c r="P931">
        <f>IF($N931=1,$K931,0)</f>
        <v/>
      </c>
      <c r="Q931">
        <f>IF($N931=0,"",IFERROR($L931-LOOKUP(2,1/(($B$2:$B930=$B931)*($N$2:$N930=1)),$M$2:$M930),""))</f>
        <v/>
      </c>
    </row>
    <row r="932">
      <c r="A932" t="n">
        <v>931</v>
      </c>
      <c r="B932">
        <f>Schedule!$A$135</f>
        <v/>
      </c>
      <c r="C932">
        <f>Schedule!$D$135</f>
        <v/>
      </c>
      <c r="D932">
        <f>Schedule!$F$135</f>
        <v/>
      </c>
      <c r="E932" t="n">
        <v>6</v>
      </c>
      <c r="F932">
        <f>Schedule!$M$1</f>
        <v/>
      </c>
      <c r="G932">
        <f>Schedule!$M$2</f>
        <v/>
      </c>
      <c r="H932">
        <f>Schedule!$M$135</f>
        <v/>
      </c>
      <c r="I932">
        <f>IF($N932=1,VALUE(LEFT($H932,2)),"")</f>
        <v/>
      </c>
      <c r="J932">
        <f>IF($N932=1,VALUE(MID($H932,9,2)),"")</f>
        <v/>
      </c>
      <c r="K932">
        <f>IF($N932=1,MOD($J932-$I932,24),0)</f>
        <v/>
      </c>
      <c r="L932">
        <f>IF($N932=1,$E932*24+$I932,"")</f>
        <v/>
      </c>
      <c r="M932">
        <f>IF($N932=1,$L932+$K932,"")</f>
        <v/>
      </c>
      <c r="N932">
        <f>IF(ISNUMBER(SEARCH(" - ",$H932&amp;"")),1,0)</f>
        <v/>
      </c>
      <c r="O932">
        <f>IF(UPPER($H932&amp;"")="LEAVE",1,0)</f>
        <v/>
      </c>
      <c r="P932">
        <f>IF($N932=1,$K932,0)</f>
        <v/>
      </c>
      <c r="Q932">
        <f>IF($N932=0,"",IFERROR($L932-LOOKUP(2,1/(($B$2:$B931=$B932)*($N$2:$N931=1)),$M$2:$M931),""))</f>
        <v/>
      </c>
    </row>
    <row r="933">
      <c r="A933" t="n">
        <v>932</v>
      </c>
      <c r="B933">
        <f>Schedule!$A$136</f>
        <v/>
      </c>
      <c r="C933">
        <f>Schedule!$D$136</f>
        <v/>
      </c>
      <c r="D933">
        <f>Schedule!$F$136</f>
        <v/>
      </c>
      <c r="E933" t="n">
        <v>0</v>
      </c>
      <c r="F933">
        <f>Schedule!$G$1</f>
        <v/>
      </c>
      <c r="G933">
        <f>Schedule!$G$2</f>
        <v/>
      </c>
      <c r="H933">
        <f>Schedule!$G$136</f>
        <v/>
      </c>
      <c r="I933">
        <f>IF($N933=1,VALUE(LEFT($H933,2)),"")</f>
        <v/>
      </c>
      <c r="J933">
        <f>IF($N933=1,VALUE(MID($H933,9,2)),"")</f>
        <v/>
      </c>
      <c r="K933">
        <f>IF($N933=1,MOD($J933-$I933,24),0)</f>
        <v/>
      </c>
      <c r="L933">
        <f>IF($N933=1,$E933*24+$I933,"")</f>
        <v/>
      </c>
      <c r="M933">
        <f>IF($N933=1,$L933+$K933,"")</f>
        <v/>
      </c>
      <c r="N933">
        <f>IF(ISNUMBER(SEARCH(" - ",$H933&amp;"")),1,0)</f>
        <v/>
      </c>
      <c r="O933">
        <f>IF(UPPER($H933&amp;"")="LEAVE",1,0)</f>
        <v/>
      </c>
      <c r="P933">
        <f>IF($N933=1,$K933,0)</f>
        <v/>
      </c>
      <c r="Q933">
        <f>IF($N933=0,"",IFERROR($L933-'Previous Engine'!$M$135,""))</f>
        <v/>
      </c>
    </row>
    <row r="934">
      <c r="A934" t="n">
        <v>933</v>
      </c>
      <c r="B934">
        <f>Schedule!$A$136</f>
        <v/>
      </c>
      <c r="C934">
        <f>Schedule!$D$136</f>
        <v/>
      </c>
      <c r="D934">
        <f>Schedule!$F$136</f>
        <v/>
      </c>
      <c r="E934" t="n">
        <v>1</v>
      </c>
      <c r="F934">
        <f>Schedule!$H$1</f>
        <v/>
      </c>
      <c r="G934">
        <f>Schedule!$H$2</f>
        <v/>
      </c>
      <c r="H934">
        <f>Schedule!$H$136</f>
        <v/>
      </c>
      <c r="I934">
        <f>IF($N934=1,VALUE(LEFT($H934,2)),"")</f>
        <v/>
      </c>
      <c r="J934">
        <f>IF($N934=1,VALUE(MID($H934,9,2)),"")</f>
        <v/>
      </c>
      <c r="K934">
        <f>IF($N934=1,MOD($J934-$I934,24),0)</f>
        <v/>
      </c>
      <c r="L934">
        <f>IF($N934=1,$E934*24+$I934,"")</f>
        <v/>
      </c>
      <c r="M934">
        <f>IF($N934=1,$L934+$K934,"")</f>
        <v/>
      </c>
      <c r="N934">
        <f>IF(ISNUMBER(SEARCH(" - ",$H934&amp;"")),1,0)</f>
        <v/>
      </c>
      <c r="O934">
        <f>IF(UPPER($H934&amp;"")="LEAVE",1,0)</f>
        <v/>
      </c>
      <c r="P934">
        <f>IF($N934=1,$K934,0)</f>
        <v/>
      </c>
      <c r="Q934">
        <f>IF($N934=0,"",IFERROR($L934-LOOKUP(2,1/(($B$2:$B933=$B934)*($N$2:$N933=1)),$M$2:$M933),""))</f>
        <v/>
      </c>
    </row>
    <row r="935">
      <c r="A935" t="n">
        <v>934</v>
      </c>
      <c r="B935">
        <f>Schedule!$A$136</f>
        <v/>
      </c>
      <c r="C935">
        <f>Schedule!$D$136</f>
        <v/>
      </c>
      <c r="D935">
        <f>Schedule!$F$136</f>
        <v/>
      </c>
      <c r="E935" t="n">
        <v>2</v>
      </c>
      <c r="F935">
        <f>Schedule!$I$1</f>
        <v/>
      </c>
      <c r="G935">
        <f>Schedule!$I$2</f>
        <v/>
      </c>
      <c r="H935">
        <f>Schedule!$I$136</f>
        <v/>
      </c>
      <c r="I935">
        <f>IF($N935=1,VALUE(LEFT($H935,2)),"")</f>
        <v/>
      </c>
      <c r="J935">
        <f>IF($N935=1,VALUE(MID($H935,9,2)),"")</f>
        <v/>
      </c>
      <c r="K935">
        <f>IF($N935=1,MOD($J935-$I935,24),0)</f>
        <v/>
      </c>
      <c r="L935">
        <f>IF($N935=1,$E935*24+$I935,"")</f>
        <v/>
      </c>
      <c r="M935">
        <f>IF($N935=1,$L935+$K935,"")</f>
        <v/>
      </c>
      <c r="N935">
        <f>IF(ISNUMBER(SEARCH(" - ",$H935&amp;"")),1,0)</f>
        <v/>
      </c>
      <c r="O935">
        <f>IF(UPPER($H935&amp;"")="LEAVE",1,0)</f>
        <v/>
      </c>
      <c r="P935">
        <f>IF($N935=1,$K935,0)</f>
        <v/>
      </c>
      <c r="Q935">
        <f>IF($N935=0,"",IFERROR($L935-LOOKUP(2,1/(($B$2:$B934=$B935)*($N$2:$N934=1)),$M$2:$M934),""))</f>
        <v/>
      </c>
    </row>
    <row r="936">
      <c r="A936" t="n">
        <v>935</v>
      </c>
      <c r="B936">
        <f>Schedule!$A$136</f>
        <v/>
      </c>
      <c r="C936">
        <f>Schedule!$D$136</f>
        <v/>
      </c>
      <c r="D936">
        <f>Schedule!$F$136</f>
        <v/>
      </c>
      <c r="E936" t="n">
        <v>3</v>
      </c>
      <c r="F936">
        <f>Schedule!$J$1</f>
        <v/>
      </c>
      <c r="G936">
        <f>Schedule!$J$2</f>
        <v/>
      </c>
      <c r="H936">
        <f>Schedule!$J$136</f>
        <v/>
      </c>
      <c r="I936">
        <f>IF($N936=1,VALUE(LEFT($H936,2)),"")</f>
        <v/>
      </c>
      <c r="J936">
        <f>IF($N936=1,VALUE(MID($H936,9,2)),"")</f>
        <v/>
      </c>
      <c r="K936">
        <f>IF($N936=1,MOD($J936-$I936,24),0)</f>
        <v/>
      </c>
      <c r="L936">
        <f>IF($N936=1,$E936*24+$I936,"")</f>
        <v/>
      </c>
      <c r="M936">
        <f>IF($N936=1,$L936+$K936,"")</f>
        <v/>
      </c>
      <c r="N936">
        <f>IF(ISNUMBER(SEARCH(" - ",$H936&amp;"")),1,0)</f>
        <v/>
      </c>
      <c r="O936">
        <f>IF(UPPER($H936&amp;"")="LEAVE",1,0)</f>
        <v/>
      </c>
      <c r="P936">
        <f>IF($N936=1,$K936,0)</f>
        <v/>
      </c>
      <c r="Q936">
        <f>IF($N936=0,"",IFERROR($L936-LOOKUP(2,1/(($B$2:$B935=$B936)*($N$2:$N935=1)),$M$2:$M935),""))</f>
        <v/>
      </c>
    </row>
    <row r="937">
      <c r="A937" t="n">
        <v>936</v>
      </c>
      <c r="B937">
        <f>Schedule!$A$136</f>
        <v/>
      </c>
      <c r="C937">
        <f>Schedule!$D$136</f>
        <v/>
      </c>
      <c r="D937">
        <f>Schedule!$F$136</f>
        <v/>
      </c>
      <c r="E937" t="n">
        <v>4</v>
      </c>
      <c r="F937">
        <f>Schedule!$K$1</f>
        <v/>
      </c>
      <c r="G937">
        <f>Schedule!$K$2</f>
        <v/>
      </c>
      <c r="H937">
        <f>Schedule!$K$136</f>
        <v/>
      </c>
      <c r="I937">
        <f>IF($N937=1,VALUE(LEFT($H937,2)),"")</f>
        <v/>
      </c>
      <c r="J937">
        <f>IF($N937=1,VALUE(MID($H937,9,2)),"")</f>
        <v/>
      </c>
      <c r="K937">
        <f>IF($N937=1,MOD($J937-$I937,24),0)</f>
        <v/>
      </c>
      <c r="L937">
        <f>IF($N937=1,$E937*24+$I937,"")</f>
        <v/>
      </c>
      <c r="M937">
        <f>IF($N937=1,$L937+$K937,"")</f>
        <v/>
      </c>
      <c r="N937">
        <f>IF(ISNUMBER(SEARCH(" - ",$H937&amp;"")),1,0)</f>
        <v/>
      </c>
      <c r="O937">
        <f>IF(UPPER($H937&amp;"")="LEAVE",1,0)</f>
        <v/>
      </c>
      <c r="P937">
        <f>IF($N937=1,$K937,0)</f>
        <v/>
      </c>
      <c r="Q937">
        <f>IF($N937=0,"",IFERROR($L937-LOOKUP(2,1/(($B$2:$B936=$B937)*($N$2:$N936=1)),$M$2:$M936),""))</f>
        <v/>
      </c>
    </row>
    <row r="938">
      <c r="A938" t="n">
        <v>937</v>
      </c>
      <c r="B938">
        <f>Schedule!$A$136</f>
        <v/>
      </c>
      <c r="C938">
        <f>Schedule!$D$136</f>
        <v/>
      </c>
      <c r="D938">
        <f>Schedule!$F$136</f>
        <v/>
      </c>
      <c r="E938" t="n">
        <v>5</v>
      </c>
      <c r="F938">
        <f>Schedule!$L$1</f>
        <v/>
      </c>
      <c r="G938">
        <f>Schedule!$L$2</f>
        <v/>
      </c>
      <c r="H938">
        <f>Schedule!$L$136</f>
        <v/>
      </c>
      <c r="I938">
        <f>IF($N938=1,VALUE(LEFT($H938,2)),"")</f>
        <v/>
      </c>
      <c r="J938">
        <f>IF($N938=1,VALUE(MID($H938,9,2)),"")</f>
        <v/>
      </c>
      <c r="K938">
        <f>IF($N938=1,MOD($J938-$I938,24),0)</f>
        <v/>
      </c>
      <c r="L938">
        <f>IF($N938=1,$E938*24+$I938,"")</f>
        <v/>
      </c>
      <c r="M938">
        <f>IF($N938=1,$L938+$K938,"")</f>
        <v/>
      </c>
      <c r="N938">
        <f>IF(ISNUMBER(SEARCH(" - ",$H938&amp;"")),1,0)</f>
        <v/>
      </c>
      <c r="O938">
        <f>IF(UPPER($H938&amp;"")="LEAVE",1,0)</f>
        <v/>
      </c>
      <c r="P938">
        <f>IF($N938=1,$K938,0)</f>
        <v/>
      </c>
      <c r="Q938">
        <f>IF($N938=0,"",IFERROR($L938-LOOKUP(2,1/(($B$2:$B937=$B938)*($N$2:$N937=1)),$M$2:$M937),""))</f>
        <v/>
      </c>
    </row>
    <row r="939">
      <c r="A939" t="n">
        <v>938</v>
      </c>
      <c r="B939">
        <f>Schedule!$A$136</f>
        <v/>
      </c>
      <c r="C939">
        <f>Schedule!$D$136</f>
        <v/>
      </c>
      <c r="D939">
        <f>Schedule!$F$136</f>
        <v/>
      </c>
      <c r="E939" t="n">
        <v>6</v>
      </c>
      <c r="F939">
        <f>Schedule!$M$1</f>
        <v/>
      </c>
      <c r="G939">
        <f>Schedule!$M$2</f>
        <v/>
      </c>
      <c r="H939">
        <f>Schedule!$M$136</f>
        <v/>
      </c>
      <c r="I939">
        <f>IF($N939=1,VALUE(LEFT($H939,2)),"")</f>
        <v/>
      </c>
      <c r="J939">
        <f>IF($N939=1,VALUE(MID($H939,9,2)),"")</f>
        <v/>
      </c>
      <c r="K939">
        <f>IF($N939=1,MOD($J939-$I939,24),0)</f>
        <v/>
      </c>
      <c r="L939">
        <f>IF($N939=1,$E939*24+$I939,"")</f>
        <v/>
      </c>
      <c r="M939">
        <f>IF($N939=1,$L939+$K939,"")</f>
        <v/>
      </c>
      <c r="N939">
        <f>IF(ISNUMBER(SEARCH(" - ",$H939&amp;"")),1,0)</f>
        <v/>
      </c>
      <c r="O939">
        <f>IF(UPPER($H939&amp;"")="LEAVE",1,0)</f>
        <v/>
      </c>
      <c r="P939">
        <f>IF($N939=1,$K939,0)</f>
        <v/>
      </c>
      <c r="Q939">
        <f>IF($N939=0,"",IFERROR($L939-LOOKUP(2,1/(($B$2:$B938=$B939)*($N$2:$N938=1)),$M$2:$M938),""))</f>
        <v/>
      </c>
    </row>
    <row r="940">
      <c r="A940" t="n">
        <v>939</v>
      </c>
      <c r="B940">
        <f>Schedule!$A$137</f>
        <v/>
      </c>
      <c r="C940">
        <f>Schedule!$D$137</f>
        <v/>
      </c>
      <c r="D940">
        <f>Schedule!$F$137</f>
        <v/>
      </c>
      <c r="E940" t="n">
        <v>0</v>
      </c>
      <c r="F940">
        <f>Schedule!$G$1</f>
        <v/>
      </c>
      <c r="G940">
        <f>Schedule!$G$2</f>
        <v/>
      </c>
      <c r="H940">
        <f>Schedule!$G$137</f>
        <v/>
      </c>
      <c r="I940">
        <f>IF($N940=1,VALUE(LEFT($H940,2)),"")</f>
        <v/>
      </c>
      <c r="J940">
        <f>IF($N940=1,VALUE(MID($H940,9,2)),"")</f>
        <v/>
      </c>
      <c r="K940">
        <f>IF($N940=1,MOD($J940-$I940,24),0)</f>
        <v/>
      </c>
      <c r="L940">
        <f>IF($N940=1,$E940*24+$I940,"")</f>
        <v/>
      </c>
      <c r="M940">
        <f>IF($N940=1,$L940+$K940,"")</f>
        <v/>
      </c>
      <c r="N940">
        <f>IF(ISNUMBER(SEARCH(" - ",$H940&amp;"")),1,0)</f>
        <v/>
      </c>
      <c r="O940">
        <f>IF(UPPER($H940&amp;"")="LEAVE",1,0)</f>
        <v/>
      </c>
      <c r="P940">
        <f>IF($N940=1,$K940,0)</f>
        <v/>
      </c>
      <c r="Q940">
        <f>IF($N940=0,"",IFERROR($L940-'Previous Engine'!$M$136,""))</f>
        <v/>
      </c>
    </row>
    <row r="941">
      <c r="A941" t="n">
        <v>940</v>
      </c>
      <c r="B941">
        <f>Schedule!$A$137</f>
        <v/>
      </c>
      <c r="C941">
        <f>Schedule!$D$137</f>
        <v/>
      </c>
      <c r="D941">
        <f>Schedule!$F$137</f>
        <v/>
      </c>
      <c r="E941" t="n">
        <v>1</v>
      </c>
      <c r="F941">
        <f>Schedule!$H$1</f>
        <v/>
      </c>
      <c r="G941">
        <f>Schedule!$H$2</f>
        <v/>
      </c>
      <c r="H941">
        <f>Schedule!$H$137</f>
        <v/>
      </c>
      <c r="I941">
        <f>IF($N941=1,VALUE(LEFT($H941,2)),"")</f>
        <v/>
      </c>
      <c r="J941">
        <f>IF($N941=1,VALUE(MID($H941,9,2)),"")</f>
        <v/>
      </c>
      <c r="K941">
        <f>IF($N941=1,MOD($J941-$I941,24),0)</f>
        <v/>
      </c>
      <c r="L941">
        <f>IF($N941=1,$E941*24+$I941,"")</f>
        <v/>
      </c>
      <c r="M941">
        <f>IF($N941=1,$L941+$K941,"")</f>
        <v/>
      </c>
      <c r="N941">
        <f>IF(ISNUMBER(SEARCH(" - ",$H941&amp;"")),1,0)</f>
        <v/>
      </c>
      <c r="O941">
        <f>IF(UPPER($H941&amp;"")="LEAVE",1,0)</f>
        <v/>
      </c>
      <c r="P941">
        <f>IF($N941=1,$K941,0)</f>
        <v/>
      </c>
      <c r="Q941">
        <f>IF($N941=0,"",IFERROR($L941-LOOKUP(2,1/(($B$2:$B940=$B941)*($N$2:$N940=1)),$M$2:$M940),""))</f>
        <v/>
      </c>
    </row>
    <row r="942">
      <c r="A942" t="n">
        <v>941</v>
      </c>
      <c r="B942">
        <f>Schedule!$A$137</f>
        <v/>
      </c>
      <c r="C942">
        <f>Schedule!$D$137</f>
        <v/>
      </c>
      <c r="D942">
        <f>Schedule!$F$137</f>
        <v/>
      </c>
      <c r="E942" t="n">
        <v>2</v>
      </c>
      <c r="F942">
        <f>Schedule!$I$1</f>
        <v/>
      </c>
      <c r="G942">
        <f>Schedule!$I$2</f>
        <v/>
      </c>
      <c r="H942">
        <f>Schedule!$I$137</f>
        <v/>
      </c>
      <c r="I942">
        <f>IF($N942=1,VALUE(LEFT($H942,2)),"")</f>
        <v/>
      </c>
      <c r="J942">
        <f>IF($N942=1,VALUE(MID($H942,9,2)),"")</f>
        <v/>
      </c>
      <c r="K942">
        <f>IF($N942=1,MOD($J942-$I942,24),0)</f>
        <v/>
      </c>
      <c r="L942">
        <f>IF($N942=1,$E942*24+$I942,"")</f>
        <v/>
      </c>
      <c r="M942">
        <f>IF($N942=1,$L942+$K942,"")</f>
        <v/>
      </c>
      <c r="N942">
        <f>IF(ISNUMBER(SEARCH(" - ",$H942&amp;"")),1,0)</f>
        <v/>
      </c>
      <c r="O942">
        <f>IF(UPPER($H942&amp;"")="LEAVE",1,0)</f>
        <v/>
      </c>
      <c r="P942">
        <f>IF($N942=1,$K942,0)</f>
        <v/>
      </c>
      <c r="Q942">
        <f>IF($N942=0,"",IFERROR($L942-LOOKUP(2,1/(($B$2:$B941=$B942)*($N$2:$N941=1)),$M$2:$M941),""))</f>
        <v/>
      </c>
    </row>
    <row r="943">
      <c r="A943" t="n">
        <v>942</v>
      </c>
      <c r="B943">
        <f>Schedule!$A$137</f>
        <v/>
      </c>
      <c r="C943">
        <f>Schedule!$D$137</f>
        <v/>
      </c>
      <c r="D943">
        <f>Schedule!$F$137</f>
        <v/>
      </c>
      <c r="E943" t="n">
        <v>3</v>
      </c>
      <c r="F943">
        <f>Schedule!$J$1</f>
        <v/>
      </c>
      <c r="G943">
        <f>Schedule!$J$2</f>
        <v/>
      </c>
      <c r="H943">
        <f>Schedule!$J$137</f>
        <v/>
      </c>
      <c r="I943">
        <f>IF($N943=1,VALUE(LEFT($H943,2)),"")</f>
        <v/>
      </c>
      <c r="J943">
        <f>IF($N943=1,VALUE(MID($H943,9,2)),"")</f>
        <v/>
      </c>
      <c r="K943">
        <f>IF($N943=1,MOD($J943-$I943,24),0)</f>
        <v/>
      </c>
      <c r="L943">
        <f>IF($N943=1,$E943*24+$I943,"")</f>
        <v/>
      </c>
      <c r="M943">
        <f>IF($N943=1,$L943+$K943,"")</f>
        <v/>
      </c>
      <c r="N943">
        <f>IF(ISNUMBER(SEARCH(" - ",$H943&amp;"")),1,0)</f>
        <v/>
      </c>
      <c r="O943">
        <f>IF(UPPER($H943&amp;"")="LEAVE",1,0)</f>
        <v/>
      </c>
      <c r="P943">
        <f>IF($N943=1,$K943,0)</f>
        <v/>
      </c>
      <c r="Q943">
        <f>IF($N943=0,"",IFERROR($L943-LOOKUP(2,1/(($B$2:$B942=$B943)*($N$2:$N942=1)),$M$2:$M942),""))</f>
        <v/>
      </c>
    </row>
    <row r="944">
      <c r="A944" t="n">
        <v>943</v>
      </c>
      <c r="B944">
        <f>Schedule!$A$137</f>
        <v/>
      </c>
      <c r="C944">
        <f>Schedule!$D$137</f>
        <v/>
      </c>
      <c r="D944">
        <f>Schedule!$F$137</f>
        <v/>
      </c>
      <c r="E944" t="n">
        <v>4</v>
      </c>
      <c r="F944">
        <f>Schedule!$K$1</f>
        <v/>
      </c>
      <c r="G944">
        <f>Schedule!$K$2</f>
        <v/>
      </c>
      <c r="H944">
        <f>Schedule!$K$137</f>
        <v/>
      </c>
      <c r="I944">
        <f>IF($N944=1,VALUE(LEFT($H944,2)),"")</f>
        <v/>
      </c>
      <c r="J944">
        <f>IF($N944=1,VALUE(MID($H944,9,2)),"")</f>
        <v/>
      </c>
      <c r="K944">
        <f>IF($N944=1,MOD($J944-$I944,24),0)</f>
        <v/>
      </c>
      <c r="L944">
        <f>IF($N944=1,$E944*24+$I944,"")</f>
        <v/>
      </c>
      <c r="M944">
        <f>IF($N944=1,$L944+$K944,"")</f>
        <v/>
      </c>
      <c r="N944">
        <f>IF(ISNUMBER(SEARCH(" - ",$H944&amp;"")),1,0)</f>
        <v/>
      </c>
      <c r="O944">
        <f>IF(UPPER($H944&amp;"")="LEAVE",1,0)</f>
        <v/>
      </c>
      <c r="P944">
        <f>IF($N944=1,$K944,0)</f>
        <v/>
      </c>
      <c r="Q944">
        <f>IF($N944=0,"",IFERROR($L944-LOOKUP(2,1/(($B$2:$B943=$B944)*($N$2:$N943=1)),$M$2:$M943),""))</f>
        <v/>
      </c>
    </row>
    <row r="945">
      <c r="A945" t="n">
        <v>944</v>
      </c>
      <c r="B945">
        <f>Schedule!$A$137</f>
        <v/>
      </c>
      <c r="C945">
        <f>Schedule!$D$137</f>
        <v/>
      </c>
      <c r="D945">
        <f>Schedule!$F$137</f>
        <v/>
      </c>
      <c r="E945" t="n">
        <v>5</v>
      </c>
      <c r="F945">
        <f>Schedule!$L$1</f>
        <v/>
      </c>
      <c r="G945">
        <f>Schedule!$L$2</f>
        <v/>
      </c>
      <c r="H945">
        <f>Schedule!$L$137</f>
        <v/>
      </c>
      <c r="I945">
        <f>IF($N945=1,VALUE(LEFT($H945,2)),"")</f>
        <v/>
      </c>
      <c r="J945">
        <f>IF($N945=1,VALUE(MID($H945,9,2)),"")</f>
        <v/>
      </c>
      <c r="K945">
        <f>IF($N945=1,MOD($J945-$I945,24),0)</f>
        <v/>
      </c>
      <c r="L945">
        <f>IF($N945=1,$E945*24+$I945,"")</f>
        <v/>
      </c>
      <c r="M945">
        <f>IF($N945=1,$L945+$K945,"")</f>
        <v/>
      </c>
      <c r="N945">
        <f>IF(ISNUMBER(SEARCH(" - ",$H945&amp;"")),1,0)</f>
        <v/>
      </c>
      <c r="O945">
        <f>IF(UPPER($H945&amp;"")="LEAVE",1,0)</f>
        <v/>
      </c>
      <c r="P945">
        <f>IF($N945=1,$K945,0)</f>
        <v/>
      </c>
      <c r="Q945">
        <f>IF($N945=0,"",IFERROR($L945-LOOKUP(2,1/(($B$2:$B944=$B945)*($N$2:$N944=1)),$M$2:$M944),""))</f>
        <v/>
      </c>
    </row>
    <row r="946">
      <c r="A946" t="n">
        <v>945</v>
      </c>
      <c r="B946">
        <f>Schedule!$A$137</f>
        <v/>
      </c>
      <c r="C946">
        <f>Schedule!$D$137</f>
        <v/>
      </c>
      <c r="D946">
        <f>Schedule!$F$137</f>
        <v/>
      </c>
      <c r="E946" t="n">
        <v>6</v>
      </c>
      <c r="F946">
        <f>Schedule!$M$1</f>
        <v/>
      </c>
      <c r="G946">
        <f>Schedule!$M$2</f>
        <v/>
      </c>
      <c r="H946">
        <f>Schedule!$M$137</f>
        <v/>
      </c>
      <c r="I946">
        <f>IF($N946=1,VALUE(LEFT($H946,2)),"")</f>
        <v/>
      </c>
      <c r="J946">
        <f>IF($N946=1,VALUE(MID($H946,9,2)),"")</f>
        <v/>
      </c>
      <c r="K946">
        <f>IF($N946=1,MOD($J946-$I946,24),0)</f>
        <v/>
      </c>
      <c r="L946">
        <f>IF($N946=1,$E946*24+$I946,"")</f>
        <v/>
      </c>
      <c r="M946">
        <f>IF($N946=1,$L946+$K946,"")</f>
        <v/>
      </c>
      <c r="N946">
        <f>IF(ISNUMBER(SEARCH(" - ",$H946&amp;"")),1,0)</f>
        <v/>
      </c>
      <c r="O946">
        <f>IF(UPPER($H946&amp;"")="LEAVE",1,0)</f>
        <v/>
      </c>
      <c r="P946">
        <f>IF($N946=1,$K946,0)</f>
        <v/>
      </c>
      <c r="Q946">
        <f>IF($N946=0,"",IFERROR($L946-LOOKUP(2,1/(($B$2:$B945=$B946)*($N$2:$N945=1)),$M$2:$M945),""))</f>
        <v/>
      </c>
    </row>
    <row r="947">
      <c r="A947" t="n">
        <v>946</v>
      </c>
      <c r="B947">
        <f>Schedule!$A$138</f>
        <v/>
      </c>
      <c r="C947">
        <f>Schedule!$D$138</f>
        <v/>
      </c>
      <c r="D947">
        <f>Schedule!$F$138</f>
        <v/>
      </c>
      <c r="E947" t="n">
        <v>0</v>
      </c>
      <c r="F947">
        <f>Schedule!$G$1</f>
        <v/>
      </c>
      <c r="G947">
        <f>Schedule!$G$2</f>
        <v/>
      </c>
      <c r="H947">
        <f>Schedule!$G$138</f>
        <v/>
      </c>
      <c r="I947">
        <f>IF($N947=1,VALUE(LEFT($H947,2)),"")</f>
        <v/>
      </c>
      <c r="J947">
        <f>IF($N947=1,VALUE(MID($H947,9,2)),"")</f>
        <v/>
      </c>
      <c r="K947">
        <f>IF($N947=1,MOD($J947-$I947,24),0)</f>
        <v/>
      </c>
      <c r="L947">
        <f>IF($N947=1,$E947*24+$I947,"")</f>
        <v/>
      </c>
      <c r="M947">
        <f>IF($N947=1,$L947+$K947,"")</f>
        <v/>
      </c>
      <c r="N947">
        <f>IF(ISNUMBER(SEARCH(" - ",$H947&amp;"")),1,0)</f>
        <v/>
      </c>
      <c r="O947">
        <f>IF(UPPER($H947&amp;"")="LEAVE",1,0)</f>
        <v/>
      </c>
      <c r="P947">
        <f>IF($N947=1,$K947,0)</f>
        <v/>
      </c>
      <c r="Q947">
        <f>IF($N947=0,"",IFERROR($L947-'Previous Engine'!$M$137,""))</f>
        <v/>
      </c>
    </row>
    <row r="948">
      <c r="A948" t="n">
        <v>947</v>
      </c>
      <c r="B948">
        <f>Schedule!$A$138</f>
        <v/>
      </c>
      <c r="C948">
        <f>Schedule!$D$138</f>
        <v/>
      </c>
      <c r="D948">
        <f>Schedule!$F$138</f>
        <v/>
      </c>
      <c r="E948" t="n">
        <v>1</v>
      </c>
      <c r="F948">
        <f>Schedule!$H$1</f>
        <v/>
      </c>
      <c r="G948">
        <f>Schedule!$H$2</f>
        <v/>
      </c>
      <c r="H948">
        <f>Schedule!$H$138</f>
        <v/>
      </c>
      <c r="I948">
        <f>IF($N948=1,VALUE(LEFT($H948,2)),"")</f>
        <v/>
      </c>
      <c r="J948">
        <f>IF($N948=1,VALUE(MID($H948,9,2)),"")</f>
        <v/>
      </c>
      <c r="K948">
        <f>IF($N948=1,MOD($J948-$I948,24),0)</f>
        <v/>
      </c>
      <c r="L948">
        <f>IF($N948=1,$E948*24+$I948,"")</f>
        <v/>
      </c>
      <c r="M948">
        <f>IF($N948=1,$L948+$K948,"")</f>
        <v/>
      </c>
      <c r="N948">
        <f>IF(ISNUMBER(SEARCH(" - ",$H948&amp;"")),1,0)</f>
        <v/>
      </c>
      <c r="O948">
        <f>IF(UPPER($H948&amp;"")="LEAVE",1,0)</f>
        <v/>
      </c>
      <c r="P948">
        <f>IF($N948=1,$K948,0)</f>
        <v/>
      </c>
      <c r="Q948">
        <f>IF($N948=0,"",IFERROR($L948-LOOKUP(2,1/(($B$2:$B947=$B948)*($N$2:$N947=1)),$M$2:$M947),""))</f>
        <v/>
      </c>
    </row>
    <row r="949">
      <c r="A949" t="n">
        <v>948</v>
      </c>
      <c r="B949">
        <f>Schedule!$A$138</f>
        <v/>
      </c>
      <c r="C949">
        <f>Schedule!$D$138</f>
        <v/>
      </c>
      <c r="D949">
        <f>Schedule!$F$138</f>
        <v/>
      </c>
      <c r="E949" t="n">
        <v>2</v>
      </c>
      <c r="F949">
        <f>Schedule!$I$1</f>
        <v/>
      </c>
      <c r="G949">
        <f>Schedule!$I$2</f>
        <v/>
      </c>
      <c r="H949">
        <f>Schedule!$I$138</f>
        <v/>
      </c>
      <c r="I949">
        <f>IF($N949=1,VALUE(LEFT($H949,2)),"")</f>
        <v/>
      </c>
      <c r="J949">
        <f>IF($N949=1,VALUE(MID($H949,9,2)),"")</f>
        <v/>
      </c>
      <c r="K949">
        <f>IF($N949=1,MOD($J949-$I949,24),0)</f>
        <v/>
      </c>
      <c r="L949">
        <f>IF($N949=1,$E949*24+$I949,"")</f>
        <v/>
      </c>
      <c r="M949">
        <f>IF($N949=1,$L949+$K949,"")</f>
        <v/>
      </c>
      <c r="N949">
        <f>IF(ISNUMBER(SEARCH(" - ",$H949&amp;"")),1,0)</f>
        <v/>
      </c>
      <c r="O949">
        <f>IF(UPPER($H949&amp;"")="LEAVE",1,0)</f>
        <v/>
      </c>
      <c r="P949">
        <f>IF($N949=1,$K949,0)</f>
        <v/>
      </c>
      <c r="Q949">
        <f>IF($N949=0,"",IFERROR($L949-LOOKUP(2,1/(($B$2:$B948=$B949)*($N$2:$N948=1)),$M$2:$M948),""))</f>
        <v/>
      </c>
    </row>
    <row r="950">
      <c r="A950" t="n">
        <v>949</v>
      </c>
      <c r="B950">
        <f>Schedule!$A$138</f>
        <v/>
      </c>
      <c r="C950">
        <f>Schedule!$D$138</f>
        <v/>
      </c>
      <c r="D950">
        <f>Schedule!$F$138</f>
        <v/>
      </c>
      <c r="E950" t="n">
        <v>3</v>
      </c>
      <c r="F950">
        <f>Schedule!$J$1</f>
        <v/>
      </c>
      <c r="G950">
        <f>Schedule!$J$2</f>
        <v/>
      </c>
      <c r="H950">
        <f>Schedule!$J$138</f>
        <v/>
      </c>
      <c r="I950">
        <f>IF($N950=1,VALUE(LEFT($H950,2)),"")</f>
        <v/>
      </c>
      <c r="J950">
        <f>IF($N950=1,VALUE(MID($H950,9,2)),"")</f>
        <v/>
      </c>
      <c r="K950">
        <f>IF($N950=1,MOD($J950-$I950,24),0)</f>
        <v/>
      </c>
      <c r="L950">
        <f>IF($N950=1,$E950*24+$I950,"")</f>
        <v/>
      </c>
      <c r="M950">
        <f>IF($N950=1,$L950+$K950,"")</f>
        <v/>
      </c>
      <c r="N950">
        <f>IF(ISNUMBER(SEARCH(" - ",$H950&amp;"")),1,0)</f>
        <v/>
      </c>
      <c r="O950">
        <f>IF(UPPER($H950&amp;"")="LEAVE",1,0)</f>
        <v/>
      </c>
      <c r="P950">
        <f>IF($N950=1,$K950,0)</f>
        <v/>
      </c>
      <c r="Q950">
        <f>IF($N950=0,"",IFERROR($L950-LOOKUP(2,1/(($B$2:$B949=$B950)*($N$2:$N949=1)),$M$2:$M949),""))</f>
        <v/>
      </c>
    </row>
    <row r="951">
      <c r="A951" t="n">
        <v>950</v>
      </c>
      <c r="B951">
        <f>Schedule!$A$138</f>
        <v/>
      </c>
      <c r="C951">
        <f>Schedule!$D$138</f>
        <v/>
      </c>
      <c r="D951">
        <f>Schedule!$F$138</f>
        <v/>
      </c>
      <c r="E951" t="n">
        <v>4</v>
      </c>
      <c r="F951">
        <f>Schedule!$K$1</f>
        <v/>
      </c>
      <c r="G951">
        <f>Schedule!$K$2</f>
        <v/>
      </c>
      <c r="H951">
        <f>Schedule!$K$138</f>
        <v/>
      </c>
      <c r="I951">
        <f>IF($N951=1,VALUE(LEFT($H951,2)),"")</f>
        <v/>
      </c>
      <c r="J951">
        <f>IF($N951=1,VALUE(MID($H951,9,2)),"")</f>
        <v/>
      </c>
      <c r="K951">
        <f>IF($N951=1,MOD($J951-$I951,24),0)</f>
        <v/>
      </c>
      <c r="L951">
        <f>IF($N951=1,$E951*24+$I951,"")</f>
        <v/>
      </c>
      <c r="M951">
        <f>IF($N951=1,$L951+$K951,"")</f>
        <v/>
      </c>
      <c r="N951">
        <f>IF(ISNUMBER(SEARCH(" - ",$H951&amp;"")),1,0)</f>
        <v/>
      </c>
      <c r="O951">
        <f>IF(UPPER($H951&amp;"")="LEAVE",1,0)</f>
        <v/>
      </c>
      <c r="P951">
        <f>IF($N951=1,$K951,0)</f>
        <v/>
      </c>
      <c r="Q951">
        <f>IF($N951=0,"",IFERROR($L951-LOOKUP(2,1/(($B$2:$B950=$B951)*($N$2:$N950=1)),$M$2:$M950),""))</f>
        <v/>
      </c>
    </row>
    <row r="952">
      <c r="A952" t="n">
        <v>951</v>
      </c>
      <c r="B952">
        <f>Schedule!$A$138</f>
        <v/>
      </c>
      <c r="C952">
        <f>Schedule!$D$138</f>
        <v/>
      </c>
      <c r="D952">
        <f>Schedule!$F$138</f>
        <v/>
      </c>
      <c r="E952" t="n">
        <v>5</v>
      </c>
      <c r="F952">
        <f>Schedule!$L$1</f>
        <v/>
      </c>
      <c r="G952">
        <f>Schedule!$L$2</f>
        <v/>
      </c>
      <c r="H952">
        <f>Schedule!$L$138</f>
        <v/>
      </c>
      <c r="I952">
        <f>IF($N952=1,VALUE(LEFT($H952,2)),"")</f>
        <v/>
      </c>
      <c r="J952">
        <f>IF($N952=1,VALUE(MID($H952,9,2)),"")</f>
        <v/>
      </c>
      <c r="K952">
        <f>IF($N952=1,MOD($J952-$I952,24),0)</f>
        <v/>
      </c>
      <c r="L952">
        <f>IF($N952=1,$E952*24+$I952,"")</f>
        <v/>
      </c>
      <c r="M952">
        <f>IF($N952=1,$L952+$K952,"")</f>
        <v/>
      </c>
      <c r="N952">
        <f>IF(ISNUMBER(SEARCH(" - ",$H952&amp;"")),1,0)</f>
        <v/>
      </c>
      <c r="O952">
        <f>IF(UPPER($H952&amp;"")="LEAVE",1,0)</f>
        <v/>
      </c>
      <c r="P952">
        <f>IF($N952=1,$K952,0)</f>
        <v/>
      </c>
      <c r="Q952">
        <f>IF($N952=0,"",IFERROR($L952-LOOKUP(2,1/(($B$2:$B951=$B952)*($N$2:$N951=1)),$M$2:$M951),""))</f>
        <v/>
      </c>
    </row>
    <row r="953">
      <c r="A953" t="n">
        <v>952</v>
      </c>
      <c r="B953">
        <f>Schedule!$A$138</f>
        <v/>
      </c>
      <c r="C953">
        <f>Schedule!$D$138</f>
        <v/>
      </c>
      <c r="D953">
        <f>Schedule!$F$138</f>
        <v/>
      </c>
      <c r="E953" t="n">
        <v>6</v>
      </c>
      <c r="F953">
        <f>Schedule!$M$1</f>
        <v/>
      </c>
      <c r="G953">
        <f>Schedule!$M$2</f>
        <v/>
      </c>
      <c r="H953">
        <f>Schedule!$M$138</f>
        <v/>
      </c>
      <c r="I953">
        <f>IF($N953=1,VALUE(LEFT($H953,2)),"")</f>
        <v/>
      </c>
      <c r="J953">
        <f>IF($N953=1,VALUE(MID($H953,9,2)),"")</f>
        <v/>
      </c>
      <c r="K953">
        <f>IF($N953=1,MOD($J953-$I953,24),0)</f>
        <v/>
      </c>
      <c r="L953">
        <f>IF($N953=1,$E953*24+$I953,"")</f>
        <v/>
      </c>
      <c r="M953">
        <f>IF($N953=1,$L953+$K953,"")</f>
        <v/>
      </c>
      <c r="N953">
        <f>IF(ISNUMBER(SEARCH(" - ",$H953&amp;"")),1,0)</f>
        <v/>
      </c>
      <c r="O953">
        <f>IF(UPPER($H953&amp;"")="LEAVE",1,0)</f>
        <v/>
      </c>
      <c r="P953">
        <f>IF($N953=1,$K953,0)</f>
        <v/>
      </c>
      <c r="Q953">
        <f>IF($N953=0,"",IFERROR($L953-LOOKUP(2,1/(($B$2:$B952=$B953)*($N$2:$N952=1)),$M$2:$M952),""))</f>
        <v/>
      </c>
    </row>
    <row r="954">
      <c r="A954" t="n">
        <v>953</v>
      </c>
      <c r="B954">
        <f>Schedule!$A$139</f>
        <v/>
      </c>
      <c r="C954">
        <f>Schedule!$D$139</f>
        <v/>
      </c>
      <c r="D954">
        <f>Schedule!$F$139</f>
        <v/>
      </c>
      <c r="E954" t="n">
        <v>0</v>
      </c>
      <c r="F954">
        <f>Schedule!$G$1</f>
        <v/>
      </c>
      <c r="G954">
        <f>Schedule!$G$2</f>
        <v/>
      </c>
      <c r="H954">
        <f>Schedule!$G$139</f>
        <v/>
      </c>
      <c r="I954">
        <f>IF($N954=1,VALUE(LEFT($H954,2)),"")</f>
        <v/>
      </c>
      <c r="J954">
        <f>IF($N954=1,VALUE(MID($H954,9,2)),"")</f>
        <v/>
      </c>
      <c r="K954">
        <f>IF($N954=1,MOD($J954-$I954,24),0)</f>
        <v/>
      </c>
      <c r="L954">
        <f>IF($N954=1,$E954*24+$I954,"")</f>
        <v/>
      </c>
      <c r="M954">
        <f>IF($N954=1,$L954+$K954,"")</f>
        <v/>
      </c>
      <c r="N954">
        <f>IF(ISNUMBER(SEARCH(" - ",$H954&amp;"")),1,0)</f>
        <v/>
      </c>
      <c r="O954">
        <f>IF(UPPER($H954&amp;"")="LEAVE",1,0)</f>
        <v/>
      </c>
      <c r="P954">
        <f>IF($N954=1,$K954,0)</f>
        <v/>
      </c>
      <c r="Q954">
        <f>IF($N954=0,"",IFERROR($L954-'Previous Engine'!$M$138,""))</f>
        <v/>
      </c>
    </row>
    <row r="955">
      <c r="A955" t="n">
        <v>954</v>
      </c>
      <c r="B955">
        <f>Schedule!$A$139</f>
        <v/>
      </c>
      <c r="C955">
        <f>Schedule!$D$139</f>
        <v/>
      </c>
      <c r="D955">
        <f>Schedule!$F$139</f>
        <v/>
      </c>
      <c r="E955" t="n">
        <v>1</v>
      </c>
      <c r="F955">
        <f>Schedule!$H$1</f>
        <v/>
      </c>
      <c r="G955">
        <f>Schedule!$H$2</f>
        <v/>
      </c>
      <c r="H955">
        <f>Schedule!$H$139</f>
        <v/>
      </c>
      <c r="I955">
        <f>IF($N955=1,VALUE(LEFT($H955,2)),"")</f>
        <v/>
      </c>
      <c r="J955">
        <f>IF($N955=1,VALUE(MID($H955,9,2)),"")</f>
        <v/>
      </c>
      <c r="K955">
        <f>IF($N955=1,MOD($J955-$I955,24),0)</f>
        <v/>
      </c>
      <c r="L955">
        <f>IF($N955=1,$E955*24+$I955,"")</f>
        <v/>
      </c>
      <c r="M955">
        <f>IF($N955=1,$L955+$K955,"")</f>
        <v/>
      </c>
      <c r="N955">
        <f>IF(ISNUMBER(SEARCH(" - ",$H955&amp;"")),1,0)</f>
        <v/>
      </c>
      <c r="O955">
        <f>IF(UPPER($H955&amp;"")="LEAVE",1,0)</f>
        <v/>
      </c>
      <c r="P955">
        <f>IF($N955=1,$K955,0)</f>
        <v/>
      </c>
      <c r="Q955">
        <f>IF($N955=0,"",IFERROR($L955-LOOKUP(2,1/(($B$2:$B954=$B955)*($N$2:$N954=1)),$M$2:$M954),""))</f>
        <v/>
      </c>
    </row>
    <row r="956">
      <c r="A956" t="n">
        <v>955</v>
      </c>
      <c r="B956">
        <f>Schedule!$A$139</f>
        <v/>
      </c>
      <c r="C956">
        <f>Schedule!$D$139</f>
        <v/>
      </c>
      <c r="D956">
        <f>Schedule!$F$139</f>
        <v/>
      </c>
      <c r="E956" t="n">
        <v>2</v>
      </c>
      <c r="F956">
        <f>Schedule!$I$1</f>
        <v/>
      </c>
      <c r="G956">
        <f>Schedule!$I$2</f>
        <v/>
      </c>
      <c r="H956">
        <f>Schedule!$I$139</f>
        <v/>
      </c>
      <c r="I956">
        <f>IF($N956=1,VALUE(LEFT($H956,2)),"")</f>
        <v/>
      </c>
      <c r="J956">
        <f>IF($N956=1,VALUE(MID($H956,9,2)),"")</f>
        <v/>
      </c>
      <c r="K956">
        <f>IF($N956=1,MOD($J956-$I956,24),0)</f>
        <v/>
      </c>
      <c r="L956">
        <f>IF($N956=1,$E956*24+$I956,"")</f>
        <v/>
      </c>
      <c r="M956">
        <f>IF($N956=1,$L956+$K956,"")</f>
        <v/>
      </c>
      <c r="N956">
        <f>IF(ISNUMBER(SEARCH(" - ",$H956&amp;"")),1,0)</f>
        <v/>
      </c>
      <c r="O956">
        <f>IF(UPPER($H956&amp;"")="LEAVE",1,0)</f>
        <v/>
      </c>
      <c r="P956">
        <f>IF($N956=1,$K956,0)</f>
        <v/>
      </c>
      <c r="Q956">
        <f>IF($N956=0,"",IFERROR($L956-LOOKUP(2,1/(($B$2:$B955=$B956)*($N$2:$N955=1)),$M$2:$M955),""))</f>
        <v/>
      </c>
    </row>
    <row r="957">
      <c r="A957" t="n">
        <v>956</v>
      </c>
      <c r="B957">
        <f>Schedule!$A$139</f>
        <v/>
      </c>
      <c r="C957">
        <f>Schedule!$D$139</f>
        <v/>
      </c>
      <c r="D957">
        <f>Schedule!$F$139</f>
        <v/>
      </c>
      <c r="E957" t="n">
        <v>3</v>
      </c>
      <c r="F957">
        <f>Schedule!$J$1</f>
        <v/>
      </c>
      <c r="G957">
        <f>Schedule!$J$2</f>
        <v/>
      </c>
      <c r="H957">
        <f>Schedule!$J$139</f>
        <v/>
      </c>
      <c r="I957">
        <f>IF($N957=1,VALUE(LEFT($H957,2)),"")</f>
        <v/>
      </c>
      <c r="J957">
        <f>IF($N957=1,VALUE(MID($H957,9,2)),"")</f>
        <v/>
      </c>
      <c r="K957">
        <f>IF($N957=1,MOD($J957-$I957,24),0)</f>
        <v/>
      </c>
      <c r="L957">
        <f>IF($N957=1,$E957*24+$I957,"")</f>
        <v/>
      </c>
      <c r="M957">
        <f>IF($N957=1,$L957+$K957,"")</f>
        <v/>
      </c>
      <c r="N957">
        <f>IF(ISNUMBER(SEARCH(" - ",$H957&amp;"")),1,0)</f>
        <v/>
      </c>
      <c r="O957">
        <f>IF(UPPER($H957&amp;"")="LEAVE",1,0)</f>
        <v/>
      </c>
      <c r="P957">
        <f>IF($N957=1,$K957,0)</f>
        <v/>
      </c>
      <c r="Q957">
        <f>IF($N957=0,"",IFERROR($L957-LOOKUP(2,1/(($B$2:$B956=$B957)*($N$2:$N956=1)),$M$2:$M956),""))</f>
        <v/>
      </c>
    </row>
    <row r="958">
      <c r="A958" t="n">
        <v>957</v>
      </c>
      <c r="B958">
        <f>Schedule!$A$139</f>
        <v/>
      </c>
      <c r="C958">
        <f>Schedule!$D$139</f>
        <v/>
      </c>
      <c r="D958">
        <f>Schedule!$F$139</f>
        <v/>
      </c>
      <c r="E958" t="n">
        <v>4</v>
      </c>
      <c r="F958">
        <f>Schedule!$K$1</f>
        <v/>
      </c>
      <c r="G958">
        <f>Schedule!$K$2</f>
        <v/>
      </c>
      <c r="H958">
        <f>Schedule!$K$139</f>
        <v/>
      </c>
      <c r="I958">
        <f>IF($N958=1,VALUE(LEFT($H958,2)),"")</f>
        <v/>
      </c>
      <c r="J958">
        <f>IF($N958=1,VALUE(MID($H958,9,2)),"")</f>
        <v/>
      </c>
      <c r="K958">
        <f>IF($N958=1,MOD($J958-$I958,24),0)</f>
        <v/>
      </c>
      <c r="L958">
        <f>IF($N958=1,$E958*24+$I958,"")</f>
        <v/>
      </c>
      <c r="M958">
        <f>IF($N958=1,$L958+$K958,"")</f>
        <v/>
      </c>
      <c r="N958">
        <f>IF(ISNUMBER(SEARCH(" - ",$H958&amp;"")),1,0)</f>
        <v/>
      </c>
      <c r="O958">
        <f>IF(UPPER($H958&amp;"")="LEAVE",1,0)</f>
        <v/>
      </c>
      <c r="P958">
        <f>IF($N958=1,$K958,0)</f>
        <v/>
      </c>
      <c r="Q958">
        <f>IF($N958=0,"",IFERROR($L958-LOOKUP(2,1/(($B$2:$B957=$B958)*($N$2:$N957=1)),$M$2:$M957),""))</f>
        <v/>
      </c>
    </row>
    <row r="959">
      <c r="A959" t="n">
        <v>958</v>
      </c>
      <c r="B959">
        <f>Schedule!$A$139</f>
        <v/>
      </c>
      <c r="C959">
        <f>Schedule!$D$139</f>
        <v/>
      </c>
      <c r="D959">
        <f>Schedule!$F$139</f>
        <v/>
      </c>
      <c r="E959" t="n">
        <v>5</v>
      </c>
      <c r="F959">
        <f>Schedule!$L$1</f>
        <v/>
      </c>
      <c r="G959">
        <f>Schedule!$L$2</f>
        <v/>
      </c>
      <c r="H959">
        <f>Schedule!$L$139</f>
        <v/>
      </c>
      <c r="I959">
        <f>IF($N959=1,VALUE(LEFT($H959,2)),"")</f>
        <v/>
      </c>
      <c r="J959">
        <f>IF($N959=1,VALUE(MID($H959,9,2)),"")</f>
        <v/>
      </c>
      <c r="K959">
        <f>IF($N959=1,MOD($J959-$I959,24),0)</f>
        <v/>
      </c>
      <c r="L959">
        <f>IF($N959=1,$E959*24+$I959,"")</f>
        <v/>
      </c>
      <c r="M959">
        <f>IF($N959=1,$L959+$K959,"")</f>
        <v/>
      </c>
      <c r="N959">
        <f>IF(ISNUMBER(SEARCH(" - ",$H959&amp;"")),1,0)</f>
        <v/>
      </c>
      <c r="O959">
        <f>IF(UPPER($H959&amp;"")="LEAVE",1,0)</f>
        <v/>
      </c>
      <c r="P959">
        <f>IF($N959=1,$K959,0)</f>
        <v/>
      </c>
      <c r="Q959">
        <f>IF($N959=0,"",IFERROR($L959-LOOKUP(2,1/(($B$2:$B958=$B959)*($N$2:$N958=1)),$M$2:$M958),""))</f>
        <v/>
      </c>
    </row>
    <row r="960">
      <c r="A960" t="n">
        <v>959</v>
      </c>
      <c r="B960">
        <f>Schedule!$A$139</f>
        <v/>
      </c>
      <c r="C960">
        <f>Schedule!$D$139</f>
        <v/>
      </c>
      <c r="D960">
        <f>Schedule!$F$139</f>
        <v/>
      </c>
      <c r="E960" t="n">
        <v>6</v>
      </c>
      <c r="F960">
        <f>Schedule!$M$1</f>
        <v/>
      </c>
      <c r="G960">
        <f>Schedule!$M$2</f>
        <v/>
      </c>
      <c r="H960">
        <f>Schedule!$M$139</f>
        <v/>
      </c>
      <c r="I960">
        <f>IF($N960=1,VALUE(LEFT($H960,2)),"")</f>
        <v/>
      </c>
      <c r="J960">
        <f>IF($N960=1,VALUE(MID($H960,9,2)),"")</f>
        <v/>
      </c>
      <c r="K960">
        <f>IF($N960=1,MOD($J960-$I960,24),0)</f>
        <v/>
      </c>
      <c r="L960">
        <f>IF($N960=1,$E960*24+$I960,"")</f>
        <v/>
      </c>
      <c r="M960">
        <f>IF($N960=1,$L960+$K960,"")</f>
        <v/>
      </c>
      <c r="N960">
        <f>IF(ISNUMBER(SEARCH(" - ",$H960&amp;"")),1,0)</f>
        <v/>
      </c>
      <c r="O960">
        <f>IF(UPPER($H960&amp;"")="LEAVE",1,0)</f>
        <v/>
      </c>
      <c r="P960">
        <f>IF($N960=1,$K960,0)</f>
        <v/>
      </c>
      <c r="Q960">
        <f>IF($N960=0,"",IFERROR($L960-LOOKUP(2,1/(($B$2:$B959=$B960)*($N$2:$N959=1)),$M$2:$M959),""))</f>
        <v/>
      </c>
    </row>
    <row r="961">
      <c r="A961" t="n">
        <v>960</v>
      </c>
      <c r="B961">
        <f>Schedule!$A$140</f>
        <v/>
      </c>
      <c r="C961">
        <f>Schedule!$D$140</f>
        <v/>
      </c>
      <c r="D961">
        <f>Schedule!$F$140</f>
        <v/>
      </c>
      <c r="E961" t="n">
        <v>0</v>
      </c>
      <c r="F961">
        <f>Schedule!$G$1</f>
        <v/>
      </c>
      <c r="G961">
        <f>Schedule!$G$2</f>
        <v/>
      </c>
      <c r="H961">
        <f>Schedule!$G$140</f>
        <v/>
      </c>
      <c r="I961">
        <f>IF($N961=1,VALUE(LEFT($H961,2)),"")</f>
        <v/>
      </c>
      <c r="J961">
        <f>IF($N961=1,VALUE(MID($H961,9,2)),"")</f>
        <v/>
      </c>
      <c r="K961">
        <f>IF($N961=1,MOD($J961-$I961,24),0)</f>
        <v/>
      </c>
      <c r="L961">
        <f>IF($N961=1,$E961*24+$I961,"")</f>
        <v/>
      </c>
      <c r="M961">
        <f>IF($N961=1,$L961+$K961,"")</f>
        <v/>
      </c>
      <c r="N961">
        <f>IF(ISNUMBER(SEARCH(" - ",$H961&amp;"")),1,0)</f>
        <v/>
      </c>
      <c r="O961">
        <f>IF(UPPER($H961&amp;"")="LEAVE",1,0)</f>
        <v/>
      </c>
      <c r="P961">
        <f>IF($N961=1,$K961,0)</f>
        <v/>
      </c>
      <c r="Q961">
        <f>IF($N961=0,"",IFERROR($L961-'Previous Engine'!$M$139,""))</f>
        <v/>
      </c>
    </row>
    <row r="962">
      <c r="A962" t="n">
        <v>961</v>
      </c>
      <c r="B962">
        <f>Schedule!$A$140</f>
        <v/>
      </c>
      <c r="C962">
        <f>Schedule!$D$140</f>
        <v/>
      </c>
      <c r="D962">
        <f>Schedule!$F$140</f>
        <v/>
      </c>
      <c r="E962" t="n">
        <v>1</v>
      </c>
      <c r="F962">
        <f>Schedule!$H$1</f>
        <v/>
      </c>
      <c r="G962">
        <f>Schedule!$H$2</f>
        <v/>
      </c>
      <c r="H962">
        <f>Schedule!$H$140</f>
        <v/>
      </c>
      <c r="I962">
        <f>IF($N962=1,VALUE(LEFT($H962,2)),"")</f>
        <v/>
      </c>
      <c r="J962">
        <f>IF($N962=1,VALUE(MID($H962,9,2)),"")</f>
        <v/>
      </c>
      <c r="K962">
        <f>IF($N962=1,MOD($J962-$I962,24),0)</f>
        <v/>
      </c>
      <c r="L962">
        <f>IF($N962=1,$E962*24+$I962,"")</f>
        <v/>
      </c>
      <c r="M962">
        <f>IF($N962=1,$L962+$K962,"")</f>
        <v/>
      </c>
      <c r="N962">
        <f>IF(ISNUMBER(SEARCH(" - ",$H962&amp;"")),1,0)</f>
        <v/>
      </c>
      <c r="O962">
        <f>IF(UPPER($H962&amp;"")="LEAVE",1,0)</f>
        <v/>
      </c>
      <c r="P962">
        <f>IF($N962=1,$K962,0)</f>
        <v/>
      </c>
      <c r="Q962">
        <f>IF($N962=0,"",IFERROR($L962-LOOKUP(2,1/(($B$2:$B961=$B962)*($N$2:$N961=1)),$M$2:$M961),""))</f>
        <v/>
      </c>
    </row>
    <row r="963">
      <c r="A963" t="n">
        <v>962</v>
      </c>
      <c r="B963">
        <f>Schedule!$A$140</f>
        <v/>
      </c>
      <c r="C963">
        <f>Schedule!$D$140</f>
        <v/>
      </c>
      <c r="D963">
        <f>Schedule!$F$140</f>
        <v/>
      </c>
      <c r="E963" t="n">
        <v>2</v>
      </c>
      <c r="F963">
        <f>Schedule!$I$1</f>
        <v/>
      </c>
      <c r="G963">
        <f>Schedule!$I$2</f>
        <v/>
      </c>
      <c r="H963">
        <f>Schedule!$I$140</f>
        <v/>
      </c>
      <c r="I963">
        <f>IF($N963=1,VALUE(LEFT($H963,2)),"")</f>
        <v/>
      </c>
      <c r="J963">
        <f>IF($N963=1,VALUE(MID($H963,9,2)),"")</f>
        <v/>
      </c>
      <c r="K963">
        <f>IF($N963=1,MOD($J963-$I963,24),0)</f>
        <v/>
      </c>
      <c r="L963">
        <f>IF($N963=1,$E963*24+$I963,"")</f>
        <v/>
      </c>
      <c r="M963">
        <f>IF($N963=1,$L963+$K963,"")</f>
        <v/>
      </c>
      <c r="N963">
        <f>IF(ISNUMBER(SEARCH(" - ",$H963&amp;"")),1,0)</f>
        <v/>
      </c>
      <c r="O963">
        <f>IF(UPPER($H963&amp;"")="LEAVE",1,0)</f>
        <v/>
      </c>
      <c r="P963">
        <f>IF($N963=1,$K963,0)</f>
        <v/>
      </c>
      <c r="Q963">
        <f>IF($N963=0,"",IFERROR($L963-LOOKUP(2,1/(($B$2:$B962=$B963)*($N$2:$N962=1)),$M$2:$M962),""))</f>
        <v/>
      </c>
    </row>
    <row r="964">
      <c r="A964" t="n">
        <v>963</v>
      </c>
      <c r="B964">
        <f>Schedule!$A$140</f>
        <v/>
      </c>
      <c r="C964">
        <f>Schedule!$D$140</f>
        <v/>
      </c>
      <c r="D964">
        <f>Schedule!$F$140</f>
        <v/>
      </c>
      <c r="E964" t="n">
        <v>3</v>
      </c>
      <c r="F964">
        <f>Schedule!$J$1</f>
        <v/>
      </c>
      <c r="G964">
        <f>Schedule!$J$2</f>
        <v/>
      </c>
      <c r="H964">
        <f>Schedule!$J$140</f>
        <v/>
      </c>
      <c r="I964">
        <f>IF($N964=1,VALUE(LEFT($H964,2)),"")</f>
        <v/>
      </c>
      <c r="J964">
        <f>IF($N964=1,VALUE(MID($H964,9,2)),"")</f>
        <v/>
      </c>
      <c r="K964">
        <f>IF($N964=1,MOD($J964-$I964,24),0)</f>
        <v/>
      </c>
      <c r="L964">
        <f>IF($N964=1,$E964*24+$I964,"")</f>
        <v/>
      </c>
      <c r="M964">
        <f>IF($N964=1,$L964+$K964,"")</f>
        <v/>
      </c>
      <c r="N964">
        <f>IF(ISNUMBER(SEARCH(" - ",$H964&amp;"")),1,0)</f>
        <v/>
      </c>
      <c r="O964">
        <f>IF(UPPER($H964&amp;"")="LEAVE",1,0)</f>
        <v/>
      </c>
      <c r="P964">
        <f>IF($N964=1,$K964,0)</f>
        <v/>
      </c>
      <c r="Q964">
        <f>IF($N964=0,"",IFERROR($L964-LOOKUP(2,1/(($B$2:$B963=$B964)*($N$2:$N963=1)),$M$2:$M963),""))</f>
        <v/>
      </c>
    </row>
    <row r="965">
      <c r="A965" t="n">
        <v>964</v>
      </c>
      <c r="B965">
        <f>Schedule!$A$140</f>
        <v/>
      </c>
      <c r="C965">
        <f>Schedule!$D$140</f>
        <v/>
      </c>
      <c r="D965">
        <f>Schedule!$F$140</f>
        <v/>
      </c>
      <c r="E965" t="n">
        <v>4</v>
      </c>
      <c r="F965">
        <f>Schedule!$K$1</f>
        <v/>
      </c>
      <c r="G965">
        <f>Schedule!$K$2</f>
        <v/>
      </c>
      <c r="H965">
        <f>Schedule!$K$140</f>
        <v/>
      </c>
      <c r="I965">
        <f>IF($N965=1,VALUE(LEFT($H965,2)),"")</f>
        <v/>
      </c>
      <c r="J965">
        <f>IF($N965=1,VALUE(MID($H965,9,2)),"")</f>
        <v/>
      </c>
      <c r="K965">
        <f>IF($N965=1,MOD($J965-$I965,24),0)</f>
        <v/>
      </c>
      <c r="L965">
        <f>IF($N965=1,$E965*24+$I965,"")</f>
        <v/>
      </c>
      <c r="M965">
        <f>IF($N965=1,$L965+$K965,"")</f>
        <v/>
      </c>
      <c r="N965">
        <f>IF(ISNUMBER(SEARCH(" - ",$H965&amp;"")),1,0)</f>
        <v/>
      </c>
      <c r="O965">
        <f>IF(UPPER($H965&amp;"")="LEAVE",1,0)</f>
        <v/>
      </c>
      <c r="P965">
        <f>IF($N965=1,$K965,0)</f>
        <v/>
      </c>
      <c r="Q965">
        <f>IF($N965=0,"",IFERROR($L965-LOOKUP(2,1/(($B$2:$B964=$B965)*($N$2:$N964=1)),$M$2:$M964),""))</f>
        <v/>
      </c>
    </row>
    <row r="966">
      <c r="A966" t="n">
        <v>965</v>
      </c>
      <c r="B966">
        <f>Schedule!$A$140</f>
        <v/>
      </c>
      <c r="C966">
        <f>Schedule!$D$140</f>
        <v/>
      </c>
      <c r="D966">
        <f>Schedule!$F$140</f>
        <v/>
      </c>
      <c r="E966" t="n">
        <v>5</v>
      </c>
      <c r="F966">
        <f>Schedule!$L$1</f>
        <v/>
      </c>
      <c r="G966">
        <f>Schedule!$L$2</f>
        <v/>
      </c>
      <c r="H966">
        <f>Schedule!$L$140</f>
        <v/>
      </c>
      <c r="I966">
        <f>IF($N966=1,VALUE(LEFT($H966,2)),"")</f>
        <v/>
      </c>
      <c r="J966">
        <f>IF($N966=1,VALUE(MID($H966,9,2)),"")</f>
        <v/>
      </c>
      <c r="K966">
        <f>IF($N966=1,MOD($J966-$I966,24),0)</f>
        <v/>
      </c>
      <c r="L966">
        <f>IF($N966=1,$E966*24+$I966,"")</f>
        <v/>
      </c>
      <c r="M966">
        <f>IF($N966=1,$L966+$K966,"")</f>
        <v/>
      </c>
      <c r="N966">
        <f>IF(ISNUMBER(SEARCH(" - ",$H966&amp;"")),1,0)</f>
        <v/>
      </c>
      <c r="O966">
        <f>IF(UPPER($H966&amp;"")="LEAVE",1,0)</f>
        <v/>
      </c>
      <c r="P966">
        <f>IF($N966=1,$K966,0)</f>
        <v/>
      </c>
      <c r="Q966">
        <f>IF($N966=0,"",IFERROR($L966-LOOKUP(2,1/(($B$2:$B965=$B966)*($N$2:$N965=1)),$M$2:$M965),""))</f>
        <v/>
      </c>
    </row>
    <row r="967">
      <c r="A967" t="n">
        <v>966</v>
      </c>
      <c r="B967">
        <f>Schedule!$A$140</f>
        <v/>
      </c>
      <c r="C967">
        <f>Schedule!$D$140</f>
        <v/>
      </c>
      <c r="D967">
        <f>Schedule!$F$140</f>
        <v/>
      </c>
      <c r="E967" t="n">
        <v>6</v>
      </c>
      <c r="F967">
        <f>Schedule!$M$1</f>
        <v/>
      </c>
      <c r="G967">
        <f>Schedule!$M$2</f>
        <v/>
      </c>
      <c r="H967">
        <f>Schedule!$M$140</f>
        <v/>
      </c>
      <c r="I967">
        <f>IF($N967=1,VALUE(LEFT($H967,2)),"")</f>
        <v/>
      </c>
      <c r="J967">
        <f>IF($N967=1,VALUE(MID($H967,9,2)),"")</f>
        <v/>
      </c>
      <c r="K967">
        <f>IF($N967=1,MOD($J967-$I967,24),0)</f>
        <v/>
      </c>
      <c r="L967">
        <f>IF($N967=1,$E967*24+$I967,"")</f>
        <v/>
      </c>
      <c r="M967">
        <f>IF($N967=1,$L967+$K967,"")</f>
        <v/>
      </c>
      <c r="N967">
        <f>IF(ISNUMBER(SEARCH(" - ",$H967&amp;"")),1,0)</f>
        <v/>
      </c>
      <c r="O967">
        <f>IF(UPPER($H967&amp;"")="LEAVE",1,0)</f>
        <v/>
      </c>
      <c r="P967">
        <f>IF($N967=1,$K967,0)</f>
        <v/>
      </c>
      <c r="Q967">
        <f>IF($N967=0,"",IFERROR($L967-LOOKUP(2,1/(($B$2:$B966=$B967)*($N$2:$N966=1)),$M$2:$M966),""))</f>
        <v/>
      </c>
    </row>
    <row r="968">
      <c r="A968" t="n">
        <v>967</v>
      </c>
      <c r="B968">
        <f>Schedule!$A$141</f>
        <v/>
      </c>
      <c r="C968">
        <f>Schedule!$D$141</f>
        <v/>
      </c>
      <c r="D968">
        <f>Schedule!$F$141</f>
        <v/>
      </c>
      <c r="E968" t="n">
        <v>0</v>
      </c>
      <c r="F968">
        <f>Schedule!$G$1</f>
        <v/>
      </c>
      <c r="G968">
        <f>Schedule!$G$2</f>
        <v/>
      </c>
      <c r="H968">
        <f>Schedule!$G$141</f>
        <v/>
      </c>
      <c r="I968">
        <f>IF($N968=1,VALUE(LEFT($H968,2)),"")</f>
        <v/>
      </c>
      <c r="J968">
        <f>IF($N968=1,VALUE(MID($H968,9,2)),"")</f>
        <v/>
      </c>
      <c r="K968">
        <f>IF($N968=1,MOD($J968-$I968,24),0)</f>
        <v/>
      </c>
      <c r="L968">
        <f>IF($N968=1,$E968*24+$I968,"")</f>
        <v/>
      </c>
      <c r="M968">
        <f>IF($N968=1,$L968+$K968,"")</f>
        <v/>
      </c>
      <c r="N968">
        <f>IF(ISNUMBER(SEARCH(" - ",$H968&amp;"")),1,0)</f>
        <v/>
      </c>
      <c r="O968">
        <f>IF(UPPER($H968&amp;"")="LEAVE",1,0)</f>
        <v/>
      </c>
      <c r="P968">
        <f>IF($N968=1,$K968,0)</f>
        <v/>
      </c>
      <c r="Q968">
        <f>IF($N968=0,"",IFERROR($L968-'Previous Engine'!$M$140,""))</f>
        <v/>
      </c>
    </row>
    <row r="969">
      <c r="A969" t="n">
        <v>968</v>
      </c>
      <c r="B969">
        <f>Schedule!$A$141</f>
        <v/>
      </c>
      <c r="C969">
        <f>Schedule!$D$141</f>
        <v/>
      </c>
      <c r="D969">
        <f>Schedule!$F$141</f>
        <v/>
      </c>
      <c r="E969" t="n">
        <v>1</v>
      </c>
      <c r="F969">
        <f>Schedule!$H$1</f>
        <v/>
      </c>
      <c r="G969">
        <f>Schedule!$H$2</f>
        <v/>
      </c>
      <c r="H969">
        <f>Schedule!$H$141</f>
        <v/>
      </c>
      <c r="I969">
        <f>IF($N969=1,VALUE(LEFT($H969,2)),"")</f>
        <v/>
      </c>
      <c r="J969">
        <f>IF($N969=1,VALUE(MID($H969,9,2)),"")</f>
        <v/>
      </c>
      <c r="K969">
        <f>IF($N969=1,MOD($J969-$I969,24),0)</f>
        <v/>
      </c>
      <c r="L969">
        <f>IF($N969=1,$E969*24+$I969,"")</f>
        <v/>
      </c>
      <c r="M969">
        <f>IF($N969=1,$L969+$K969,"")</f>
        <v/>
      </c>
      <c r="N969">
        <f>IF(ISNUMBER(SEARCH(" - ",$H969&amp;"")),1,0)</f>
        <v/>
      </c>
      <c r="O969">
        <f>IF(UPPER($H969&amp;"")="LEAVE",1,0)</f>
        <v/>
      </c>
      <c r="P969">
        <f>IF($N969=1,$K969,0)</f>
        <v/>
      </c>
      <c r="Q969">
        <f>IF($N969=0,"",IFERROR($L969-LOOKUP(2,1/(($B$2:$B968=$B969)*($N$2:$N968=1)),$M$2:$M968),""))</f>
        <v/>
      </c>
    </row>
    <row r="970">
      <c r="A970" t="n">
        <v>969</v>
      </c>
      <c r="B970">
        <f>Schedule!$A$141</f>
        <v/>
      </c>
      <c r="C970">
        <f>Schedule!$D$141</f>
        <v/>
      </c>
      <c r="D970">
        <f>Schedule!$F$141</f>
        <v/>
      </c>
      <c r="E970" t="n">
        <v>2</v>
      </c>
      <c r="F970">
        <f>Schedule!$I$1</f>
        <v/>
      </c>
      <c r="G970">
        <f>Schedule!$I$2</f>
        <v/>
      </c>
      <c r="H970">
        <f>Schedule!$I$141</f>
        <v/>
      </c>
      <c r="I970">
        <f>IF($N970=1,VALUE(LEFT($H970,2)),"")</f>
        <v/>
      </c>
      <c r="J970">
        <f>IF($N970=1,VALUE(MID($H970,9,2)),"")</f>
        <v/>
      </c>
      <c r="K970">
        <f>IF($N970=1,MOD($J970-$I970,24),0)</f>
        <v/>
      </c>
      <c r="L970">
        <f>IF($N970=1,$E970*24+$I970,"")</f>
        <v/>
      </c>
      <c r="M970">
        <f>IF($N970=1,$L970+$K970,"")</f>
        <v/>
      </c>
      <c r="N970">
        <f>IF(ISNUMBER(SEARCH(" - ",$H970&amp;"")),1,0)</f>
        <v/>
      </c>
      <c r="O970">
        <f>IF(UPPER($H970&amp;"")="LEAVE",1,0)</f>
        <v/>
      </c>
      <c r="P970">
        <f>IF($N970=1,$K970,0)</f>
        <v/>
      </c>
      <c r="Q970">
        <f>IF($N970=0,"",IFERROR($L970-LOOKUP(2,1/(($B$2:$B969=$B970)*($N$2:$N969=1)),$M$2:$M969),""))</f>
        <v/>
      </c>
    </row>
    <row r="971">
      <c r="A971" t="n">
        <v>970</v>
      </c>
      <c r="B971">
        <f>Schedule!$A$141</f>
        <v/>
      </c>
      <c r="C971">
        <f>Schedule!$D$141</f>
        <v/>
      </c>
      <c r="D971">
        <f>Schedule!$F$141</f>
        <v/>
      </c>
      <c r="E971" t="n">
        <v>3</v>
      </c>
      <c r="F971">
        <f>Schedule!$J$1</f>
        <v/>
      </c>
      <c r="G971">
        <f>Schedule!$J$2</f>
        <v/>
      </c>
      <c r="H971">
        <f>Schedule!$J$141</f>
        <v/>
      </c>
      <c r="I971">
        <f>IF($N971=1,VALUE(LEFT($H971,2)),"")</f>
        <v/>
      </c>
      <c r="J971">
        <f>IF($N971=1,VALUE(MID($H971,9,2)),"")</f>
        <v/>
      </c>
      <c r="K971">
        <f>IF($N971=1,MOD($J971-$I971,24),0)</f>
        <v/>
      </c>
      <c r="L971">
        <f>IF($N971=1,$E971*24+$I971,"")</f>
        <v/>
      </c>
      <c r="M971">
        <f>IF($N971=1,$L971+$K971,"")</f>
        <v/>
      </c>
      <c r="N971">
        <f>IF(ISNUMBER(SEARCH(" - ",$H971&amp;"")),1,0)</f>
        <v/>
      </c>
      <c r="O971">
        <f>IF(UPPER($H971&amp;"")="LEAVE",1,0)</f>
        <v/>
      </c>
      <c r="P971">
        <f>IF($N971=1,$K971,0)</f>
        <v/>
      </c>
      <c r="Q971">
        <f>IF($N971=0,"",IFERROR($L971-LOOKUP(2,1/(($B$2:$B970=$B971)*($N$2:$N970=1)),$M$2:$M970),""))</f>
        <v/>
      </c>
    </row>
    <row r="972">
      <c r="A972" t="n">
        <v>971</v>
      </c>
      <c r="B972">
        <f>Schedule!$A$141</f>
        <v/>
      </c>
      <c r="C972">
        <f>Schedule!$D$141</f>
        <v/>
      </c>
      <c r="D972">
        <f>Schedule!$F$141</f>
        <v/>
      </c>
      <c r="E972" t="n">
        <v>4</v>
      </c>
      <c r="F972">
        <f>Schedule!$K$1</f>
        <v/>
      </c>
      <c r="G972">
        <f>Schedule!$K$2</f>
        <v/>
      </c>
      <c r="H972">
        <f>Schedule!$K$141</f>
        <v/>
      </c>
      <c r="I972">
        <f>IF($N972=1,VALUE(LEFT($H972,2)),"")</f>
        <v/>
      </c>
      <c r="J972">
        <f>IF($N972=1,VALUE(MID($H972,9,2)),"")</f>
        <v/>
      </c>
      <c r="K972">
        <f>IF($N972=1,MOD($J972-$I972,24),0)</f>
        <v/>
      </c>
      <c r="L972">
        <f>IF($N972=1,$E972*24+$I972,"")</f>
        <v/>
      </c>
      <c r="M972">
        <f>IF($N972=1,$L972+$K972,"")</f>
        <v/>
      </c>
      <c r="N972">
        <f>IF(ISNUMBER(SEARCH(" - ",$H972&amp;"")),1,0)</f>
        <v/>
      </c>
      <c r="O972">
        <f>IF(UPPER($H972&amp;"")="LEAVE",1,0)</f>
        <v/>
      </c>
      <c r="P972">
        <f>IF($N972=1,$K972,0)</f>
        <v/>
      </c>
      <c r="Q972">
        <f>IF($N972=0,"",IFERROR($L972-LOOKUP(2,1/(($B$2:$B971=$B972)*($N$2:$N971=1)),$M$2:$M971),""))</f>
        <v/>
      </c>
    </row>
    <row r="973">
      <c r="A973" t="n">
        <v>972</v>
      </c>
      <c r="B973">
        <f>Schedule!$A$141</f>
        <v/>
      </c>
      <c r="C973">
        <f>Schedule!$D$141</f>
        <v/>
      </c>
      <c r="D973">
        <f>Schedule!$F$141</f>
        <v/>
      </c>
      <c r="E973" t="n">
        <v>5</v>
      </c>
      <c r="F973">
        <f>Schedule!$L$1</f>
        <v/>
      </c>
      <c r="G973">
        <f>Schedule!$L$2</f>
        <v/>
      </c>
      <c r="H973">
        <f>Schedule!$L$141</f>
        <v/>
      </c>
      <c r="I973">
        <f>IF($N973=1,VALUE(LEFT($H973,2)),"")</f>
        <v/>
      </c>
      <c r="J973">
        <f>IF($N973=1,VALUE(MID($H973,9,2)),"")</f>
        <v/>
      </c>
      <c r="K973">
        <f>IF($N973=1,MOD($J973-$I973,24),0)</f>
        <v/>
      </c>
      <c r="L973">
        <f>IF($N973=1,$E973*24+$I973,"")</f>
        <v/>
      </c>
      <c r="M973">
        <f>IF($N973=1,$L973+$K973,"")</f>
        <v/>
      </c>
      <c r="N973">
        <f>IF(ISNUMBER(SEARCH(" - ",$H973&amp;"")),1,0)</f>
        <v/>
      </c>
      <c r="O973">
        <f>IF(UPPER($H973&amp;"")="LEAVE",1,0)</f>
        <v/>
      </c>
      <c r="P973">
        <f>IF($N973=1,$K973,0)</f>
        <v/>
      </c>
      <c r="Q973">
        <f>IF($N973=0,"",IFERROR($L973-LOOKUP(2,1/(($B$2:$B972=$B973)*($N$2:$N972=1)),$M$2:$M972),""))</f>
        <v/>
      </c>
    </row>
    <row r="974">
      <c r="A974" t="n">
        <v>973</v>
      </c>
      <c r="B974">
        <f>Schedule!$A$141</f>
        <v/>
      </c>
      <c r="C974">
        <f>Schedule!$D$141</f>
        <v/>
      </c>
      <c r="D974">
        <f>Schedule!$F$141</f>
        <v/>
      </c>
      <c r="E974" t="n">
        <v>6</v>
      </c>
      <c r="F974">
        <f>Schedule!$M$1</f>
        <v/>
      </c>
      <c r="G974">
        <f>Schedule!$M$2</f>
        <v/>
      </c>
      <c r="H974">
        <f>Schedule!$M$141</f>
        <v/>
      </c>
      <c r="I974">
        <f>IF($N974=1,VALUE(LEFT($H974,2)),"")</f>
        <v/>
      </c>
      <c r="J974">
        <f>IF($N974=1,VALUE(MID($H974,9,2)),"")</f>
        <v/>
      </c>
      <c r="K974">
        <f>IF($N974=1,MOD($J974-$I974,24),0)</f>
        <v/>
      </c>
      <c r="L974">
        <f>IF($N974=1,$E974*24+$I974,"")</f>
        <v/>
      </c>
      <c r="M974">
        <f>IF($N974=1,$L974+$K974,"")</f>
        <v/>
      </c>
      <c r="N974">
        <f>IF(ISNUMBER(SEARCH(" - ",$H974&amp;"")),1,0)</f>
        <v/>
      </c>
      <c r="O974">
        <f>IF(UPPER($H974&amp;"")="LEAVE",1,0)</f>
        <v/>
      </c>
      <c r="P974">
        <f>IF($N974=1,$K974,0)</f>
        <v/>
      </c>
      <c r="Q974">
        <f>IF($N974=0,"",IFERROR($L974-LOOKUP(2,1/(($B$2:$B973=$B974)*($N$2:$N973=1)),$M$2:$M973),""))</f>
        <v/>
      </c>
    </row>
    <row r="975">
      <c r="A975" t="n">
        <v>974</v>
      </c>
      <c r="B975">
        <f>Schedule!$A$142</f>
        <v/>
      </c>
      <c r="C975">
        <f>Schedule!$D$142</f>
        <v/>
      </c>
      <c r="D975">
        <f>Schedule!$F$142</f>
        <v/>
      </c>
      <c r="E975" t="n">
        <v>0</v>
      </c>
      <c r="F975">
        <f>Schedule!$G$1</f>
        <v/>
      </c>
      <c r="G975">
        <f>Schedule!$G$2</f>
        <v/>
      </c>
      <c r="H975">
        <f>Schedule!$G$142</f>
        <v/>
      </c>
      <c r="I975">
        <f>IF($N975=1,VALUE(LEFT($H975,2)),"")</f>
        <v/>
      </c>
      <c r="J975">
        <f>IF($N975=1,VALUE(MID($H975,9,2)),"")</f>
        <v/>
      </c>
      <c r="K975">
        <f>IF($N975=1,MOD($J975-$I975,24),0)</f>
        <v/>
      </c>
      <c r="L975">
        <f>IF($N975=1,$E975*24+$I975,"")</f>
        <v/>
      </c>
      <c r="M975">
        <f>IF($N975=1,$L975+$K975,"")</f>
        <v/>
      </c>
      <c r="N975">
        <f>IF(ISNUMBER(SEARCH(" - ",$H975&amp;"")),1,0)</f>
        <v/>
      </c>
      <c r="O975">
        <f>IF(UPPER($H975&amp;"")="LEAVE",1,0)</f>
        <v/>
      </c>
      <c r="P975">
        <f>IF($N975=1,$K975,0)</f>
        <v/>
      </c>
      <c r="Q975">
        <f>IF($N975=0,"",IFERROR($L975-'Previous Engine'!$M$141,""))</f>
        <v/>
      </c>
    </row>
    <row r="976">
      <c r="A976" t="n">
        <v>975</v>
      </c>
      <c r="B976">
        <f>Schedule!$A$142</f>
        <v/>
      </c>
      <c r="C976">
        <f>Schedule!$D$142</f>
        <v/>
      </c>
      <c r="D976">
        <f>Schedule!$F$142</f>
        <v/>
      </c>
      <c r="E976" t="n">
        <v>1</v>
      </c>
      <c r="F976">
        <f>Schedule!$H$1</f>
        <v/>
      </c>
      <c r="G976">
        <f>Schedule!$H$2</f>
        <v/>
      </c>
      <c r="H976">
        <f>Schedule!$H$142</f>
        <v/>
      </c>
      <c r="I976">
        <f>IF($N976=1,VALUE(LEFT($H976,2)),"")</f>
        <v/>
      </c>
      <c r="J976">
        <f>IF($N976=1,VALUE(MID($H976,9,2)),"")</f>
        <v/>
      </c>
      <c r="K976">
        <f>IF($N976=1,MOD($J976-$I976,24),0)</f>
        <v/>
      </c>
      <c r="L976">
        <f>IF($N976=1,$E976*24+$I976,"")</f>
        <v/>
      </c>
      <c r="M976">
        <f>IF($N976=1,$L976+$K976,"")</f>
        <v/>
      </c>
      <c r="N976">
        <f>IF(ISNUMBER(SEARCH(" - ",$H976&amp;"")),1,0)</f>
        <v/>
      </c>
      <c r="O976">
        <f>IF(UPPER($H976&amp;"")="LEAVE",1,0)</f>
        <v/>
      </c>
      <c r="P976">
        <f>IF($N976=1,$K976,0)</f>
        <v/>
      </c>
      <c r="Q976">
        <f>IF($N976=0,"",IFERROR($L976-LOOKUP(2,1/(($B$2:$B975=$B976)*($N$2:$N975=1)),$M$2:$M975),""))</f>
        <v/>
      </c>
    </row>
    <row r="977">
      <c r="A977" t="n">
        <v>976</v>
      </c>
      <c r="B977">
        <f>Schedule!$A$142</f>
        <v/>
      </c>
      <c r="C977">
        <f>Schedule!$D$142</f>
        <v/>
      </c>
      <c r="D977">
        <f>Schedule!$F$142</f>
        <v/>
      </c>
      <c r="E977" t="n">
        <v>2</v>
      </c>
      <c r="F977">
        <f>Schedule!$I$1</f>
        <v/>
      </c>
      <c r="G977">
        <f>Schedule!$I$2</f>
        <v/>
      </c>
      <c r="H977">
        <f>Schedule!$I$142</f>
        <v/>
      </c>
      <c r="I977">
        <f>IF($N977=1,VALUE(LEFT($H977,2)),"")</f>
        <v/>
      </c>
      <c r="J977">
        <f>IF($N977=1,VALUE(MID($H977,9,2)),"")</f>
        <v/>
      </c>
      <c r="K977">
        <f>IF($N977=1,MOD($J977-$I977,24),0)</f>
        <v/>
      </c>
      <c r="L977">
        <f>IF($N977=1,$E977*24+$I977,"")</f>
        <v/>
      </c>
      <c r="M977">
        <f>IF($N977=1,$L977+$K977,"")</f>
        <v/>
      </c>
      <c r="N977">
        <f>IF(ISNUMBER(SEARCH(" - ",$H977&amp;"")),1,0)</f>
        <v/>
      </c>
      <c r="O977">
        <f>IF(UPPER($H977&amp;"")="LEAVE",1,0)</f>
        <v/>
      </c>
      <c r="P977">
        <f>IF($N977=1,$K977,0)</f>
        <v/>
      </c>
      <c r="Q977">
        <f>IF($N977=0,"",IFERROR($L977-LOOKUP(2,1/(($B$2:$B976=$B977)*($N$2:$N976=1)),$M$2:$M976),""))</f>
        <v/>
      </c>
    </row>
    <row r="978">
      <c r="A978" t="n">
        <v>977</v>
      </c>
      <c r="B978">
        <f>Schedule!$A$142</f>
        <v/>
      </c>
      <c r="C978">
        <f>Schedule!$D$142</f>
        <v/>
      </c>
      <c r="D978">
        <f>Schedule!$F$142</f>
        <v/>
      </c>
      <c r="E978" t="n">
        <v>3</v>
      </c>
      <c r="F978">
        <f>Schedule!$J$1</f>
        <v/>
      </c>
      <c r="G978">
        <f>Schedule!$J$2</f>
        <v/>
      </c>
      <c r="H978">
        <f>Schedule!$J$142</f>
        <v/>
      </c>
      <c r="I978">
        <f>IF($N978=1,VALUE(LEFT($H978,2)),"")</f>
        <v/>
      </c>
      <c r="J978">
        <f>IF($N978=1,VALUE(MID($H978,9,2)),"")</f>
        <v/>
      </c>
      <c r="K978">
        <f>IF($N978=1,MOD($J978-$I978,24),0)</f>
        <v/>
      </c>
      <c r="L978">
        <f>IF($N978=1,$E978*24+$I978,"")</f>
        <v/>
      </c>
      <c r="M978">
        <f>IF($N978=1,$L978+$K978,"")</f>
        <v/>
      </c>
      <c r="N978">
        <f>IF(ISNUMBER(SEARCH(" - ",$H978&amp;"")),1,0)</f>
        <v/>
      </c>
      <c r="O978">
        <f>IF(UPPER($H978&amp;"")="LEAVE",1,0)</f>
        <v/>
      </c>
      <c r="P978">
        <f>IF($N978=1,$K978,0)</f>
        <v/>
      </c>
      <c r="Q978">
        <f>IF($N978=0,"",IFERROR($L978-LOOKUP(2,1/(($B$2:$B977=$B978)*($N$2:$N977=1)),$M$2:$M977),""))</f>
        <v/>
      </c>
    </row>
    <row r="979">
      <c r="A979" t="n">
        <v>978</v>
      </c>
      <c r="B979">
        <f>Schedule!$A$142</f>
        <v/>
      </c>
      <c r="C979">
        <f>Schedule!$D$142</f>
        <v/>
      </c>
      <c r="D979">
        <f>Schedule!$F$142</f>
        <v/>
      </c>
      <c r="E979" t="n">
        <v>4</v>
      </c>
      <c r="F979">
        <f>Schedule!$K$1</f>
        <v/>
      </c>
      <c r="G979">
        <f>Schedule!$K$2</f>
        <v/>
      </c>
      <c r="H979">
        <f>Schedule!$K$142</f>
        <v/>
      </c>
      <c r="I979">
        <f>IF($N979=1,VALUE(LEFT($H979,2)),"")</f>
        <v/>
      </c>
      <c r="J979">
        <f>IF($N979=1,VALUE(MID($H979,9,2)),"")</f>
        <v/>
      </c>
      <c r="K979">
        <f>IF($N979=1,MOD($J979-$I979,24),0)</f>
        <v/>
      </c>
      <c r="L979">
        <f>IF($N979=1,$E979*24+$I979,"")</f>
        <v/>
      </c>
      <c r="M979">
        <f>IF($N979=1,$L979+$K979,"")</f>
        <v/>
      </c>
      <c r="N979">
        <f>IF(ISNUMBER(SEARCH(" - ",$H979&amp;"")),1,0)</f>
        <v/>
      </c>
      <c r="O979">
        <f>IF(UPPER($H979&amp;"")="LEAVE",1,0)</f>
        <v/>
      </c>
      <c r="P979">
        <f>IF($N979=1,$K979,0)</f>
        <v/>
      </c>
      <c r="Q979">
        <f>IF($N979=0,"",IFERROR($L979-LOOKUP(2,1/(($B$2:$B978=$B979)*($N$2:$N978=1)),$M$2:$M978),""))</f>
        <v/>
      </c>
    </row>
    <row r="980">
      <c r="A980" t="n">
        <v>979</v>
      </c>
      <c r="B980">
        <f>Schedule!$A$142</f>
        <v/>
      </c>
      <c r="C980">
        <f>Schedule!$D$142</f>
        <v/>
      </c>
      <c r="D980">
        <f>Schedule!$F$142</f>
        <v/>
      </c>
      <c r="E980" t="n">
        <v>5</v>
      </c>
      <c r="F980">
        <f>Schedule!$L$1</f>
        <v/>
      </c>
      <c r="G980">
        <f>Schedule!$L$2</f>
        <v/>
      </c>
      <c r="H980">
        <f>Schedule!$L$142</f>
        <v/>
      </c>
      <c r="I980">
        <f>IF($N980=1,VALUE(LEFT($H980,2)),"")</f>
        <v/>
      </c>
      <c r="J980">
        <f>IF($N980=1,VALUE(MID($H980,9,2)),"")</f>
        <v/>
      </c>
      <c r="K980">
        <f>IF($N980=1,MOD($J980-$I980,24),0)</f>
        <v/>
      </c>
      <c r="L980">
        <f>IF($N980=1,$E980*24+$I980,"")</f>
        <v/>
      </c>
      <c r="M980">
        <f>IF($N980=1,$L980+$K980,"")</f>
        <v/>
      </c>
      <c r="N980">
        <f>IF(ISNUMBER(SEARCH(" - ",$H980&amp;"")),1,0)</f>
        <v/>
      </c>
      <c r="O980">
        <f>IF(UPPER($H980&amp;"")="LEAVE",1,0)</f>
        <v/>
      </c>
      <c r="P980">
        <f>IF($N980=1,$K980,0)</f>
        <v/>
      </c>
      <c r="Q980">
        <f>IF($N980=0,"",IFERROR($L980-LOOKUP(2,1/(($B$2:$B979=$B980)*($N$2:$N979=1)),$M$2:$M979),""))</f>
        <v/>
      </c>
    </row>
    <row r="981">
      <c r="A981" t="n">
        <v>980</v>
      </c>
      <c r="B981">
        <f>Schedule!$A$142</f>
        <v/>
      </c>
      <c r="C981">
        <f>Schedule!$D$142</f>
        <v/>
      </c>
      <c r="D981">
        <f>Schedule!$F$142</f>
        <v/>
      </c>
      <c r="E981" t="n">
        <v>6</v>
      </c>
      <c r="F981">
        <f>Schedule!$M$1</f>
        <v/>
      </c>
      <c r="G981">
        <f>Schedule!$M$2</f>
        <v/>
      </c>
      <c r="H981">
        <f>Schedule!$M$142</f>
        <v/>
      </c>
      <c r="I981">
        <f>IF($N981=1,VALUE(LEFT($H981,2)),"")</f>
        <v/>
      </c>
      <c r="J981">
        <f>IF($N981=1,VALUE(MID($H981,9,2)),"")</f>
        <v/>
      </c>
      <c r="K981">
        <f>IF($N981=1,MOD($J981-$I981,24),0)</f>
        <v/>
      </c>
      <c r="L981">
        <f>IF($N981=1,$E981*24+$I981,"")</f>
        <v/>
      </c>
      <c r="M981">
        <f>IF($N981=1,$L981+$K981,"")</f>
        <v/>
      </c>
      <c r="N981">
        <f>IF(ISNUMBER(SEARCH(" - ",$H981&amp;"")),1,0)</f>
        <v/>
      </c>
      <c r="O981">
        <f>IF(UPPER($H981&amp;"")="LEAVE",1,0)</f>
        <v/>
      </c>
      <c r="P981">
        <f>IF($N981=1,$K981,0)</f>
        <v/>
      </c>
      <c r="Q981">
        <f>IF($N981=0,"",IFERROR($L981-LOOKUP(2,1/(($B$2:$B980=$B981)*($N$2:$N980=1)),$M$2:$M980),""))</f>
        <v/>
      </c>
    </row>
    <row r="982">
      <c r="A982" t="n">
        <v>981</v>
      </c>
      <c r="B982">
        <f>Schedule!$A$143</f>
        <v/>
      </c>
      <c r="C982">
        <f>Schedule!$D$143</f>
        <v/>
      </c>
      <c r="D982">
        <f>Schedule!$F$143</f>
        <v/>
      </c>
      <c r="E982" t="n">
        <v>0</v>
      </c>
      <c r="F982">
        <f>Schedule!$G$1</f>
        <v/>
      </c>
      <c r="G982">
        <f>Schedule!$G$2</f>
        <v/>
      </c>
      <c r="H982">
        <f>Schedule!$G$143</f>
        <v/>
      </c>
      <c r="I982">
        <f>IF($N982=1,VALUE(LEFT($H982,2)),"")</f>
        <v/>
      </c>
      <c r="J982">
        <f>IF($N982=1,VALUE(MID($H982,9,2)),"")</f>
        <v/>
      </c>
      <c r="K982">
        <f>IF($N982=1,MOD($J982-$I982,24),0)</f>
        <v/>
      </c>
      <c r="L982">
        <f>IF($N982=1,$E982*24+$I982,"")</f>
        <v/>
      </c>
      <c r="M982">
        <f>IF($N982=1,$L982+$K982,"")</f>
        <v/>
      </c>
      <c r="N982">
        <f>IF(ISNUMBER(SEARCH(" - ",$H982&amp;"")),1,0)</f>
        <v/>
      </c>
      <c r="O982">
        <f>IF(UPPER($H982&amp;"")="LEAVE",1,0)</f>
        <v/>
      </c>
      <c r="P982">
        <f>IF($N982=1,$K982,0)</f>
        <v/>
      </c>
      <c r="Q982">
        <f>IF($N982=0,"",IFERROR($L982-'Previous Engine'!$M$142,""))</f>
        <v/>
      </c>
    </row>
    <row r="983">
      <c r="A983" t="n">
        <v>982</v>
      </c>
      <c r="B983">
        <f>Schedule!$A$143</f>
        <v/>
      </c>
      <c r="C983">
        <f>Schedule!$D$143</f>
        <v/>
      </c>
      <c r="D983">
        <f>Schedule!$F$143</f>
        <v/>
      </c>
      <c r="E983" t="n">
        <v>1</v>
      </c>
      <c r="F983">
        <f>Schedule!$H$1</f>
        <v/>
      </c>
      <c r="G983">
        <f>Schedule!$H$2</f>
        <v/>
      </c>
      <c r="H983">
        <f>Schedule!$H$143</f>
        <v/>
      </c>
      <c r="I983">
        <f>IF($N983=1,VALUE(LEFT($H983,2)),"")</f>
        <v/>
      </c>
      <c r="J983">
        <f>IF($N983=1,VALUE(MID($H983,9,2)),"")</f>
        <v/>
      </c>
      <c r="K983">
        <f>IF($N983=1,MOD($J983-$I983,24),0)</f>
        <v/>
      </c>
      <c r="L983">
        <f>IF($N983=1,$E983*24+$I983,"")</f>
        <v/>
      </c>
      <c r="M983">
        <f>IF($N983=1,$L983+$K983,"")</f>
        <v/>
      </c>
      <c r="N983">
        <f>IF(ISNUMBER(SEARCH(" - ",$H983&amp;"")),1,0)</f>
        <v/>
      </c>
      <c r="O983">
        <f>IF(UPPER($H983&amp;"")="LEAVE",1,0)</f>
        <v/>
      </c>
      <c r="P983">
        <f>IF($N983=1,$K983,0)</f>
        <v/>
      </c>
      <c r="Q983">
        <f>IF($N983=0,"",IFERROR($L983-LOOKUP(2,1/(($B$2:$B982=$B983)*($N$2:$N982=1)),$M$2:$M982),""))</f>
        <v/>
      </c>
    </row>
    <row r="984">
      <c r="A984" t="n">
        <v>983</v>
      </c>
      <c r="B984">
        <f>Schedule!$A$143</f>
        <v/>
      </c>
      <c r="C984">
        <f>Schedule!$D$143</f>
        <v/>
      </c>
      <c r="D984">
        <f>Schedule!$F$143</f>
        <v/>
      </c>
      <c r="E984" t="n">
        <v>2</v>
      </c>
      <c r="F984">
        <f>Schedule!$I$1</f>
        <v/>
      </c>
      <c r="G984">
        <f>Schedule!$I$2</f>
        <v/>
      </c>
      <c r="H984">
        <f>Schedule!$I$143</f>
        <v/>
      </c>
      <c r="I984">
        <f>IF($N984=1,VALUE(LEFT($H984,2)),"")</f>
        <v/>
      </c>
      <c r="J984">
        <f>IF($N984=1,VALUE(MID($H984,9,2)),"")</f>
        <v/>
      </c>
      <c r="K984">
        <f>IF($N984=1,MOD($J984-$I984,24),0)</f>
        <v/>
      </c>
      <c r="L984">
        <f>IF($N984=1,$E984*24+$I984,"")</f>
        <v/>
      </c>
      <c r="M984">
        <f>IF($N984=1,$L984+$K984,"")</f>
        <v/>
      </c>
      <c r="N984">
        <f>IF(ISNUMBER(SEARCH(" - ",$H984&amp;"")),1,0)</f>
        <v/>
      </c>
      <c r="O984">
        <f>IF(UPPER($H984&amp;"")="LEAVE",1,0)</f>
        <v/>
      </c>
      <c r="P984">
        <f>IF($N984=1,$K984,0)</f>
        <v/>
      </c>
      <c r="Q984">
        <f>IF($N984=0,"",IFERROR($L984-LOOKUP(2,1/(($B$2:$B983=$B984)*($N$2:$N983=1)),$M$2:$M983),""))</f>
        <v/>
      </c>
    </row>
    <row r="985">
      <c r="A985" t="n">
        <v>984</v>
      </c>
      <c r="B985">
        <f>Schedule!$A$143</f>
        <v/>
      </c>
      <c r="C985">
        <f>Schedule!$D$143</f>
        <v/>
      </c>
      <c r="D985">
        <f>Schedule!$F$143</f>
        <v/>
      </c>
      <c r="E985" t="n">
        <v>3</v>
      </c>
      <c r="F985">
        <f>Schedule!$J$1</f>
        <v/>
      </c>
      <c r="G985">
        <f>Schedule!$J$2</f>
        <v/>
      </c>
      <c r="H985">
        <f>Schedule!$J$143</f>
        <v/>
      </c>
      <c r="I985">
        <f>IF($N985=1,VALUE(LEFT($H985,2)),"")</f>
        <v/>
      </c>
      <c r="J985">
        <f>IF($N985=1,VALUE(MID($H985,9,2)),"")</f>
        <v/>
      </c>
      <c r="K985">
        <f>IF($N985=1,MOD($J985-$I985,24),0)</f>
        <v/>
      </c>
      <c r="L985">
        <f>IF($N985=1,$E985*24+$I985,"")</f>
        <v/>
      </c>
      <c r="M985">
        <f>IF($N985=1,$L985+$K985,"")</f>
        <v/>
      </c>
      <c r="N985">
        <f>IF(ISNUMBER(SEARCH(" - ",$H985&amp;"")),1,0)</f>
        <v/>
      </c>
      <c r="O985">
        <f>IF(UPPER($H985&amp;"")="LEAVE",1,0)</f>
        <v/>
      </c>
      <c r="P985">
        <f>IF($N985=1,$K985,0)</f>
        <v/>
      </c>
      <c r="Q985">
        <f>IF($N985=0,"",IFERROR($L985-LOOKUP(2,1/(($B$2:$B984=$B985)*($N$2:$N984=1)),$M$2:$M984),""))</f>
        <v/>
      </c>
    </row>
    <row r="986">
      <c r="A986" t="n">
        <v>985</v>
      </c>
      <c r="B986">
        <f>Schedule!$A$143</f>
        <v/>
      </c>
      <c r="C986">
        <f>Schedule!$D$143</f>
        <v/>
      </c>
      <c r="D986">
        <f>Schedule!$F$143</f>
        <v/>
      </c>
      <c r="E986" t="n">
        <v>4</v>
      </c>
      <c r="F986">
        <f>Schedule!$K$1</f>
        <v/>
      </c>
      <c r="G986">
        <f>Schedule!$K$2</f>
        <v/>
      </c>
      <c r="H986">
        <f>Schedule!$K$143</f>
        <v/>
      </c>
      <c r="I986">
        <f>IF($N986=1,VALUE(LEFT($H986,2)),"")</f>
        <v/>
      </c>
      <c r="J986">
        <f>IF($N986=1,VALUE(MID($H986,9,2)),"")</f>
        <v/>
      </c>
      <c r="K986">
        <f>IF($N986=1,MOD($J986-$I986,24),0)</f>
        <v/>
      </c>
      <c r="L986">
        <f>IF($N986=1,$E986*24+$I986,"")</f>
        <v/>
      </c>
      <c r="M986">
        <f>IF($N986=1,$L986+$K986,"")</f>
        <v/>
      </c>
      <c r="N986">
        <f>IF(ISNUMBER(SEARCH(" - ",$H986&amp;"")),1,0)</f>
        <v/>
      </c>
      <c r="O986">
        <f>IF(UPPER($H986&amp;"")="LEAVE",1,0)</f>
        <v/>
      </c>
      <c r="P986">
        <f>IF($N986=1,$K986,0)</f>
        <v/>
      </c>
      <c r="Q986">
        <f>IF($N986=0,"",IFERROR($L986-LOOKUP(2,1/(($B$2:$B985=$B986)*($N$2:$N985=1)),$M$2:$M985),""))</f>
        <v/>
      </c>
    </row>
    <row r="987">
      <c r="A987" t="n">
        <v>986</v>
      </c>
      <c r="B987">
        <f>Schedule!$A$143</f>
        <v/>
      </c>
      <c r="C987">
        <f>Schedule!$D$143</f>
        <v/>
      </c>
      <c r="D987">
        <f>Schedule!$F$143</f>
        <v/>
      </c>
      <c r="E987" t="n">
        <v>5</v>
      </c>
      <c r="F987">
        <f>Schedule!$L$1</f>
        <v/>
      </c>
      <c r="G987">
        <f>Schedule!$L$2</f>
        <v/>
      </c>
      <c r="H987">
        <f>Schedule!$L$143</f>
        <v/>
      </c>
      <c r="I987">
        <f>IF($N987=1,VALUE(LEFT($H987,2)),"")</f>
        <v/>
      </c>
      <c r="J987">
        <f>IF($N987=1,VALUE(MID($H987,9,2)),"")</f>
        <v/>
      </c>
      <c r="K987">
        <f>IF($N987=1,MOD($J987-$I987,24),0)</f>
        <v/>
      </c>
      <c r="L987">
        <f>IF($N987=1,$E987*24+$I987,"")</f>
        <v/>
      </c>
      <c r="M987">
        <f>IF($N987=1,$L987+$K987,"")</f>
        <v/>
      </c>
      <c r="N987">
        <f>IF(ISNUMBER(SEARCH(" - ",$H987&amp;"")),1,0)</f>
        <v/>
      </c>
      <c r="O987">
        <f>IF(UPPER($H987&amp;"")="LEAVE",1,0)</f>
        <v/>
      </c>
      <c r="P987">
        <f>IF($N987=1,$K987,0)</f>
        <v/>
      </c>
      <c r="Q987">
        <f>IF($N987=0,"",IFERROR($L987-LOOKUP(2,1/(($B$2:$B986=$B987)*($N$2:$N986=1)),$M$2:$M986),""))</f>
        <v/>
      </c>
    </row>
    <row r="988">
      <c r="A988" t="n">
        <v>987</v>
      </c>
      <c r="B988">
        <f>Schedule!$A$143</f>
        <v/>
      </c>
      <c r="C988">
        <f>Schedule!$D$143</f>
        <v/>
      </c>
      <c r="D988">
        <f>Schedule!$F$143</f>
        <v/>
      </c>
      <c r="E988" t="n">
        <v>6</v>
      </c>
      <c r="F988">
        <f>Schedule!$M$1</f>
        <v/>
      </c>
      <c r="G988">
        <f>Schedule!$M$2</f>
        <v/>
      </c>
      <c r="H988">
        <f>Schedule!$M$143</f>
        <v/>
      </c>
      <c r="I988">
        <f>IF($N988=1,VALUE(LEFT($H988,2)),"")</f>
        <v/>
      </c>
      <c r="J988">
        <f>IF($N988=1,VALUE(MID($H988,9,2)),"")</f>
        <v/>
      </c>
      <c r="K988">
        <f>IF($N988=1,MOD($J988-$I988,24),0)</f>
        <v/>
      </c>
      <c r="L988">
        <f>IF($N988=1,$E988*24+$I988,"")</f>
        <v/>
      </c>
      <c r="M988">
        <f>IF($N988=1,$L988+$K988,"")</f>
        <v/>
      </c>
      <c r="N988">
        <f>IF(ISNUMBER(SEARCH(" - ",$H988&amp;"")),1,0)</f>
        <v/>
      </c>
      <c r="O988">
        <f>IF(UPPER($H988&amp;"")="LEAVE",1,0)</f>
        <v/>
      </c>
      <c r="P988">
        <f>IF($N988=1,$K988,0)</f>
        <v/>
      </c>
      <c r="Q988">
        <f>IF($N988=0,"",IFERROR($L988-LOOKUP(2,1/(($B$2:$B987=$B988)*($N$2:$N987=1)),$M$2:$M987),""))</f>
        <v/>
      </c>
    </row>
    <row r="989">
      <c r="A989" t="n">
        <v>988</v>
      </c>
      <c r="B989">
        <f>Schedule!$A$144</f>
        <v/>
      </c>
      <c r="C989">
        <f>Schedule!$D$144</f>
        <v/>
      </c>
      <c r="D989">
        <f>Schedule!$F$144</f>
        <v/>
      </c>
      <c r="E989" t="n">
        <v>0</v>
      </c>
      <c r="F989">
        <f>Schedule!$G$1</f>
        <v/>
      </c>
      <c r="G989">
        <f>Schedule!$G$2</f>
        <v/>
      </c>
      <c r="H989">
        <f>Schedule!$G$144</f>
        <v/>
      </c>
      <c r="I989">
        <f>IF($N989=1,VALUE(LEFT($H989,2)),"")</f>
        <v/>
      </c>
      <c r="J989">
        <f>IF($N989=1,VALUE(MID($H989,9,2)),"")</f>
        <v/>
      </c>
      <c r="K989">
        <f>IF($N989=1,MOD($J989-$I989,24),0)</f>
        <v/>
      </c>
      <c r="L989">
        <f>IF($N989=1,$E989*24+$I989,"")</f>
        <v/>
      </c>
      <c r="M989">
        <f>IF($N989=1,$L989+$K989,"")</f>
        <v/>
      </c>
      <c r="N989">
        <f>IF(ISNUMBER(SEARCH(" - ",$H989&amp;"")),1,0)</f>
        <v/>
      </c>
      <c r="O989">
        <f>IF(UPPER($H989&amp;"")="LEAVE",1,0)</f>
        <v/>
      </c>
      <c r="P989">
        <f>IF($N989=1,$K989,0)</f>
        <v/>
      </c>
      <c r="Q989">
        <f>IF($N989=0,"",IFERROR($L989-'Previous Engine'!$M$143,""))</f>
        <v/>
      </c>
    </row>
    <row r="990">
      <c r="A990" t="n">
        <v>989</v>
      </c>
      <c r="B990">
        <f>Schedule!$A$144</f>
        <v/>
      </c>
      <c r="C990">
        <f>Schedule!$D$144</f>
        <v/>
      </c>
      <c r="D990">
        <f>Schedule!$F$144</f>
        <v/>
      </c>
      <c r="E990" t="n">
        <v>1</v>
      </c>
      <c r="F990">
        <f>Schedule!$H$1</f>
        <v/>
      </c>
      <c r="G990">
        <f>Schedule!$H$2</f>
        <v/>
      </c>
      <c r="H990">
        <f>Schedule!$H$144</f>
        <v/>
      </c>
      <c r="I990">
        <f>IF($N990=1,VALUE(LEFT($H990,2)),"")</f>
        <v/>
      </c>
      <c r="J990">
        <f>IF($N990=1,VALUE(MID($H990,9,2)),"")</f>
        <v/>
      </c>
      <c r="K990">
        <f>IF($N990=1,MOD($J990-$I990,24),0)</f>
        <v/>
      </c>
      <c r="L990">
        <f>IF($N990=1,$E990*24+$I990,"")</f>
        <v/>
      </c>
      <c r="M990">
        <f>IF($N990=1,$L990+$K990,"")</f>
        <v/>
      </c>
      <c r="N990">
        <f>IF(ISNUMBER(SEARCH(" - ",$H990&amp;"")),1,0)</f>
        <v/>
      </c>
      <c r="O990">
        <f>IF(UPPER($H990&amp;"")="LEAVE",1,0)</f>
        <v/>
      </c>
      <c r="P990">
        <f>IF($N990=1,$K990,0)</f>
        <v/>
      </c>
      <c r="Q990">
        <f>IF($N990=0,"",IFERROR($L990-LOOKUP(2,1/(($B$2:$B989=$B990)*($N$2:$N989=1)),$M$2:$M989),""))</f>
        <v/>
      </c>
    </row>
    <row r="991">
      <c r="A991" t="n">
        <v>990</v>
      </c>
      <c r="B991">
        <f>Schedule!$A$144</f>
        <v/>
      </c>
      <c r="C991">
        <f>Schedule!$D$144</f>
        <v/>
      </c>
      <c r="D991">
        <f>Schedule!$F$144</f>
        <v/>
      </c>
      <c r="E991" t="n">
        <v>2</v>
      </c>
      <c r="F991">
        <f>Schedule!$I$1</f>
        <v/>
      </c>
      <c r="G991">
        <f>Schedule!$I$2</f>
        <v/>
      </c>
      <c r="H991">
        <f>Schedule!$I$144</f>
        <v/>
      </c>
      <c r="I991">
        <f>IF($N991=1,VALUE(LEFT($H991,2)),"")</f>
        <v/>
      </c>
      <c r="J991">
        <f>IF($N991=1,VALUE(MID($H991,9,2)),"")</f>
        <v/>
      </c>
      <c r="K991">
        <f>IF($N991=1,MOD($J991-$I991,24),0)</f>
        <v/>
      </c>
      <c r="L991">
        <f>IF($N991=1,$E991*24+$I991,"")</f>
        <v/>
      </c>
      <c r="M991">
        <f>IF($N991=1,$L991+$K991,"")</f>
        <v/>
      </c>
      <c r="N991">
        <f>IF(ISNUMBER(SEARCH(" - ",$H991&amp;"")),1,0)</f>
        <v/>
      </c>
      <c r="O991">
        <f>IF(UPPER($H991&amp;"")="LEAVE",1,0)</f>
        <v/>
      </c>
      <c r="P991">
        <f>IF($N991=1,$K991,0)</f>
        <v/>
      </c>
      <c r="Q991">
        <f>IF($N991=0,"",IFERROR($L991-LOOKUP(2,1/(($B$2:$B990=$B991)*($N$2:$N990=1)),$M$2:$M990),""))</f>
        <v/>
      </c>
    </row>
    <row r="992">
      <c r="A992" t="n">
        <v>991</v>
      </c>
      <c r="B992">
        <f>Schedule!$A$144</f>
        <v/>
      </c>
      <c r="C992">
        <f>Schedule!$D$144</f>
        <v/>
      </c>
      <c r="D992">
        <f>Schedule!$F$144</f>
        <v/>
      </c>
      <c r="E992" t="n">
        <v>3</v>
      </c>
      <c r="F992">
        <f>Schedule!$J$1</f>
        <v/>
      </c>
      <c r="G992">
        <f>Schedule!$J$2</f>
        <v/>
      </c>
      <c r="H992">
        <f>Schedule!$J$144</f>
        <v/>
      </c>
      <c r="I992">
        <f>IF($N992=1,VALUE(LEFT($H992,2)),"")</f>
        <v/>
      </c>
      <c r="J992">
        <f>IF($N992=1,VALUE(MID($H992,9,2)),"")</f>
        <v/>
      </c>
      <c r="K992">
        <f>IF($N992=1,MOD($J992-$I992,24),0)</f>
        <v/>
      </c>
      <c r="L992">
        <f>IF($N992=1,$E992*24+$I992,"")</f>
        <v/>
      </c>
      <c r="M992">
        <f>IF($N992=1,$L992+$K992,"")</f>
        <v/>
      </c>
      <c r="N992">
        <f>IF(ISNUMBER(SEARCH(" - ",$H992&amp;"")),1,0)</f>
        <v/>
      </c>
      <c r="O992">
        <f>IF(UPPER($H992&amp;"")="LEAVE",1,0)</f>
        <v/>
      </c>
      <c r="P992">
        <f>IF($N992=1,$K992,0)</f>
        <v/>
      </c>
      <c r="Q992">
        <f>IF($N992=0,"",IFERROR($L992-LOOKUP(2,1/(($B$2:$B991=$B992)*($N$2:$N991=1)),$M$2:$M991),""))</f>
        <v/>
      </c>
    </row>
    <row r="993">
      <c r="A993" t="n">
        <v>992</v>
      </c>
      <c r="B993">
        <f>Schedule!$A$144</f>
        <v/>
      </c>
      <c r="C993">
        <f>Schedule!$D$144</f>
        <v/>
      </c>
      <c r="D993">
        <f>Schedule!$F$144</f>
        <v/>
      </c>
      <c r="E993" t="n">
        <v>4</v>
      </c>
      <c r="F993">
        <f>Schedule!$K$1</f>
        <v/>
      </c>
      <c r="G993">
        <f>Schedule!$K$2</f>
        <v/>
      </c>
      <c r="H993">
        <f>Schedule!$K$144</f>
        <v/>
      </c>
      <c r="I993">
        <f>IF($N993=1,VALUE(LEFT($H993,2)),"")</f>
        <v/>
      </c>
      <c r="J993">
        <f>IF($N993=1,VALUE(MID($H993,9,2)),"")</f>
        <v/>
      </c>
      <c r="K993">
        <f>IF($N993=1,MOD($J993-$I993,24),0)</f>
        <v/>
      </c>
      <c r="L993">
        <f>IF($N993=1,$E993*24+$I993,"")</f>
        <v/>
      </c>
      <c r="M993">
        <f>IF($N993=1,$L993+$K993,"")</f>
        <v/>
      </c>
      <c r="N993">
        <f>IF(ISNUMBER(SEARCH(" - ",$H993&amp;"")),1,0)</f>
        <v/>
      </c>
      <c r="O993">
        <f>IF(UPPER($H993&amp;"")="LEAVE",1,0)</f>
        <v/>
      </c>
      <c r="P993">
        <f>IF($N993=1,$K993,0)</f>
        <v/>
      </c>
      <c r="Q993">
        <f>IF($N993=0,"",IFERROR($L993-LOOKUP(2,1/(($B$2:$B992=$B993)*($N$2:$N992=1)),$M$2:$M992),""))</f>
        <v/>
      </c>
    </row>
    <row r="994">
      <c r="A994" t="n">
        <v>993</v>
      </c>
      <c r="B994">
        <f>Schedule!$A$144</f>
        <v/>
      </c>
      <c r="C994">
        <f>Schedule!$D$144</f>
        <v/>
      </c>
      <c r="D994">
        <f>Schedule!$F$144</f>
        <v/>
      </c>
      <c r="E994" t="n">
        <v>5</v>
      </c>
      <c r="F994">
        <f>Schedule!$L$1</f>
        <v/>
      </c>
      <c r="G994">
        <f>Schedule!$L$2</f>
        <v/>
      </c>
      <c r="H994">
        <f>Schedule!$L$144</f>
        <v/>
      </c>
      <c r="I994">
        <f>IF($N994=1,VALUE(LEFT($H994,2)),"")</f>
        <v/>
      </c>
      <c r="J994">
        <f>IF($N994=1,VALUE(MID($H994,9,2)),"")</f>
        <v/>
      </c>
      <c r="K994">
        <f>IF($N994=1,MOD($J994-$I994,24),0)</f>
        <v/>
      </c>
      <c r="L994">
        <f>IF($N994=1,$E994*24+$I994,"")</f>
        <v/>
      </c>
      <c r="M994">
        <f>IF($N994=1,$L994+$K994,"")</f>
        <v/>
      </c>
      <c r="N994">
        <f>IF(ISNUMBER(SEARCH(" - ",$H994&amp;"")),1,0)</f>
        <v/>
      </c>
      <c r="O994">
        <f>IF(UPPER($H994&amp;"")="LEAVE",1,0)</f>
        <v/>
      </c>
      <c r="P994">
        <f>IF($N994=1,$K994,0)</f>
        <v/>
      </c>
      <c r="Q994">
        <f>IF($N994=0,"",IFERROR($L994-LOOKUP(2,1/(($B$2:$B993=$B994)*($N$2:$N993=1)),$M$2:$M993),""))</f>
        <v/>
      </c>
    </row>
    <row r="995">
      <c r="A995" t="n">
        <v>994</v>
      </c>
      <c r="B995">
        <f>Schedule!$A$144</f>
        <v/>
      </c>
      <c r="C995">
        <f>Schedule!$D$144</f>
        <v/>
      </c>
      <c r="D995">
        <f>Schedule!$F$144</f>
        <v/>
      </c>
      <c r="E995" t="n">
        <v>6</v>
      </c>
      <c r="F995">
        <f>Schedule!$M$1</f>
        <v/>
      </c>
      <c r="G995">
        <f>Schedule!$M$2</f>
        <v/>
      </c>
      <c r="H995">
        <f>Schedule!$M$144</f>
        <v/>
      </c>
      <c r="I995">
        <f>IF($N995=1,VALUE(LEFT($H995,2)),"")</f>
        <v/>
      </c>
      <c r="J995">
        <f>IF($N995=1,VALUE(MID($H995,9,2)),"")</f>
        <v/>
      </c>
      <c r="K995">
        <f>IF($N995=1,MOD($J995-$I995,24),0)</f>
        <v/>
      </c>
      <c r="L995">
        <f>IF($N995=1,$E995*24+$I995,"")</f>
        <v/>
      </c>
      <c r="M995">
        <f>IF($N995=1,$L995+$K995,"")</f>
        <v/>
      </c>
      <c r="N995">
        <f>IF(ISNUMBER(SEARCH(" - ",$H995&amp;"")),1,0)</f>
        <v/>
      </c>
      <c r="O995">
        <f>IF(UPPER($H995&amp;"")="LEAVE",1,0)</f>
        <v/>
      </c>
      <c r="P995">
        <f>IF($N995=1,$K995,0)</f>
        <v/>
      </c>
      <c r="Q995">
        <f>IF($N995=0,"",IFERROR($L995-LOOKUP(2,1/(($B$2:$B994=$B995)*($N$2:$N994=1)),$M$2:$M994),""))</f>
        <v/>
      </c>
    </row>
    <row r="996">
      <c r="A996" t="n">
        <v>995</v>
      </c>
      <c r="B996">
        <f>Schedule!$A$145</f>
        <v/>
      </c>
      <c r="C996">
        <f>Schedule!$D$145</f>
        <v/>
      </c>
      <c r="D996">
        <f>Schedule!$F$145</f>
        <v/>
      </c>
      <c r="E996" t="n">
        <v>0</v>
      </c>
      <c r="F996">
        <f>Schedule!$G$1</f>
        <v/>
      </c>
      <c r="G996">
        <f>Schedule!$G$2</f>
        <v/>
      </c>
      <c r="H996">
        <f>Schedule!$G$145</f>
        <v/>
      </c>
      <c r="I996">
        <f>IF($N996=1,VALUE(LEFT($H996,2)),"")</f>
        <v/>
      </c>
      <c r="J996">
        <f>IF($N996=1,VALUE(MID($H996,9,2)),"")</f>
        <v/>
      </c>
      <c r="K996">
        <f>IF($N996=1,MOD($J996-$I996,24),0)</f>
        <v/>
      </c>
      <c r="L996">
        <f>IF($N996=1,$E996*24+$I996,"")</f>
        <v/>
      </c>
      <c r="M996">
        <f>IF($N996=1,$L996+$K996,"")</f>
        <v/>
      </c>
      <c r="N996">
        <f>IF(ISNUMBER(SEARCH(" - ",$H996&amp;"")),1,0)</f>
        <v/>
      </c>
      <c r="O996">
        <f>IF(UPPER($H996&amp;"")="LEAVE",1,0)</f>
        <v/>
      </c>
      <c r="P996">
        <f>IF($N996=1,$K996,0)</f>
        <v/>
      </c>
      <c r="Q996">
        <f>IF($N996=0,"",IFERROR($L996-'Previous Engine'!$M$144,""))</f>
        <v/>
      </c>
    </row>
    <row r="997">
      <c r="A997" t="n">
        <v>996</v>
      </c>
      <c r="B997">
        <f>Schedule!$A$145</f>
        <v/>
      </c>
      <c r="C997">
        <f>Schedule!$D$145</f>
        <v/>
      </c>
      <c r="D997">
        <f>Schedule!$F$145</f>
        <v/>
      </c>
      <c r="E997" t="n">
        <v>1</v>
      </c>
      <c r="F997">
        <f>Schedule!$H$1</f>
        <v/>
      </c>
      <c r="G997">
        <f>Schedule!$H$2</f>
        <v/>
      </c>
      <c r="H997">
        <f>Schedule!$H$145</f>
        <v/>
      </c>
      <c r="I997">
        <f>IF($N997=1,VALUE(LEFT($H997,2)),"")</f>
        <v/>
      </c>
      <c r="J997">
        <f>IF($N997=1,VALUE(MID($H997,9,2)),"")</f>
        <v/>
      </c>
      <c r="K997">
        <f>IF($N997=1,MOD($J997-$I997,24),0)</f>
        <v/>
      </c>
      <c r="L997">
        <f>IF($N997=1,$E997*24+$I997,"")</f>
        <v/>
      </c>
      <c r="M997">
        <f>IF($N997=1,$L997+$K997,"")</f>
        <v/>
      </c>
      <c r="N997">
        <f>IF(ISNUMBER(SEARCH(" - ",$H997&amp;"")),1,0)</f>
        <v/>
      </c>
      <c r="O997">
        <f>IF(UPPER($H997&amp;"")="LEAVE",1,0)</f>
        <v/>
      </c>
      <c r="P997">
        <f>IF($N997=1,$K997,0)</f>
        <v/>
      </c>
      <c r="Q997">
        <f>IF($N997=0,"",IFERROR($L997-LOOKUP(2,1/(($B$2:$B996=$B997)*($N$2:$N996=1)),$M$2:$M996),""))</f>
        <v/>
      </c>
    </row>
    <row r="998">
      <c r="A998" t="n">
        <v>997</v>
      </c>
      <c r="B998">
        <f>Schedule!$A$145</f>
        <v/>
      </c>
      <c r="C998">
        <f>Schedule!$D$145</f>
        <v/>
      </c>
      <c r="D998">
        <f>Schedule!$F$145</f>
        <v/>
      </c>
      <c r="E998" t="n">
        <v>2</v>
      </c>
      <c r="F998">
        <f>Schedule!$I$1</f>
        <v/>
      </c>
      <c r="G998">
        <f>Schedule!$I$2</f>
        <v/>
      </c>
      <c r="H998">
        <f>Schedule!$I$145</f>
        <v/>
      </c>
      <c r="I998">
        <f>IF($N998=1,VALUE(LEFT($H998,2)),"")</f>
        <v/>
      </c>
      <c r="J998">
        <f>IF($N998=1,VALUE(MID($H998,9,2)),"")</f>
        <v/>
      </c>
      <c r="K998">
        <f>IF($N998=1,MOD($J998-$I998,24),0)</f>
        <v/>
      </c>
      <c r="L998">
        <f>IF($N998=1,$E998*24+$I998,"")</f>
        <v/>
      </c>
      <c r="M998">
        <f>IF($N998=1,$L998+$K998,"")</f>
        <v/>
      </c>
      <c r="N998">
        <f>IF(ISNUMBER(SEARCH(" - ",$H998&amp;"")),1,0)</f>
        <v/>
      </c>
      <c r="O998">
        <f>IF(UPPER($H998&amp;"")="LEAVE",1,0)</f>
        <v/>
      </c>
      <c r="P998">
        <f>IF($N998=1,$K998,0)</f>
        <v/>
      </c>
      <c r="Q998">
        <f>IF($N998=0,"",IFERROR($L998-LOOKUP(2,1/(($B$2:$B997=$B998)*($N$2:$N997=1)),$M$2:$M997),""))</f>
        <v/>
      </c>
    </row>
    <row r="999">
      <c r="A999" t="n">
        <v>998</v>
      </c>
      <c r="B999">
        <f>Schedule!$A$145</f>
        <v/>
      </c>
      <c r="C999">
        <f>Schedule!$D$145</f>
        <v/>
      </c>
      <c r="D999">
        <f>Schedule!$F$145</f>
        <v/>
      </c>
      <c r="E999" t="n">
        <v>3</v>
      </c>
      <c r="F999">
        <f>Schedule!$J$1</f>
        <v/>
      </c>
      <c r="G999">
        <f>Schedule!$J$2</f>
        <v/>
      </c>
      <c r="H999">
        <f>Schedule!$J$145</f>
        <v/>
      </c>
      <c r="I999">
        <f>IF($N999=1,VALUE(LEFT($H999,2)),"")</f>
        <v/>
      </c>
      <c r="J999">
        <f>IF($N999=1,VALUE(MID($H999,9,2)),"")</f>
        <v/>
      </c>
      <c r="K999">
        <f>IF($N999=1,MOD($J999-$I999,24),0)</f>
        <v/>
      </c>
      <c r="L999">
        <f>IF($N999=1,$E999*24+$I999,"")</f>
        <v/>
      </c>
      <c r="M999">
        <f>IF($N999=1,$L999+$K999,"")</f>
        <v/>
      </c>
      <c r="N999">
        <f>IF(ISNUMBER(SEARCH(" - ",$H999&amp;"")),1,0)</f>
        <v/>
      </c>
      <c r="O999">
        <f>IF(UPPER($H999&amp;"")="LEAVE",1,0)</f>
        <v/>
      </c>
      <c r="P999">
        <f>IF($N999=1,$K999,0)</f>
        <v/>
      </c>
      <c r="Q999">
        <f>IF($N999=0,"",IFERROR($L999-LOOKUP(2,1/(($B$2:$B998=$B999)*($N$2:$N998=1)),$M$2:$M998),""))</f>
        <v/>
      </c>
    </row>
    <row r="1000">
      <c r="A1000" t="n">
        <v>999</v>
      </c>
      <c r="B1000">
        <f>Schedule!$A$145</f>
        <v/>
      </c>
      <c r="C1000">
        <f>Schedule!$D$145</f>
        <v/>
      </c>
      <c r="D1000">
        <f>Schedule!$F$145</f>
        <v/>
      </c>
      <c r="E1000" t="n">
        <v>4</v>
      </c>
      <c r="F1000">
        <f>Schedule!$K$1</f>
        <v/>
      </c>
      <c r="G1000">
        <f>Schedule!$K$2</f>
        <v/>
      </c>
      <c r="H1000">
        <f>Schedule!$K$145</f>
        <v/>
      </c>
      <c r="I1000">
        <f>IF($N1000=1,VALUE(LEFT($H1000,2)),"")</f>
        <v/>
      </c>
      <c r="J1000">
        <f>IF($N1000=1,VALUE(MID($H1000,9,2)),"")</f>
        <v/>
      </c>
      <c r="K1000">
        <f>IF($N1000=1,MOD($J1000-$I1000,24),0)</f>
        <v/>
      </c>
      <c r="L1000">
        <f>IF($N1000=1,$E1000*24+$I1000,"")</f>
        <v/>
      </c>
      <c r="M1000">
        <f>IF($N1000=1,$L1000+$K1000,"")</f>
        <v/>
      </c>
      <c r="N1000">
        <f>IF(ISNUMBER(SEARCH(" - ",$H1000&amp;"")),1,0)</f>
        <v/>
      </c>
      <c r="O1000">
        <f>IF(UPPER($H1000&amp;"")="LEAVE",1,0)</f>
        <v/>
      </c>
      <c r="P1000">
        <f>IF($N1000=1,$K1000,0)</f>
        <v/>
      </c>
      <c r="Q1000">
        <f>IF($N1000=0,"",IFERROR($L1000-LOOKUP(2,1/(($B$2:$B999=$B1000)*($N$2:$N999=1)),$M$2:$M999),""))</f>
        <v/>
      </c>
    </row>
    <row r="1001">
      <c r="A1001" t="n">
        <v>1000</v>
      </c>
      <c r="B1001">
        <f>Schedule!$A$145</f>
        <v/>
      </c>
      <c r="C1001">
        <f>Schedule!$D$145</f>
        <v/>
      </c>
      <c r="D1001">
        <f>Schedule!$F$145</f>
        <v/>
      </c>
      <c r="E1001" t="n">
        <v>5</v>
      </c>
      <c r="F1001">
        <f>Schedule!$L$1</f>
        <v/>
      </c>
      <c r="G1001">
        <f>Schedule!$L$2</f>
        <v/>
      </c>
      <c r="H1001">
        <f>Schedule!$L$145</f>
        <v/>
      </c>
      <c r="I1001">
        <f>IF($N1001=1,VALUE(LEFT($H1001,2)),"")</f>
        <v/>
      </c>
      <c r="J1001">
        <f>IF($N1001=1,VALUE(MID($H1001,9,2)),"")</f>
        <v/>
      </c>
      <c r="K1001">
        <f>IF($N1001=1,MOD($J1001-$I1001,24),0)</f>
        <v/>
      </c>
      <c r="L1001">
        <f>IF($N1001=1,$E1001*24+$I1001,"")</f>
        <v/>
      </c>
      <c r="M1001">
        <f>IF($N1001=1,$L1001+$K1001,"")</f>
        <v/>
      </c>
      <c r="N1001">
        <f>IF(ISNUMBER(SEARCH(" - ",$H1001&amp;"")),1,0)</f>
        <v/>
      </c>
      <c r="O1001">
        <f>IF(UPPER($H1001&amp;"")="LEAVE",1,0)</f>
        <v/>
      </c>
      <c r="P1001">
        <f>IF($N1001=1,$K1001,0)</f>
        <v/>
      </c>
      <c r="Q1001">
        <f>IF($N1001=0,"",IFERROR($L1001-LOOKUP(2,1/(($B$2:$B1000=$B1001)*($N$2:$N1000=1)),$M$2:$M1000),""))</f>
        <v/>
      </c>
    </row>
    <row r="1002">
      <c r="A1002" t="n">
        <v>1001</v>
      </c>
      <c r="B1002">
        <f>Schedule!$A$145</f>
        <v/>
      </c>
      <c r="C1002">
        <f>Schedule!$D$145</f>
        <v/>
      </c>
      <c r="D1002">
        <f>Schedule!$F$145</f>
        <v/>
      </c>
      <c r="E1002" t="n">
        <v>6</v>
      </c>
      <c r="F1002">
        <f>Schedule!$M$1</f>
        <v/>
      </c>
      <c r="G1002">
        <f>Schedule!$M$2</f>
        <v/>
      </c>
      <c r="H1002">
        <f>Schedule!$M$145</f>
        <v/>
      </c>
      <c r="I1002">
        <f>IF($N1002=1,VALUE(LEFT($H1002,2)),"")</f>
        <v/>
      </c>
      <c r="J1002">
        <f>IF($N1002=1,VALUE(MID($H1002,9,2)),"")</f>
        <v/>
      </c>
      <c r="K1002">
        <f>IF($N1002=1,MOD($J1002-$I1002,24),0)</f>
        <v/>
      </c>
      <c r="L1002">
        <f>IF($N1002=1,$E1002*24+$I1002,"")</f>
        <v/>
      </c>
      <c r="M1002">
        <f>IF($N1002=1,$L1002+$K1002,"")</f>
        <v/>
      </c>
      <c r="N1002">
        <f>IF(ISNUMBER(SEARCH(" - ",$H1002&amp;"")),1,0)</f>
        <v/>
      </c>
      <c r="O1002">
        <f>IF(UPPER($H1002&amp;"")="LEAVE",1,0)</f>
        <v/>
      </c>
      <c r="P1002">
        <f>IF($N1002=1,$K1002,0)</f>
        <v/>
      </c>
      <c r="Q1002">
        <f>IF($N1002=0,"",IFERROR($L1002-LOOKUP(2,1/(($B$2:$B1001=$B1002)*($N$2:$N1001=1)),$M$2:$M1001),""))</f>
        <v/>
      </c>
    </row>
    <row r="1003">
      <c r="A1003" t="n">
        <v>1002</v>
      </c>
      <c r="B1003">
        <f>Schedule!$A$146</f>
        <v/>
      </c>
      <c r="C1003">
        <f>Schedule!$D$146</f>
        <v/>
      </c>
      <c r="D1003">
        <f>Schedule!$F$146</f>
        <v/>
      </c>
      <c r="E1003" t="n">
        <v>0</v>
      </c>
      <c r="F1003">
        <f>Schedule!$G$1</f>
        <v/>
      </c>
      <c r="G1003">
        <f>Schedule!$G$2</f>
        <v/>
      </c>
      <c r="H1003">
        <f>Schedule!$G$146</f>
        <v/>
      </c>
      <c r="I1003">
        <f>IF($N1003=1,VALUE(LEFT($H1003,2)),"")</f>
        <v/>
      </c>
      <c r="J1003">
        <f>IF($N1003=1,VALUE(MID($H1003,9,2)),"")</f>
        <v/>
      </c>
      <c r="K1003">
        <f>IF($N1003=1,MOD($J1003-$I1003,24),0)</f>
        <v/>
      </c>
      <c r="L1003">
        <f>IF($N1003=1,$E1003*24+$I1003,"")</f>
        <v/>
      </c>
      <c r="M1003">
        <f>IF($N1003=1,$L1003+$K1003,"")</f>
        <v/>
      </c>
      <c r="N1003">
        <f>IF(ISNUMBER(SEARCH(" - ",$H1003&amp;"")),1,0)</f>
        <v/>
      </c>
      <c r="O1003">
        <f>IF(UPPER($H1003&amp;"")="LEAVE",1,0)</f>
        <v/>
      </c>
      <c r="P1003">
        <f>IF($N1003=1,$K1003,0)</f>
        <v/>
      </c>
      <c r="Q1003">
        <f>IF($N1003=0,"",IFERROR($L1003-'Previous Engine'!$M$145,""))</f>
        <v/>
      </c>
    </row>
    <row r="1004">
      <c r="A1004" t="n">
        <v>1003</v>
      </c>
      <c r="B1004">
        <f>Schedule!$A$146</f>
        <v/>
      </c>
      <c r="C1004">
        <f>Schedule!$D$146</f>
        <v/>
      </c>
      <c r="D1004">
        <f>Schedule!$F$146</f>
        <v/>
      </c>
      <c r="E1004" t="n">
        <v>1</v>
      </c>
      <c r="F1004">
        <f>Schedule!$H$1</f>
        <v/>
      </c>
      <c r="G1004">
        <f>Schedule!$H$2</f>
        <v/>
      </c>
      <c r="H1004">
        <f>Schedule!$H$146</f>
        <v/>
      </c>
      <c r="I1004">
        <f>IF($N1004=1,VALUE(LEFT($H1004,2)),"")</f>
        <v/>
      </c>
      <c r="J1004">
        <f>IF($N1004=1,VALUE(MID($H1004,9,2)),"")</f>
        <v/>
      </c>
      <c r="K1004">
        <f>IF($N1004=1,MOD($J1004-$I1004,24),0)</f>
        <v/>
      </c>
      <c r="L1004">
        <f>IF($N1004=1,$E1004*24+$I1004,"")</f>
        <v/>
      </c>
      <c r="M1004">
        <f>IF($N1004=1,$L1004+$K1004,"")</f>
        <v/>
      </c>
      <c r="N1004">
        <f>IF(ISNUMBER(SEARCH(" - ",$H1004&amp;"")),1,0)</f>
        <v/>
      </c>
      <c r="O1004">
        <f>IF(UPPER($H1004&amp;"")="LEAVE",1,0)</f>
        <v/>
      </c>
      <c r="P1004">
        <f>IF($N1004=1,$K1004,0)</f>
        <v/>
      </c>
      <c r="Q1004">
        <f>IF($N1004=0,"",IFERROR($L1004-LOOKUP(2,1/(($B$2:$B1003=$B1004)*($N$2:$N1003=1)),$M$2:$M1003),""))</f>
        <v/>
      </c>
    </row>
    <row r="1005">
      <c r="A1005" t="n">
        <v>1004</v>
      </c>
      <c r="B1005">
        <f>Schedule!$A$146</f>
        <v/>
      </c>
      <c r="C1005">
        <f>Schedule!$D$146</f>
        <v/>
      </c>
      <c r="D1005">
        <f>Schedule!$F$146</f>
        <v/>
      </c>
      <c r="E1005" t="n">
        <v>2</v>
      </c>
      <c r="F1005">
        <f>Schedule!$I$1</f>
        <v/>
      </c>
      <c r="G1005">
        <f>Schedule!$I$2</f>
        <v/>
      </c>
      <c r="H1005">
        <f>Schedule!$I$146</f>
        <v/>
      </c>
      <c r="I1005">
        <f>IF($N1005=1,VALUE(LEFT($H1005,2)),"")</f>
        <v/>
      </c>
      <c r="J1005">
        <f>IF($N1005=1,VALUE(MID($H1005,9,2)),"")</f>
        <v/>
      </c>
      <c r="K1005">
        <f>IF($N1005=1,MOD($J1005-$I1005,24),0)</f>
        <v/>
      </c>
      <c r="L1005">
        <f>IF($N1005=1,$E1005*24+$I1005,"")</f>
        <v/>
      </c>
      <c r="M1005">
        <f>IF($N1005=1,$L1005+$K1005,"")</f>
        <v/>
      </c>
      <c r="N1005">
        <f>IF(ISNUMBER(SEARCH(" - ",$H1005&amp;"")),1,0)</f>
        <v/>
      </c>
      <c r="O1005">
        <f>IF(UPPER($H1005&amp;"")="LEAVE",1,0)</f>
        <v/>
      </c>
      <c r="P1005">
        <f>IF($N1005=1,$K1005,0)</f>
        <v/>
      </c>
      <c r="Q1005">
        <f>IF($N1005=0,"",IFERROR($L1005-LOOKUP(2,1/(($B$2:$B1004=$B1005)*($N$2:$N1004=1)),$M$2:$M1004),""))</f>
        <v/>
      </c>
    </row>
    <row r="1006">
      <c r="A1006" t="n">
        <v>1005</v>
      </c>
      <c r="B1006">
        <f>Schedule!$A$146</f>
        <v/>
      </c>
      <c r="C1006">
        <f>Schedule!$D$146</f>
        <v/>
      </c>
      <c r="D1006">
        <f>Schedule!$F$146</f>
        <v/>
      </c>
      <c r="E1006" t="n">
        <v>3</v>
      </c>
      <c r="F1006">
        <f>Schedule!$J$1</f>
        <v/>
      </c>
      <c r="G1006">
        <f>Schedule!$J$2</f>
        <v/>
      </c>
      <c r="H1006">
        <f>Schedule!$J$146</f>
        <v/>
      </c>
      <c r="I1006">
        <f>IF($N1006=1,VALUE(LEFT($H1006,2)),"")</f>
        <v/>
      </c>
      <c r="J1006">
        <f>IF($N1006=1,VALUE(MID($H1006,9,2)),"")</f>
        <v/>
      </c>
      <c r="K1006">
        <f>IF($N1006=1,MOD($J1006-$I1006,24),0)</f>
        <v/>
      </c>
      <c r="L1006">
        <f>IF($N1006=1,$E1006*24+$I1006,"")</f>
        <v/>
      </c>
      <c r="M1006">
        <f>IF($N1006=1,$L1006+$K1006,"")</f>
        <v/>
      </c>
      <c r="N1006">
        <f>IF(ISNUMBER(SEARCH(" - ",$H1006&amp;"")),1,0)</f>
        <v/>
      </c>
      <c r="O1006">
        <f>IF(UPPER($H1006&amp;"")="LEAVE",1,0)</f>
        <v/>
      </c>
      <c r="P1006">
        <f>IF($N1006=1,$K1006,0)</f>
        <v/>
      </c>
      <c r="Q1006">
        <f>IF($N1006=0,"",IFERROR($L1006-LOOKUP(2,1/(($B$2:$B1005=$B1006)*($N$2:$N1005=1)),$M$2:$M1005),""))</f>
        <v/>
      </c>
    </row>
    <row r="1007">
      <c r="A1007" t="n">
        <v>1006</v>
      </c>
      <c r="B1007">
        <f>Schedule!$A$146</f>
        <v/>
      </c>
      <c r="C1007">
        <f>Schedule!$D$146</f>
        <v/>
      </c>
      <c r="D1007">
        <f>Schedule!$F$146</f>
        <v/>
      </c>
      <c r="E1007" t="n">
        <v>4</v>
      </c>
      <c r="F1007">
        <f>Schedule!$K$1</f>
        <v/>
      </c>
      <c r="G1007">
        <f>Schedule!$K$2</f>
        <v/>
      </c>
      <c r="H1007">
        <f>Schedule!$K$146</f>
        <v/>
      </c>
      <c r="I1007">
        <f>IF($N1007=1,VALUE(LEFT($H1007,2)),"")</f>
        <v/>
      </c>
      <c r="J1007">
        <f>IF($N1007=1,VALUE(MID($H1007,9,2)),"")</f>
        <v/>
      </c>
      <c r="K1007">
        <f>IF($N1007=1,MOD($J1007-$I1007,24),0)</f>
        <v/>
      </c>
      <c r="L1007">
        <f>IF($N1007=1,$E1007*24+$I1007,"")</f>
        <v/>
      </c>
      <c r="M1007">
        <f>IF($N1007=1,$L1007+$K1007,"")</f>
        <v/>
      </c>
      <c r="N1007">
        <f>IF(ISNUMBER(SEARCH(" - ",$H1007&amp;"")),1,0)</f>
        <v/>
      </c>
      <c r="O1007">
        <f>IF(UPPER($H1007&amp;"")="LEAVE",1,0)</f>
        <v/>
      </c>
      <c r="P1007">
        <f>IF($N1007=1,$K1007,0)</f>
        <v/>
      </c>
      <c r="Q1007">
        <f>IF($N1007=0,"",IFERROR($L1007-LOOKUP(2,1/(($B$2:$B1006=$B1007)*($N$2:$N1006=1)),$M$2:$M1006),""))</f>
        <v/>
      </c>
    </row>
    <row r="1008">
      <c r="A1008" t="n">
        <v>1007</v>
      </c>
      <c r="B1008">
        <f>Schedule!$A$146</f>
        <v/>
      </c>
      <c r="C1008">
        <f>Schedule!$D$146</f>
        <v/>
      </c>
      <c r="D1008">
        <f>Schedule!$F$146</f>
        <v/>
      </c>
      <c r="E1008" t="n">
        <v>5</v>
      </c>
      <c r="F1008">
        <f>Schedule!$L$1</f>
        <v/>
      </c>
      <c r="G1008">
        <f>Schedule!$L$2</f>
        <v/>
      </c>
      <c r="H1008">
        <f>Schedule!$L$146</f>
        <v/>
      </c>
      <c r="I1008">
        <f>IF($N1008=1,VALUE(LEFT($H1008,2)),"")</f>
        <v/>
      </c>
      <c r="J1008">
        <f>IF($N1008=1,VALUE(MID($H1008,9,2)),"")</f>
        <v/>
      </c>
      <c r="K1008">
        <f>IF($N1008=1,MOD($J1008-$I1008,24),0)</f>
        <v/>
      </c>
      <c r="L1008">
        <f>IF($N1008=1,$E1008*24+$I1008,"")</f>
        <v/>
      </c>
      <c r="M1008">
        <f>IF($N1008=1,$L1008+$K1008,"")</f>
        <v/>
      </c>
      <c r="N1008">
        <f>IF(ISNUMBER(SEARCH(" - ",$H1008&amp;"")),1,0)</f>
        <v/>
      </c>
      <c r="O1008">
        <f>IF(UPPER($H1008&amp;"")="LEAVE",1,0)</f>
        <v/>
      </c>
      <c r="P1008">
        <f>IF($N1008=1,$K1008,0)</f>
        <v/>
      </c>
      <c r="Q1008">
        <f>IF($N1008=0,"",IFERROR($L1008-LOOKUP(2,1/(($B$2:$B1007=$B1008)*($N$2:$N1007=1)),$M$2:$M1007),""))</f>
        <v/>
      </c>
    </row>
    <row r="1009">
      <c r="A1009" t="n">
        <v>1008</v>
      </c>
      <c r="B1009">
        <f>Schedule!$A$146</f>
        <v/>
      </c>
      <c r="C1009">
        <f>Schedule!$D$146</f>
        <v/>
      </c>
      <c r="D1009">
        <f>Schedule!$F$146</f>
        <v/>
      </c>
      <c r="E1009" t="n">
        <v>6</v>
      </c>
      <c r="F1009">
        <f>Schedule!$M$1</f>
        <v/>
      </c>
      <c r="G1009">
        <f>Schedule!$M$2</f>
        <v/>
      </c>
      <c r="H1009">
        <f>Schedule!$M$146</f>
        <v/>
      </c>
      <c r="I1009">
        <f>IF($N1009=1,VALUE(LEFT($H1009,2)),"")</f>
        <v/>
      </c>
      <c r="J1009">
        <f>IF($N1009=1,VALUE(MID($H1009,9,2)),"")</f>
        <v/>
      </c>
      <c r="K1009">
        <f>IF($N1009=1,MOD($J1009-$I1009,24),0)</f>
        <v/>
      </c>
      <c r="L1009">
        <f>IF($N1009=1,$E1009*24+$I1009,"")</f>
        <v/>
      </c>
      <c r="M1009">
        <f>IF($N1009=1,$L1009+$K1009,"")</f>
        <v/>
      </c>
      <c r="N1009">
        <f>IF(ISNUMBER(SEARCH(" - ",$H1009&amp;"")),1,0)</f>
        <v/>
      </c>
      <c r="O1009">
        <f>IF(UPPER($H1009&amp;"")="LEAVE",1,0)</f>
        <v/>
      </c>
      <c r="P1009">
        <f>IF($N1009=1,$K1009,0)</f>
        <v/>
      </c>
      <c r="Q1009">
        <f>IF($N1009=0,"",IFERROR($L1009-LOOKUP(2,1/(($B$2:$B1008=$B1009)*($N$2:$N1008=1)),$M$2:$M1008),""))</f>
        <v/>
      </c>
    </row>
    <row r="1010">
      <c r="A1010" t="n">
        <v>1009</v>
      </c>
      <c r="B1010">
        <f>Schedule!$A$147</f>
        <v/>
      </c>
      <c r="C1010">
        <f>Schedule!$D$147</f>
        <v/>
      </c>
      <c r="D1010">
        <f>Schedule!$F$147</f>
        <v/>
      </c>
      <c r="E1010" t="n">
        <v>0</v>
      </c>
      <c r="F1010">
        <f>Schedule!$G$1</f>
        <v/>
      </c>
      <c r="G1010">
        <f>Schedule!$G$2</f>
        <v/>
      </c>
      <c r="H1010">
        <f>Schedule!$G$147</f>
        <v/>
      </c>
      <c r="I1010">
        <f>IF($N1010=1,VALUE(LEFT($H1010,2)),"")</f>
        <v/>
      </c>
      <c r="J1010">
        <f>IF($N1010=1,VALUE(MID($H1010,9,2)),"")</f>
        <v/>
      </c>
      <c r="K1010">
        <f>IF($N1010=1,MOD($J1010-$I1010,24),0)</f>
        <v/>
      </c>
      <c r="L1010">
        <f>IF($N1010=1,$E1010*24+$I1010,"")</f>
        <v/>
      </c>
      <c r="M1010">
        <f>IF($N1010=1,$L1010+$K1010,"")</f>
        <v/>
      </c>
      <c r="N1010">
        <f>IF(ISNUMBER(SEARCH(" - ",$H1010&amp;"")),1,0)</f>
        <v/>
      </c>
      <c r="O1010">
        <f>IF(UPPER($H1010&amp;"")="LEAVE",1,0)</f>
        <v/>
      </c>
      <c r="P1010">
        <f>IF($N1010=1,$K1010,0)</f>
        <v/>
      </c>
      <c r="Q1010">
        <f>IF($N1010=0,"",IFERROR($L1010-'Previous Engine'!$M$146,""))</f>
        <v/>
      </c>
    </row>
    <row r="1011">
      <c r="A1011" t="n">
        <v>1010</v>
      </c>
      <c r="B1011">
        <f>Schedule!$A$147</f>
        <v/>
      </c>
      <c r="C1011">
        <f>Schedule!$D$147</f>
        <v/>
      </c>
      <c r="D1011">
        <f>Schedule!$F$147</f>
        <v/>
      </c>
      <c r="E1011" t="n">
        <v>1</v>
      </c>
      <c r="F1011">
        <f>Schedule!$H$1</f>
        <v/>
      </c>
      <c r="G1011">
        <f>Schedule!$H$2</f>
        <v/>
      </c>
      <c r="H1011">
        <f>Schedule!$H$147</f>
        <v/>
      </c>
      <c r="I1011">
        <f>IF($N1011=1,VALUE(LEFT($H1011,2)),"")</f>
        <v/>
      </c>
      <c r="J1011">
        <f>IF($N1011=1,VALUE(MID($H1011,9,2)),"")</f>
        <v/>
      </c>
      <c r="K1011">
        <f>IF($N1011=1,MOD($J1011-$I1011,24),0)</f>
        <v/>
      </c>
      <c r="L1011">
        <f>IF($N1011=1,$E1011*24+$I1011,"")</f>
        <v/>
      </c>
      <c r="M1011">
        <f>IF($N1011=1,$L1011+$K1011,"")</f>
        <v/>
      </c>
      <c r="N1011">
        <f>IF(ISNUMBER(SEARCH(" - ",$H1011&amp;"")),1,0)</f>
        <v/>
      </c>
      <c r="O1011">
        <f>IF(UPPER($H1011&amp;"")="LEAVE",1,0)</f>
        <v/>
      </c>
      <c r="P1011">
        <f>IF($N1011=1,$K1011,0)</f>
        <v/>
      </c>
      <c r="Q1011">
        <f>IF($N1011=0,"",IFERROR($L1011-LOOKUP(2,1/(($B$2:$B1010=$B1011)*($N$2:$N1010=1)),$M$2:$M1010),""))</f>
        <v/>
      </c>
    </row>
    <row r="1012">
      <c r="A1012" t="n">
        <v>1011</v>
      </c>
      <c r="B1012">
        <f>Schedule!$A$147</f>
        <v/>
      </c>
      <c r="C1012">
        <f>Schedule!$D$147</f>
        <v/>
      </c>
      <c r="D1012">
        <f>Schedule!$F$147</f>
        <v/>
      </c>
      <c r="E1012" t="n">
        <v>2</v>
      </c>
      <c r="F1012">
        <f>Schedule!$I$1</f>
        <v/>
      </c>
      <c r="G1012">
        <f>Schedule!$I$2</f>
        <v/>
      </c>
      <c r="H1012">
        <f>Schedule!$I$147</f>
        <v/>
      </c>
      <c r="I1012">
        <f>IF($N1012=1,VALUE(LEFT($H1012,2)),"")</f>
        <v/>
      </c>
      <c r="J1012">
        <f>IF($N1012=1,VALUE(MID($H1012,9,2)),"")</f>
        <v/>
      </c>
      <c r="K1012">
        <f>IF($N1012=1,MOD($J1012-$I1012,24),0)</f>
        <v/>
      </c>
      <c r="L1012">
        <f>IF($N1012=1,$E1012*24+$I1012,"")</f>
        <v/>
      </c>
      <c r="M1012">
        <f>IF($N1012=1,$L1012+$K1012,"")</f>
        <v/>
      </c>
      <c r="N1012">
        <f>IF(ISNUMBER(SEARCH(" - ",$H1012&amp;"")),1,0)</f>
        <v/>
      </c>
      <c r="O1012">
        <f>IF(UPPER($H1012&amp;"")="LEAVE",1,0)</f>
        <v/>
      </c>
      <c r="P1012">
        <f>IF($N1012=1,$K1012,0)</f>
        <v/>
      </c>
      <c r="Q1012">
        <f>IF($N1012=0,"",IFERROR($L1012-LOOKUP(2,1/(($B$2:$B1011=$B1012)*($N$2:$N1011=1)),$M$2:$M1011),""))</f>
        <v/>
      </c>
    </row>
    <row r="1013">
      <c r="A1013" t="n">
        <v>1012</v>
      </c>
      <c r="B1013">
        <f>Schedule!$A$147</f>
        <v/>
      </c>
      <c r="C1013">
        <f>Schedule!$D$147</f>
        <v/>
      </c>
      <c r="D1013">
        <f>Schedule!$F$147</f>
        <v/>
      </c>
      <c r="E1013" t="n">
        <v>3</v>
      </c>
      <c r="F1013">
        <f>Schedule!$J$1</f>
        <v/>
      </c>
      <c r="G1013">
        <f>Schedule!$J$2</f>
        <v/>
      </c>
      <c r="H1013">
        <f>Schedule!$J$147</f>
        <v/>
      </c>
      <c r="I1013">
        <f>IF($N1013=1,VALUE(LEFT($H1013,2)),"")</f>
        <v/>
      </c>
      <c r="J1013">
        <f>IF($N1013=1,VALUE(MID($H1013,9,2)),"")</f>
        <v/>
      </c>
      <c r="K1013">
        <f>IF($N1013=1,MOD($J1013-$I1013,24),0)</f>
        <v/>
      </c>
      <c r="L1013">
        <f>IF($N1013=1,$E1013*24+$I1013,"")</f>
        <v/>
      </c>
      <c r="M1013">
        <f>IF($N1013=1,$L1013+$K1013,"")</f>
        <v/>
      </c>
      <c r="N1013">
        <f>IF(ISNUMBER(SEARCH(" - ",$H1013&amp;"")),1,0)</f>
        <v/>
      </c>
      <c r="O1013">
        <f>IF(UPPER($H1013&amp;"")="LEAVE",1,0)</f>
        <v/>
      </c>
      <c r="P1013">
        <f>IF($N1013=1,$K1013,0)</f>
        <v/>
      </c>
      <c r="Q1013">
        <f>IF($N1013=0,"",IFERROR($L1013-LOOKUP(2,1/(($B$2:$B1012=$B1013)*($N$2:$N1012=1)),$M$2:$M1012),""))</f>
        <v/>
      </c>
    </row>
    <row r="1014">
      <c r="A1014" t="n">
        <v>1013</v>
      </c>
      <c r="B1014">
        <f>Schedule!$A$147</f>
        <v/>
      </c>
      <c r="C1014">
        <f>Schedule!$D$147</f>
        <v/>
      </c>
      <c r="D1014">
        <f>Schedule!$F$147</f>
        <v/>
      </c>
      <c r="E1014" t="n">
        <v>4</v>
      </c>
      <c r="F1014">
        <f>Schedule!$K$1</f>
        <v/>
      </c>
      <c r="G1014">
        <f>Schedule!$K$2</f>
        <v/>
      </c>
      <c r="H1014">
        <f>Schedule!$K$147</f>
        <v/>
      </c>
      <c r="I1014">
        <f>IF($N1014=1,VALUE(LEFT($H1014,2)),"")</f>
        <v/>
      </c>
      <c r="J1014">
        <f>IF($N1014=1,VALUE(MID($H1014,9,2)),"")</f>
        <v/>
      </c>
      <c r="K1014">
        <f>IF($N1014=1,MOD($J1014-$I1014,24),0)</f>
        <v/>
      </c>
      <c r="L1014">
        <f>IF($N1014=1,$E1014*24+$I1014,"")</f>
        <v/>
      </c>
      <c r="M1014">
        <f>IF($N1014=1,$L1014+$K1014,"")</f>
        <v/>
      </c>
      <c r="N1014">
        <f>IF(ISNUMBER(SEARCH(" - ",$H1014&amp;"")),1,0)</f>
        <v/>
      </c>
      <c r="O1014">
        <f>IF(UPPER($H1014&amp;"")="LEAVE",1,0)</f>
        <v/>
      </c>
      <c r="P1014">
        <f>IF($N1014=1,$K1014,0)</f>
        <v/>
      </c>
      <c r="Q1014">
        <f>IF($N1014=0,"",IFERROR($L1014-LOOKUP(2,1/(($B$2:$B1013=$B1014)*($N$2:$N1013=1)),$M$2:$M1013),""))</f>
        <v/>
      </c>
    </row>
    <row r="1015">
      <c r="A1015" t="n">
        <v>1014</v>
      </c>
      <c r="B1015">
        <f>Schedule!$A$147</f>
        <v/>
      </c>
      <c r="C1015">
        <f>Schedule!$D$147</f>
        <v/>
      </c>
      <c r="D1015">
        <f>Schedule!$F$147</f>
        <v/>
      </c>
      <c r="E1015" t="n">
        <v>5</v>
      </c>
      <c r="F1015">
        <f>Schedule!$L$1</f>
        <v/>
      </c>
      <c r="G1015">
        <f>Schedule!$L$2</f>
        <v/>
      </c>
      <c r="H1015">
        <f>Schedule!$L$147</f>
        <v/>
      </c>
      <c r="I1015">
        <f>IF($N1015=1,VALUE(LEFT($H1015,2)),"")</f>
        <v/>
      </c>
      <c r="J1015">
        <f>IF($N1015=1,VALUE(MID($H1015,9,2)),"")</f>
        <v/>
      </c>
      <c r="K1015">
        <f>IF($N1015=1,MOD($J1015-$I1015,24),0)</f>
        <v/>
      </c>
      <c r="L1015">
        <f>IF($N1015=1,$E1015*24+$I1015,"")</f>
        <v/>
      </c>
      <c r="M1015">
        <f>IF($N1015=1,$L1015+$K1015,"")</f>
        <v/>
      </c>
      <c r="N1015">
        <f>IF(ISNUMBER(SEARCH(" - ",$H1015&amp;"")),1,0)</f>
        <v/>
      </c>
      <c r="O1015">
        <f>IF(UPPER($H1015&amp;"")="LEAVE",1,0)</f>
        <v/>
      </c>
      <c r="P1015">
        <f>IF($N1015=1,$K1015,0)</f>
        <v/>
      </c>
      <c r="Q1015">
        <f>IF($N1015=0,"",IFERROR($L1015-LOOKUP(2,1/(($B$2:$B1014=$B1015)*($N$2:$N1014=1)),$M$2:$M1014),""))</f>
        <v/>
      </c>
    </row>
    <row r="1016">
      <c r="A1016" t="n">
        <v>1015</v>
      </c>
      <c r="B1016">
        <f>Schedule!$A$147</f>
        <v/>
      </c>
      <c r="C1016">
        <f>Schedule!$D$147</f>
        <v/>
      </c>
      <c r="D1016">
        <f>Schedule!$F$147</f>
        <v/>
      </c>
      <c r="E1016" t="n">
        <v>6</v>
      </c>
      <c r="F1016">
        <f>Schedule!$M$1</f>
        <v/>
      </c>
      <c r="G1016">
        <f>Schedule!$M$2</f>
        <v/>
      </c>
      <c r="H1016">
        <f>Schedule!$M$147</f>
        <v/>
      </c>
      <c r="I1016">
        <f>IF($N1016=1,VALUE(LEFT($H1016,2)),"")</f>
        <v/>
      </c>
      <c r="J1016">
        <f>IF($N1016=1,VALUE(MID($H1016,9,2)),"")</f>
        <v/>
      </c>
      <c r="K1016">
        <f>IF($N1016=1,MOD($J1016-$I1016,24),0)</f>
        <v/>
      </c>
      <c r="L1016">
        <f>IF($N1016=1,$E1016*24+$I1016,"")</f>
        <v/>
      </c>
      <c r="M1016">
        <f>IF($N1016=1,$L1016+$K1016,"")</f>
        <v/>
      </c>
      <c r="N1016">
        <f>IF(ISNUMBER(SEARCH(" - ",$H1016&amp;"")),1,0)</f>
        <v/>
      </c>
      <c r="O1016">
        <f>IF(UPPER($H1016&amp;"")="LEAVE",1,0)</f>
        <v/>
      </c>
      <c r="P1016">
        <f>IF($N1016=1,$K1016,0)</f>
        <v/>
      </c>
      <c r="Q1016">
        <f>IF($N1016=0,"",IFERROR($L1016-LOOKUP(2,1/(($B$2:$B1015=$B1016)*($N$2:$N1015=1)),$M$2:$M1015),""))</f>
        <v/>
      </c>
    </row>
    <row r="1017">
      <c r="A1017" t="n">
        <v>1016</v>
      </c>
      <c r="B1017">
        <f>Schedule!$A$148</f>
        <v/>
      </c>
      <c r="C1017">
        <f>Schedule!$D$148</f>
        <v/>
      </c>
      <c r="D1017">
        <f>Schedule!$F$148</f>
        <v/>
      </c>
      <c r="E1017" t="n">
        <v>0</v>
      </c>
      <c r="F1017">
        <f>Schedule!$G$1</f>
        <v/>
      </c>
      <c r="G1017">
        <f>Schedule!$G$2</f>
        <v/>
      </c>
      <c r="H1017">
        <f>Schedule!$G$148</f>
        <v/>
      </c>
      <c r="I1017">
        <f>IF($N1017=1,VALUE(LEFT($H1017,2)),"")</f>
        <v/>
      </c>
      <c r="J1017">
        <f>IF($N1017=1,VALUE(MID($H1017,9,2)),"")</f>
        <v/>
      </c>
      <c r="K1017">
        <f>IF($N1017=1,MOD($J1017-$I1017,24),0)</f>
        <v/>
      </c>
      <c r="L1017">
        <f>IF($N1017=1,$E1017*24+$I1017,"")</f>
        <v/>
      </c>
      <c r="M1017">
        <f>IF($N1017=1,$L1017+$K1017,"")</f>
        <v/>
      </c>
      <c r="N1017">
        <f>IF(ISNUMBER(SEARCH(" - ",$H1017&amp;"")),1,0)</f>
        <v/>
      </c>
      <c r="O1017">
        <f>IF(UPPER($H1017&amp;"")="LEAVE",1,0)</f>
        <v/>
      </c>
      <c r="P1017">
        <f>IF($N1017=1,$K1017,0)</f>
        <v/>
      </c>
      <c r="Q1017">
        <f>IF($N1017=0,"",IFERROR($L1017-'Previous Engine'!$M$147,""))</f>
        <v/>
      </c>
    </row>
    <row r="1018">
      <c r="A1018" t="n">
        <v>1017</v>
      </c>
      <c r="B1018">
        <f>Schedule!$A$148</f>
        <v/>
      </c>
      <c r="C1018">
        <f>Schedule!$D$148</f>
        <v/>
      </c>
      <c r="D1018">
        <f>Schedule!$F$148</f>
        <v/>
      </c>
      <c r="E1018" t="n">
        <v>1</v>
      </c>
      <c r="F1018">
        <f>Schedule!$H$1</f>
        <v/>
      </c>
      <c r="G1018">
        <f>Schedule!$H$2</f>
        <v/>
      </c>
      <c r="H1018">
        <f>Schedule!$H$148</f>
        <v/>
      </c>
      <c r="I1018">
        <f>IF($N1018=1,VALUE(LEFT($H1018,2)),"")</f>
        <v/>
      </c>
      <c r="J1018">
        <f>IF($N1018=1,VALUE(MID($H1018,9,2)),"")</f>
        <v/>
      </c>
      <c r="K1018">
        <f>IF($N1018=1,MOD($J1018-$I1018,24),0)</f>
        <v/>
      </c>
      <c r="L1018">
        <f>IF($N1018=1,$E1018*24+$I1018,"")</f>
        <v/>
      </c>
      <c r="M1018">
        <f>IF($N1018=1,$L1018+$K1018,"")</f>
        <v/>
      </c>
      <c r="N1018">
        <f>IF(ISNUMBER(SEARCH(" - ",$H1018&amp;"")),1,0)</f>
        <v/>
      </c>
      <c r="O1018">
        <f>IF(UPPER($H1018&amp;"")="LEAVE",1,0)</f>
        <v/>
      </c>
      <c r="P1018">
        <f>IF($N1018=1,$K1018,0)</f>
        <v/>
      </c>
      <c r="Q1018">
        <f>IF($N1018=0,"",IFERROR($L1018-LOOKUP(2,1/(($B$2:$B1017=$B1018)*($N$2:$N1017=1)),$M$2:$M1017),""))</f>
        <v/>
      </c>
    </row>
    <row r="1019">
      <c r="A1019" t="n">
        <v>1018</v>
      </c>
      <c r="B1019">
        <f>Schedule!$A$148</f>
        <v/>
      </c>
      <c r="C1019">
        <f>Schedule!$D$148</f>
        <v/>
      </c>
      <c r="D1019">
        <f>Schedule!$F$148</f>
        <v/>
      </c>
      <c r="E1019" t="n">
        <v>2</v>
      </c>
      <c r="F1019">
        <f>Schedule!$I$1</f>
        <v/>
      </c>
      <c r="G1019">
        <f>Schedule!$I$2</f>
        <v/>
      </c>
      <c r="H1019">
        <f>Schedule!$I$148</f>
        <v/>
      </c>
      <c r="I1019">
        <f>IF($N1019=1,VALUE(LEFT($H1019,2)),"")</f>
        <v/>
      </c>
      <c r="J1019">
        <f>IF($N1019=1,VALUE(MID($H1019,9,2)),"")</f>
        <v/>
      </c>
      <c r="K1019">
        <f>IF($N1019=1,MOD($J1019-$I1019,24),0)</f>
        <v/>
      </c>
      <c r="L1019">
        <f>IF($N1019=1,$E1019*24+$I1019,"")</f>
        <v/>
      </c>
      <c r="M1019">
        <f>IF($N1019=1,$L1019+$K1019,"")</f>
        <v/>
      </c>
      <c r="N1019">
        <f>IF(ISNUMBER(SEARCH(" - ",$H1019&amp;"")),1,0)</f>
        <v/>
      </c>
      <c r="O1019">
        <f>IF(UPPER($H1019&amp;"")="LEAVE",1,0)</f>
        <v/>
      </c>
      <c r="P1019">
        <f>IF($N1019=1,$K1019,0)</f>
        <v/>
      </c>
      <c r="Q1019">
        <f>IF($N1019=0,"",IFERROR($L1019-LOOKUP(2,1/(($B$2:$B1018=$B1019)*($N$2:$N1018=1)),$M$2:$M1018),""))</f>
        <v/>
      </c>
    </row>
    <row r="1020">
      <c r="A1020" t="n">
        <v>1019</v>
      </c>
      <c r="B1020">
        <f>Schedule!$A$148</f>
        <v/>
      </c>
      <c r="C1020">
        <f>Schedule!$D$148</f>
        <v/>
      </c>
      <c r="D1020">
        <f>Schedule!$F$148</f>
        <v/>
      </c>
      <c r="E1020" t="n">
        <v>3</v>
      </c>
      <c r="F1020">
        <f>Schedule!$J$1</f>
        <v/>
      </c>
      <c r="G1020">
        <f>Schedule!$J$2</f>
        <v/>
      </c>
      <c r="H1020">
        <f>Schedule!$J$148</f>
        <v/>
      </c>
      <c r="I1020">
        <f>IF($N1020=1,VALUE(LEFT($H1020,2)),"")</f>
        <v/>
      </c>
      <c r="J1020">
        <f>IF($N1020=1,VALUE(MID($H1020,9,2)),"")</f>
        <v/>
      </c>
      <c r="K1020">
        <f>IF($N1020=1,MOD($J1020-$I1020,24),0)</f>
        <v/>
      </c>
      <c r="L1020">
        <f>IF($N1020=1,$E1020*24+$I1020,"")</f>
        <v/>
      </c>
      <c r="M1020">
        <f>IF($N1020=1,$L1020+$K1020,"")</f>
        <v/>
      </c>
      <c r="N1020">
        <f>IF(ISNUMBER(SEARCH(" - ",$H1020&amp;"")),1,0)</f>
        <v/>
      </c>
      <c r="O1020">
        <f>IF(UPPER($H1020&amp;"")="LEAVE",1,0)</f>
        <v/>
      </c>
      <c r="P1020">
        <f>IF($N1020=1,$K1020,0)</f>
        <v/>
      </c>
      <c r="Q1020">
        <f>IF($N1020=0,"",IFERROR($L1020-LOOKUP(2,1/(($B$2:$B1019=$B1020)*($N$2:$N1019=1)),$M$2:$M1019),""))</f>
        <v/>
      </c>
    </row>
    <row r="1021">
      <c r="A1021" t="n">
        <v>1020</v>
      </c>
      <c r="B1021">
        <f>Schedule!$A$148</f>
        <v/>
      </c>
      <c r="C1021">
        <f>Schedule!$D$148</f>
        <v/>
      </c>
      <c r="D1021">
        <f>Schedule!$F$148</f>
        <v/>
      </c>
      <c r="E1021" t="n">
        <v>4</v>
      </c>
      <c r="F1021">
        <f>Schedule!$K$1</f>
        <v/>
      </c>
      <c r="G1021">
        <f>Schedule!$K$2</f>
        <v/>
      </c>
      <c r="H1021">
        <f>Schedule!$K$148</f>
        <v/>
      </c>
      <c r="I1021">
        <f>IF($N1021=1,VALUE(LEFT($H1021,2)),"")</f>
        <v/>
      </c>
      <c r="J1021">
        <f>IF($N1021=1,VALUE(MID($H1021,9,2)),"")</f>
        <v/>
      </c>
      <c r="K1021">
        <f>IF($N1021=1,MOD($J1021-$I1021,24),0)</f>
        <v/>
      </c>
      <c r="L1021">
        <f>IF($N1021=1,$E1021*24+$I1021,"")</f>
        <v/>
      </c>
      <c r="M1021">
        <f>IF($N1021=1,$L1021+$K1021,"")</f>
        <v/>
      </c>
      <c r="N1021">
        <f>IF(ISNUMBER(SEARCH(" - ",$H1021&amp;"")),1,0)</f>
        <v/>
      </c>
      <c r="O1021">
        <f>IF(UPPER($H1021&amp;"")="LEAVE",1,0)</f>
        <v/>
      </c>
      <c r="P1021">
        <f>IF($N1021=1,$K1021,0)</f>
        <v/>
      </c>
      <c r="Q1021">
        <f>IF($N1021=0,"",IFERROR($L1021-LOOKUP(2,1/(($B$2:$B1020=$B1021)*($N$2:$N1020=1)),$M$2:$M1020),""))</f>
        <v/>
      </c>
    </row>
    <row r="1022">
      <c r="A1022" t="n">
        <v>1021</v>
      </c>
      <c r="B1022">
        <f>Schedule!$A$148</f>
        <v/>
      </c>
      <c r="C1022">
        <f>Schedule!$D$148</f>
        <v/>
      </c>
      <c r="D1022">
        <f>Schedule!$F$148</f>
        <v/>
      </c>
      <c r="E1022" t="n">
        <v>5</v>
      </c>
      <c r="F1022">
        <f>Schedule!$L$1</f>
        <v/>
      </c>
      <c r="G1022">
        <f>Schedule!$L$2</f>
        <v/>
      </c>
      <c r="H1022">
        <f>Schedule!$L$148</f>
        <v/>
      </c>
      <c r="I1022">
        <f>IF($N1022=1,VALUE(LEFT($H1022,2)),"")</f>
        <v/>
      </c>
      <c r="J1022">
        <f>IF($N1022=1,VALUE(MID($H1022,9,2)),"")</f>
        <v/>
      </c>
      <c r="K1022">
        <f>IF($N1022=1,MOD($J1022-$I1022,24),0)</f>
        <v/>
      </c>
      <c r="L1022">
        <f>IF($N1022=1,$E1022*24+$I1022,"")</f>
        <v/>
      </c>
      <c r="M1022">
        <f>IF($N1022=1,$L1022+$K1022,"")</f>
        <v/>
      </c>
      <c r="N1022">
        <f>IF(ISNUMBER(SEARCH(" - ",$H1022&amp;"")),1,0)</f>
        <v/>
      </c>
      <c r="O1022">
        <f>IF(UPPER($H1022&amp;"")="LEAVE",1,0)</f>
        <v/>
      </c>
      <c r="P1022">
        <f>IF($N1022=1,$K1022,0)</f>
        <v/>
      </c>
      <c r="Q1022">
        <f>IF($N1022=0,"",IFERROR($L1022-LOOKUP(2,1/(($B$2:$B1021=$B1022)*($N$2:$N1021=1)),$M$2:$M1021),""))</f>
        <v/>
      </c>
    </row>
    <row r="1023">
      <c r="A1023" t="n">
        <v>1022</v>
      </c>
      <c r="B1023">
        <f>Schedule!$A$148</f>
        <v/>
      </c>
      <c r="C1023">
        <f>Schedule!$D$148</f>
        <v/>
      </c>
      <c r="D1023">
        <f>Schedule!$F$148</f>
        <v/>
      </c>
      <c r="E1023" t="n">
        <v>6</v>
      </c>
      <c r="F1023">
        <f>Schedule!$M$1</f>
        <v/>
      </c>
      <c r="G1023">
        <f>Schedule!$M$2</f>
        <v/>
      </c>
      <c r="H1023">
        <f>Schedule!$M$148</f>
        <v/>
      </c>
      <c r="I1023">
        <f>IF($N1023=1,VALUE(LEFT($H1023,2)),"")</f>
        <v/>
      </c>
      <c r="J1023">
        <f>IF($N1023=1,VALUE(MID($H1023,9,2)),"")</f>
        <v/>
      </c>
      <c r="K1023">
        <f>IF($N1023=1,MOD($J1023-$I1023,24),0)</f>
        <v/>
      </c>
      <c r="L1023">
        <f>IF($N1023=1,$E1023*24+$I1023,"")</f>
        <v/>
      </c>
      <c r="M1023">
        <f>IF($N1023=1,$L1023+$K1023,"")</f>
        <v/>
      </c>
      <c r="N1023">
        <f>IF(ISNUMBER(SEARCH(" - ",$H1023&amp;"")),1,0)</f>
        <v/>
      </c>
      <c r="O1023">
        <f>IF(UPPER($H1023&amp;"")="LEAVE",1,0)</f>
        <v/>
      </c>
      <c r="P1023">
        <f>IF($N1023=1,$K1023,0)</f>
        <v/>
      </c>
      <c r="Q1023">
        <f>IF($N1023=0,"",IFERROR($L1023-LOOKUP(2,1/(($B$2:$B1022=$B1023)*($N$2:$N1022=1)),$M$2:$M1022),""))</f>
        <v/>
      </c>
    </row>
    <row r="1024">
      <c r="A1024" t="n">
        <v>1023</v>
      </c>
      <c r="B1024">
        <f>Schedule!$A$149</f>
        <v/>
      </c>
      <c r="C1024">
        <f>Schedule!$D$149</f>
        <v/>
      </c>
      <c r="D1024">
        <f>Schedule!$F$149</f>
        <v/>
      </c>
      <c r="E1024" t="n">
        <v>0</v>
      </c>
      <c r="F1024">
        <f>Schedule!$G$1</f>
        <v/>
      </c>
      <c r="G1024">
        <f>Schedule!$G$2</f>
        <v/>
      </c>
      <c r="H1024">
        <f>Schedule!$G$149</f>
        <v/>
      </c>
      <c r="I1024">
        <f>IF($N1024=1,VALUE(LEFT($H1024,2)),"")</f>
        <v/>
      </c>
      <c r="J1024">
        <f>IF($N1024=1,VALUE(MID($H1024,9,2)),"")</f>
        <v/>
      </c>
      <c r="K1024">
        <f>IF($N1024=1,MOD($J1024-$I1024,24),0)</f>
        <v/>
      </c>
      <c r="L1024">
        <f>IF($N1024=1,$E1024*24+$I1024,"")</f>
        <v/>
      </c>
      <c r="M1024">
        <f>IF($N1024=1,$L1024+$K1024,"")</f>
        <v/>
      </c>
      <c r="N1024">
        <f>IF(ISNUMBER(SEARCH(" - ",$H1024&amp;"")),1,0)</f>
        <v/>
      </c>
      <c r="O1024">
        <f>IF(UPPER($H1024&amp;"")="LEAVE",1,0)</f>
        <v/>
      </c>
      <c r="P1024">
        <f>IF($N1024=1,$K1024,0)</f>
        <v/>
      </c>
      <c r="Q1024">
        <f>IF($N1024=0,"",IFERROR($L1024-'Previous Engine'!$M$148,""))</f>
        <v/>
      </c>
    </row>
    <row r="1025">
      <c r="A1025" t="n">
        <v>1024</v>
      </c>
      <c r="B1025">
        <f>Schedule!$A$149</f>
        <v/>
      </c>
      <c r="C1025">
        <f>Schedule!$D$149</f>
        <v/>
      </c>
      <c r="D1025">
        <f>Schedule!$F$149</f>
        <v/>
      </c>
      <c r="E1025" t="n">
        <v>1</v>
      </c>
      <c r="F1025">
        <f>Schedule!$H$1</f>
        <v/>
      </c>
      <c r="G1025">
        <f>Schedule!$H$2</f>
        <v/>
      </c>
      <c r="H1025">
        <f>Schedule!$H$149</f>
        <v/>
      </c>
      <c r="I1025">
        <f>IF($N1025=1,VALUE(LEFT($H1025,2)),"")</f>
        <v/>
      </c>
      <c r="J1025">
        <f>IF($N1025=1,VALUE(MID($H1025,9,2)),"")</f>
        <v/>
      </c>
      <c r="K1025">
        <f>IF($N1025=1,MOD($J1025-$I1025,24),0)</f>
        <v/>
      </c>
      <c r="L1025">
        <f>IF($N1025=1,$E1025*24+$I1025,"")</f>
        <v/>
      </c>
      <c r="M1025">
        <f>IF($N1025=1,$L1025+$K1025,"")</f>
        <v/>
      </c>
      <c r="N1025">
        <f>IF(ISNUMBER(SEARCH(" - ",$H1025&amp;"")),1,0)</f>
        <v/>
      </c>
      <c r="O1025">
        <f>IF(UPPER($H1025&amp;"")="LEAVE",1,0)</f>
        <v/>
      </c>
      <c r="P1025">
        <f>IF($N1025=1,$K1025,0)</f>
        <v/>
      </c>
      <c r="Q1025">
        <f>IF($N1025=0,"",IFERROR($L1025-LOOKUP(2,1/(($B$2:$B1024=$B1025)*($N$2:$N1024=1)),$M$2:$M1024),""))</f>
        <v/>
      </c>
    </row>
    <row r="1026">
      <c r="A1026" t="n">
        <v>1025</v>
      </c>
      <c r="B1026">
        <f>Schedule!$A$149</f>
        <v/>
      </c>
      <c r="C1026">
        <f>Schedule!$D$149</f>
        <v/>
      </c>
      <c r="D1026">
        <f>Schedule!$F$149</f>
        <v/>
      </c>
      <c r="E1026" t="n">
        <v>2</v>
      </c>
      <c r="F1026">
        <f>Schedule!$I$1</f>
        <v/>
      </c>
      <c r="G1026">
        <f>Schedule!$I$2</f>
        <v/>
      </c>
      <c r="H1026">
        <f>Schedule!$I$149</f>
        <v/>
      </c>
      <c r="I1026">
        <f>IF($N1026=1,VALUE(LEFT($H1026,2)),"")</f>
        <v/>
      </c>
      <c r="J1026">
        <f>IF($N1026=1,VALUE(MID($H1026,9,2)),"")</f>
        <v/>
      </c>
      <c r="K1026">
        <f>IF($N1026=1,MOD($J1026-$I1026,24),0)</f>
        <v/>
      </c>
      <c r="L1026">
        <f>IF($N1026=1,$E1026*24+$I1026,"")</f>
        <v/>
      </c>
      <c r="M1026">
        <f>IF($N1026=1,$L1026+$K1026,"")</f>
        <v/>
      </c>
      <c r="N1026">
        <f>IF(ISNUMBER(SEARCH(" - ",$H1026&amp;"")),1,0)</f>
        <v/>
      </c>
      <c r="O1026">
        <f>IF(UPPER($H1026&amp;"")="LEAVE",1,0)</f>
        <v/>
      </c>
      <c r="P1026">
        <f>IF($N1026=1,$K1026,0)</f>
        <v/>
      </c>
      <c r="Q1026">
        <f>IF($N1026=0,"",IFERROR($L1026-LOOKUP(2,1/(($B$2:$B1025=$B1026)*($N$2:$N1025=1)),$M$2:$M1025),""))</f>
        <v/>
      </c>
    </row>
    <row r="1027">
      <c r="A1027" t="n">
        <v>1026</v>
      </c>
      <c r="B1027">
        <f>Schedule!$A$149</f>
        <v/>
      </c>
      <c r="C1027">
        <f>Schedule!$D$149</f>
        <v/>
      </c>
      <c r="D1027">
        <f>Schedule!$F$149</f>
        <v/>
      </c>
      <c r="E1027" t="n">
        <v>3</v>
      </c>
      <c r="F1027">
        <f>Schedule!$J$1</f>
        <v/>
      </c>
      <c r="G1027">
        <f>Schedule!$J$2</f>
        <v/>
      </c>
      <c r="H1027">
        <f>Schedule!$J$149</f>
        <v/>
      </c>
      <c r="I1027">
        <f>IF($N1027=1,VALUE(LEFT($H1027,2)),"")</f>
        <v/>
      </c>
      <c r="J1027">
        <f>IF($N1027=1,VALUE(MID($H1027,9,2)),"")</f>
        <v/>
      </c>
      <c r="K1027">
        <f>IF($N1027=1,MOD($J1027-$I1027,24),0)</f>
        <v/>
      </c>
      <c r="L1027">
        <f>IF($N1027=1,$E1027*24+$I1027,"")</f>
        <v/>
      </c>
      <c r="M1027">
        <f>IF($N1027=1,$L1027+$K1027,"")</f>
        <v/>
      </c>
      <c r="N1027">
        <f>IF(ISNUMBER(SEARCH(" - ",$H1027&amp;"")),1,0)</f>
        <v/>
      </c>
      <c r="O1027">
        <f>IF(UPPER($H1027&amp;"")="LEAVE",1,0)</f>
        <v/>
      </c>
      <c r="P1027">
        <f>IF($N1027=1,$K1027,0)</f>
        <v/>
      </c>
      <c r="Q1027">
        <f>IF($N1027=0,"",IFERROR($L1027-LOOKUP(2,1/(($B$2:$B1026=$B1027)*($N$2:$N1026=1)),$M$2:$M1026),""))</f>
        <v/>
      </c>
    </row>
    <row r="1028">
      <c r="A1028" t="n">
        <v>1027</v>
      </c>
      <c r="B1028">
        <f>Schedule!$A$149</f>
        <v/>
      </c>
      <c r="C1028">
        <f>Schedule!$D$149</f>
        <v/>
      </c>
      <c r="D1028">
        <f>Schedule!$F$149</f>
        <v/>
      </c>
      <c r="E1028" t="n">
        <v>4</v>
      </c>
      <c r="F1028">
        <f>Schedule!$K$1</f>
        <v/>
      </c>
      <c r="G1028">
        <f>Schedule!$K$2</f>
        <v/>
      </c>
      <c r="H1028">
        <f>Schedule!$K$149</f>
        <v/>
      </c>
      <c r="I1028">
        <f>IF($N1028=1,VALUE(LEFT($H1028,2)),"")</f>
        <v/>
      </c>
      <c r="J1028">
        <f>IF($N1028=1,VALUE(MID($H1028,9,2)),"")</f>
        <v/>
      </c>
      <c r="K1028">
        <f>IF($N1028=1,MOD($J1028-$I1028,24),0)</f>
        <v/>
      </c>
      <c r="L1028">
        <f>IF($N1028=1,$E1028*24+$I1028,"")</f>
        <v/>
      </c>
      <c r="M1028">
        <f>IF($N1028=1,$L1028+$K1028,"")</f>
        <v/>
      </c>
      <c r="N1028">
        <f>IF(ISNUMBER(SEARCH(" - ",$H1028&amp;"")),1,0)</f>
        <v/>
      </c>
      <c r="O1028">
        <f>IF(UPPER($H1028&amp;"")="LEAVE",1,0)</f>
        <v/>
      </c>
      <c r="P1028">
        <f>IF($N1028=1,$K1028,0)</f>
        <v/>
      </c>
      <c r="Q1028">
        <f>IF($N1028=0,"",IFERROR($L1028-LOOKUP(2,1/(($B$2:$B1027=$B1028)*($N$2:$N1027=1)),$M$2:$M1027),""))</f>
        <v/>
      </c>
    </row>
    <row r="1029">
      <c r="A1029" t="n">
        <v>1028</v>
      </c>
      <c r="B1029">
        <f>Schedule!$A$149</f>
        <v/>
      </c>
      <c r="C1029">
        <f>Schedule!$D$149</f>
        <v/>
      </c>
      <c r="D1029">
        <f>Schedule!$F$149</f>
        <v/>
      </c>
      <c r="E1029" t="n">
        <v>5</v>
      </c>
      <c r="F1029">
        <f>Schedule!$L$1</f>
        <v/>
      </c>
      <c r="G1029">
        <f>Schedule!$L$2</f>
        <v/>
      </c>
      <c r="H1029">
        <f>Schedule!$L$149</f>
        <v/>
      </c>
      <c r="I1029">
        <f>IF($N1029=1,VALUE(LEFT($H1029,2)),"")</f>
        <v/>
      </c>
      <c r="J1029">
        <f>IF($N1029=1,VALUE(MID($H1029,9,2)),"")</f>
        <v/>
      </c>
      <c r="K1029">
        <f>IF($N1029=1,MOD($J1029-$I1029,24),0)</f>
        <v/>
      </c>
      <c r="L1029">
        <f>IF($N1029=1,$E1029*24+$I1029,"")</f>
        <v/>
      </c>
      <c r="M1029">
        <f>IF($N1029=1,$L1029+$K1029,"")</f>
        <v/>
      </c>
      <c r="N1029">
        <f>IF(ISNUMBER(SEARCH(" - ",$H1029&amp;"")),1,0)</f>
        <v/>
      </c>
      <c r="O1029">
        <f>IF(UPPER($H1029&amp;"")="LEAVE",1,0)</f>
        <v/>
      </c>
      <c r="P1029">
        <f>IF($N1029=1,$K1029,0)</f>
        <v/>
      </c>
      <c r="Q1029">
        <f>IF($N1029=0,"",IFERROR($L1029-LOOKUP(2,1/(($B$2:$B1028=$B1029)*($N$2:$N1028=1)),$M$2:$M1028),""))</f>
        <v/>
      </c>
    </row>
    <row r="1030">
      <c r="A1030" t="n">
        <v>1029</v>
      </c>
      <c r="B1030">
        <f>Schedule!$A$149</f>
        <v/>
      </c>
      <c r="C1030">
        <f>Schedule!$D$149</f>
        <v/>
      </c>
      <c r="D1030">
        <f>Schedule!$F$149</f>
        <v/>
      </c>
      <c r="E1030" t="n">
        <v>6</v>
      </c>
      <c r="F1030">
        <f>Schedule!$M$1</f>
        <v/>
      </c>
      <c r="G1030">
        <f>Schedule!$M$2</f>
        <v/>
      </c>
      <c r="H1030">
        <f>Schedule!$M$149</f>
        <v/>
      </c>
      <c r="I1030">
        <f>IF($N1030=1,VALUE(LEFT($H1030,2)),"")</f>
        <v/>
      </c>
      <c r="J1030">
        <f>IF($N1030=1,VALUE(MID($H1030,9,2)),"")</f>
        <v/>
      </c>
      <c r="K1030">
        <f>IF($N1030=1,MOD($J1030-$I1030,24),0)</f>
        <v/>
      </c>
      <c r="L1030">
        <f>IF($N1030=1,$E1030*24+$I1030,"")</f>
        <v/>
      </c>
      <c r="M1030">
        <f>IF($N1030=1,$L1030+$K1030,"")</f>
        <v/>
      </c>
      <c r="N1030">
        <f>IF(ISNUMBER(SEARCH(" - ",$H1030&amp;"")),1,0)</f>
        <v/>
      </c>
      <c r="O1030">
        <f>IF(UPPER($H1030&amp;"")="LEAVE",1,0)</f>
        <v/>
      </c>
      <c r="P1030">
        <f>IF($N1030=1,$K1030,0)</f>
        <v/>
      </c>
      <c r="Q1030">
        <f>IF($N1030=0,"",IFERROR($L1030-LOOKUP(2,1/(($B$2:$B1029=$B1030)*($N$2:$N1029=1)),$M$2:$M1029),""))</f>
        <v/>
      </c>
    </row>
    <row r="1031">
      <c r="A1031" t="n">
        <v>1030</v>
      </c>
      <c r="B1031">
        <f>Schedule!$A$150</f>
        <v/>
      </c>
      <c r="C1031">
        <f>Schedule!$D$150</f>
        <v/>
      </c>
      <c r="D1031">
        <f>Schedule!$F$150</f>
        <v/>
      </c>
      <c r="E1031" t="n">
        <v>0</v>
      </c>
      <c r="F1031">
        <f>Schedule!$G$1</f>
        <v/>
      </c>
      <c r="G1031">
        <f>Schedule!$G$2</f>
        <v/>
      </c>
      <c r="H1031">
        <f>Schedule!$G$150</f>
        <v/>
      </c>
      <c r="I1031">
        <f>IF($N1031=1,VALUE(LEFT($H1031,2)),"")</f>
        <v/>
      </c>
      <c r="J1031">
        <f>IF($N1031=1,VALUE(MID($H1031,9,2)),"")</f>
        <v/>
      </c>
      <c r="K1031">
        <f>IF($N1031=1,MOD($J1031-$I1031,24),0)</f>
        <v/>
      </c>
      <c r="L1031">
        <f>IF($N1031=1,$E1031*24+$I1031,"")</f>
        <v/>
      </c>
      <c r="M1031">
        <f>IF($N1031=1,$L1031+$K1031,"")</f>
        <v/>
      </c>
      <c r="N1031">
        <f>IF(ISNUMBER(SEARCH(" - ",$H1031&amp;"")),1,0)</f>
        <v/>
      </c>
      <c r="O1031">
        <f>IF(UPPER($H1031&amp;"")="LEAVE",1,0)</f>
        <v/>
      </c>
      <c r="P1031">
        <f>IF($N1031=1,$K1031,0)</f>
        <v/>
      </c>
      <c r="Q1031">
        <f>IF($N1031=0,"",IFERROR($L1031-'Previous Engine'!$M$149,""))</f>
        <v/>
      </c>
    </row>
    <row r="1032">
      <c r="A1032" t="n">
        <v>1031</v>
      </c>
      <c r="B1032">
        <f>Schedule!$A$150</f>
        <v/>
      </c>
      <c r="C1032">
        <f>Schedule!$D$150</f>
        <v/>
      </c>
      <c r="D1032">
        <f>Schedule!$F$150</f>
        <v/>
      </c>
      <c r="E1032" t="n">
        <v>1</v>
      </c>
      <c r="F1032">
        <f>Schedule!$H$1</f>
        <v/>
      </c>
      <c r="G1032">
        <f>Schedule!$H$2</f>
        <v/>
      </c>
      <c r="H1032">
        <f>Schedule!$H$150</f>
        <v/>
      </c>
      <c r="I1032">
        <f>IF($N1032=1,VALUE(LEFT($H1032,2)),"")</f>
        <v/>
      </c>
      <c r="J1032">
        <f>IF($N1032=1,VALUE(MID($H1032,9,2)),"")</f>
        <v/>
      </c>
      <c r="K1032">
        <f>IF($N1032=1,MOD($J1032-$I1032,24),0)</f>
        <v/>
      </c>
      <c r="L1032">
        <f>IF($N1032=1,$E1032*24+$I1032,"")</f>
        <v/>
      </c>
      <c r="M1032">
        <f>IF($N1032=1,$L1032+$K1032,"")</f>
        <v/>
      </c>
      <c r="N1032">
        <f>IF(ISNUMBER(SEARCH(" - ",$H1032&amp;"")),1,0)</f>
        <v/>
      </c>
      <c r="O1032">
        <f>IF(UPPER($H1032&amp;"")="LEAVE",1,0)</f>
        <v/>
      </c>
      <c r="P1032">
        <f>IF($N1032=1,$K1032,0)</f>
        <v/>
      </c>
      <c r="Q1032">
        <f>IF($N1032=0,"",IFERROR($L1032-LOOKUP(2,1/(($B$2:$B1031=$B1032)*($N$2:$N1031=1)),$M$2:$M1031),""))</f>
        <v/>
      </c>
    </row>
    <row r="1033">
      <c r="A1033" t="n">
        <v>1032</v>
      </c>
      <c r="B1033">
        <f>Schedule!$A$150</f>
        <v/>
      </c>
      <c r="C1033">
        <f>Schedule!$D$150</f>
        <v/>
      </c>
      <c r="D1033">
        <f>Schedule!$F$150</f>
        <v/>
      </c>
      <c r="E1033" t="n">
        <v>2</v>
      </c>
      <c r="F1033">
        <f>Schedule!$I$1</f>
        <v/>
      </c>
      <c r="G1033">
        <f>Schedule!$I$2</f>
        <v/>
      </c>
      <c r="H1033">
        <f>Schedule!$I$150</f>
        <v/>
      </c>
      <c r="I1033">
        <f>IF($N1033=1,VALUE(LEFT($H1033,2)),"")</f>
        <v/>
      </c>
      <c r="J1033">
        <f>IF($N1033=1,VALUE(MID($H1033,9,2)),"")</f>
        <v/>
      </c>
      <c r="K1033">
        <f>IF($N1033=1,MOD($J1033-$I1033,24),0)</f>
        <v/>
      </c>
      <c r="L1033">
        <f>IF($N1033=1,$E1033*24+$I1033,"")</f>
        <v/>
      </c>
      <c r="M1033">
        <f>IF($N1033=1,$L1033+$K1033,"")</f>
        <v/>
      </c>
      <c r="N1033">
        <f>IF(ISNUMBER(SEARCH(" - ",$H1033&amp;"")),1,0)</f>
        <v/>
      </c>
      <c r="O1033">
        <f>IF(UPPER($H1033&amp;"")="LEAVE",1,0)</f>
        <v/>
      </c>
      <c r="P1033">
        <f>IF($N1033=1,$K1033,0)</f>
        <v/>
      </c>
      <c r="Q1033">
        <f>IF($N1033=0,"",IFERROR($L1033-LOOKUP(2,1/(($B$2:$B1032=$B1033)*($N$2:$N1032=1)),$M$2:$M1032),""))</f>
        <v/>
      </c>
    </row>
    <row r="1034">
      <c r="A1034" t="n">
        <v>1033</v>
      </c>
      <c r="B1034">
        <f>Schedule!$A$150</f>
        <v/>
      </c>
      <c r="C1034">
        <f>Schedule!$D$150</f>
        <v/>
      </c>
      <c r="D1034">
        <f>Schedule!$F$150</f>
        <v/>
      </c>
      <c r="E1034" t="n">
        <v>3</v>
      </c>
      <c r="F1034">
        <f>Schedule!$J$1</f>
        <v/>
      </c>
      <c r="G1034">
        <f>Schedule!$J$2</f>
        <v/>
      </c>
      <c r="H1034">
        <f>Schedule!$J$150</f>
        <v/>
      </c>
      <c r="I1034">
        <f>IF($N1034=1,VALUE(LEFT($H1034,2)),"")</f>
        <v/>
      </c>
      <c r="J1034">
        <f>IF($N1034=1,VALUE(MID($H1034,9,2)),"")</f>
        <v/>
      </c>
      <c r="K1034">
        <f>IF($N1034=1,MOD($J1034-$I1034,24),0)</f>
        <v/>
      </c>
      <c r="L1034">
        <f>IF($N1034=1,$E1034*24+$I1034,"")</f>
        <v/>
      </c>
      <c r="M1034">
        <f>IF($N1034=1,$L1034+$K1034,"")</f>
        <v/>
      </c>
      <c r="N1034">
        <f>IF(ISNUMBER(SEARCH(" - ",$H1034&amp;"")),1,0)</f>
        <v/>
      </c>
      <c r="O1034">
        <f>IF(UPPER($H1034&amp;"")="LEAVE",1,0)</f>
        <v/>
      </c>
      <c r="P1034">
        <f>IF($N1034=1,$K1034,0)</f>
        <v/>
      </c>
      <c r="Q1034">
        <f>IF($N1034=0,"",IFERROR($L1034-LOOKUP(2,1/(($B$2:$B1033=$B1034)*($N$2:$N1033=1)),$M$2:$M1033),""))</f>
        <v/>
      </c>
    </row>
    <row r="1035">
      <c r="A1035" t="n">
        <v>1034</v>
      </c>
      <c r="B1035">
        <f>Schedule!$A$150</f>
        <v/>
      </c>
      <c r="C1035">
        <f>Schedule!$D$150</f>
        <v/>
      </c>
      <c r="D1035">
        <f>Schedule!$F$150</f>
        <v/>
      </c>
      <c r="E1035" t="n">
        <v>4</v>
      </c>
      <c r="F1035">
        <f>Schedule!$K$1</f>
        <v/>
      </c>
      <c r="G1035">
        <f>Schedule!$K$2</f>
        <v/>
      </c>
      <c r="H1035">
        <f>Schedule!$K$150</f>
        <v/>
      </c>
      <c r="I1035">
        <f>IF($N1035=1,VALUE(LEFT($H1035,2)),"")</f>
        <v/>
      </c>
      <c r="J1035">
        <f>IF($N1035=1,VALUE(MID($H1035,9,2)),"")</f>
        <v/>
      </c>
      <c r="K1035">
        <f>IF($N1035=1,MOD($J1035-$I1035,24),0)</f>
        <v/>
      </c>
      <c r="L1035">
        <f>IF($N1035=1,$E1035*24+$I1035,"")</f>
        <v/>
      </c>
      <c r="M1035">
        <f>IF($N1035=1,$L1035+$K1035,"")</f>
        <v/>
      </c>
      <c r="N1035">
        <f>IF(ISNUMBER(SEARCH(" - ",$H1035&amp;"")),1,0)</f>
        <v/>
      </c>
      <c r="O1035">
        <f>IF(UPPER($H1035&amp;"")="LEAVE",1,0)</f>
        <v/>
      </c>
      <c r="P1035">
        <f>IF($N1035=1,$K1035,0)</f>
        <v/>
      </c>
      <c r="Q1035">
        <f>IF($N1035=0,"",IFERROR($L1035-LOOKUP(2,1/(($B$2:$B1034=$B1035)*($N$2:$N1034=1)),$M$2:$M1034),""))</f>
        <v/>
      </c>
    </row>
    <row r="1036">
      <c r="A1036" t="n">
        <v>1035</v>
      </c>
      <c r="B1036">
        <f>Schedule!$A$150</f>
        <v/>
      </c>
      <c r="C1036">
        <f>Schedule!$D$150</f>
        <v/>
      </c>
      <c r="D1036">
        <f>Schedule!$F$150</f>
        <v/>
      </c>
      <c r="E1036" t="n">
        <v>5</v>
      </c>
      <c r="F1036">
        <f>Schedule!$L$1</f>
        <v/>
      </c>
      <c r="G1036">
        <f>Schedule!$L$2</f>
        <v/>
      </c>
      <c r="H1036">
        <f>Schedule!$L$150</f>
        <v/>
      </c>
      <c r="I1036">
        <f>IF($N1036=1,VALUE(LEFT($H1036,2)),"")</f>
        <v/>
      </c>
      <c r="J1036">
        <f>IF($N1036=1,VALUE(MID($H1036,9,2)),"")</f>
        <v/>
      </c>
      <c r="K1036">
        <f>IF($N1036=1,MOD($J1036-$I1036,24),0)</f>
        <v/>
      </c>
      <c r="L1036">
        <f>IF($N1036=1,$E1036*24+$I1036,"")</f>
        <v/>
      </c>
      <c r="M1036">
        <f>IF($N1036=1,$L1036+$K1036,"")</f>
        <v/>
      </c>
      <c r="N1036">
        <f>IF(ISNUMBER(SEARCH(" - ",$H1036&amp;"")),1,0)</f>
        <v/>
      </c>
      <c r="O1036">
        <f>IF(UPPER($H1036&amp;"")="LEAVE",1,0)</f>
        <v/>
      </c>
      <c r="P1036">
        <f>IF($N1036=1,$K1036,0)</f>
        <v/>
      </c>
      <c r="Q1036">
        <f>IF($N1036=0,"",IFERROR($L1036-LOOKUP(2,1/(($B$2:$B1035=$B1036)*($N$2:$N1035=1)),$M$2:$M1035),""))</f>
        <v/>
      </c>
    </row>
    <row r="1037">
      <c r="A1037" t="n">
        <v>1036</v>
      </c>
      <c r="B1037">
        <f>Schedule!$A$150</f>
        <v/>
      </c>
      <c r="C1037">
        <f>Schedule!$D$150</f>
        <v/>
      </c>
      <c r="D1037">
        <f>Schedule!$F$150</f>
        <v/>
      </c>
      <c r="E1037" t="n">
        <v>6</v>
      </c>
      <c r="F1037">
        <f>Schedule!$M$1</f>
        <v/>
      </c>
      <c r="G1037">
        <f>Schedule!$M$2</f>
        <v/>
      </c>
      <c r="H1037">
        <f>Schedule!$M$150</f>
        <v/>
      </c>
      <c r="I1037">
        <f>IF($N1037=1,VALUE(LEFT($H1037,2)),"")</f>
        <v/>
      </c>
      <c r="J1037">
        <f>IF($N1037=1,VALUE(MID($H1037,9,2)),"")</f>
        <v/>
      </c>
      <c r="K1037">
        <f>IF($N1037=1,MOD($J1037-$I1037,24),0)</f>
        <v/>
      </c>
      <c r="L1037">
        <f>IF($N1037=1,$E1037*24+$I1037,"")</f>
        <v/>
      </c>
      <c r="M1037">
        <f>IF($N1037=1,$L1037+$K1037,"")</f>
        <v/>
      </c>
      <c r="N1037">
        <f>IF(ISNUMBER(SEARCH(" - ",$H1037&amp;"")),1,0)</f>
        <v/>
      </c>
      <c r="O1037">
        <f>IF(UPPER($H1037&amp;"")="LEAVE",1,0)</f>
        <v/>
      </c>
      <c r="P1037">
        <f>IF($N1037=1,$K1037,0)</f>
        <v/>
      </c>
      <c r="Q1037">
        <f>IF($N1037=0,"",IFERROR($L1037-LOOKUP(2,1/(($B$2:$B1036=$B1037)*($N$2:$N1036=1)),$M$2:$M1036),""))</f>
        <v/>
      </c>
    </row>
    <row r="1038">
      <c r="A1038" t="n">
        <v>1037</v>
      </c>
      <c r="B1038">
        <f>Schedule!$A$151</f>
        <v/>
      </c>
      <c r="C1038">
        <f>Schedule!$D$151</f>
        <v/>
      </c>
      <c r="D1038">
        <f>Schedule!$F$151</f>
        <v/>
      </c>
      <c r="E1038" t="n">
        <v>0</v>
      </c>
      <c r="F1038">
        <f>Schedule!$G$1</f>
        <v/>
      </c>
      <c r="G1038">
        <f>Schedule!$G$2</f>
        <v/>
      </c>
      <c r="H1038">
        <f>Schedule!$G$151</f>
        <v/>
      </c>
      <c r="I1038">
        <f>IF($N1038=1,VALUE(LEFT($H1038,2)),"")</f>
        <v/>
      </c>
      <c r="J1038">
        <f>IF($N1038=1,VALUE(MID($H1038,9,2)),"")</f>
        <v/>
      </c>
      <c r="K1038">
        <f>IF($N1038=1,MOD($J1038-$I1038,24),0)</f>
        <v/>
      </c>
      <c r="L1038">
        <f>IF($N1038=1,$E1038*24+$I1038,"")</f>
        <v/>
      </c>
      <c r="M1038">
        <f>IF($N1038=1,$L1038+$K1038,"")</f>
        <v/>
      </c>
      <c r="N1038">
        <f>IF(ISNUMBER(SEARCH(" - ",$H1038&amp;"")),1,0)</f>
        <v/>
      </c>
      <c r="O1038">
        <f>IF(UPPER($H1038&amp;"")="LEAVE",1,0)</f>
        <v/>
      </c>
      <c r="P1038">
        <f>IF($N1038=1,$K1038,0)</f>
        <v/>
      </c>
      <c r="Q1038">
        <f>IF($N1038=0,"",IFERROR($L1038-'Previous Engine'!$M$150,""))</f>
        <v/>
      </c>
    </row>
    <row r="1039">
      <c r="A1039" t="n">
        <v>1038</v>
      </c>
      <c r="B1039">
        <f>Schedule!$A$151</f>
        <v/>
      </c>
      <c r="C1039">
        <f>Schedule!$D$151</f>
        <v/>
      </c>
      <c r="D1039">
        <f>Schedule!$F$151</f>
        <v/>
      </c>
      <c r="E1039" t="n">
        <v>1</v>
      </c>
      <c r="F1039">
        <f>Schedule!$H$1</f>
        <v/>
      </c>
      <c r="G1039">
        <f>Schedule!$H$2</f>
        <v/>
      </c>
      <c r="H1039">
        <f>Schedule!$H$151</f>
        <v/>
      </c>
      <c r="I1039">
        <f>IF($N1039=1,VALUE(LEFT($H1039,2)),"")</f>
        <v/>
      </c>
      <c r="J1039">
        <f>IF($N1039=1,VALUE(MID($H1039,9,2)),"")</f>
        <v/>
      </c>
      <c r="K1039">
        <f>IF($N1039=1,MOD($J1039-$I1039,24),0)</f>
        <v/>
      </c>
      <c r="L1039">
        <f>IF($N1039=1,$E1039*24+$I1039,"")</f>
        <v/>
      </c>
      <c r="M1039">
        <f>IF($N1039=1,$L1039+$K1039,"")</f>
        <v/>
      </c>
      <c r="N1039">
        <f>IF(ISNUMBER(SEARCH(" - ",$H1039&amp;"")),1,0)</f>
        <v/>
      </c>
      <c r="O1039">
        <f>IF(UPPER($H1039&amp;"")="LEAVE",1,0)</f>
        <v/>
      </c>
      <c r="P1039">
        <f>IF($N1039=1,$K1039,0)</f>
        <v/>
      </c>
      <c r="Q1039">
        <f>IF($N1039=0,"",IFERROR($L1039-LOOKUP(2,1/(($B$2:$B1038=$B1039)*($N$2:$N1038=1)),$M$2:$M1038),""))</f>
        <v/>
      </c>
    </row>
    <row r="1040">
      <c r="A1040" t="n">
        <v>1039</v>
      </c>
      <c r="B1040">
        <f>Schedule!$A$151</f>
        <v/>
      </c>
      <c r="C1040">
        <f>Schedule!$D$151</f>
        <v/>
      </c>
      <c r="D1040">
        <f>Schedule!$F$151</f>
        <v/>
      </c>
      <c r="E1040" t="n">
        <v>2</v>
      </c>
      <c r="F1040">
        <f>Schedule!$I$1</f>
        <v/>
      </c>
      <c r="G1040">
        <f>Schedule!$I$2</f>
        <v/>
      </c>
      <c r="H1040">
        <f>Schedule!$I$151</f>
        <v/>
      </c>
      <c r="I1040">
        <f>IF($N1040=1,VALUE(LEFT($H1040,2)),"")</f>
        <v/>
      </c>
      <c r="J1040">
        <f>IF($N1040=1,VALUE(MID($H1040,9,2)),"")</f>
        <v/>
      </c>
      <c r="K1040">
        <f>IF($N1040=1,MOD($J1040-$I1040,24),0)</f>
        <v/>
      </c>
      <c r="L1040">
        <f>IF($N1040=1,$E1040*24+$I1040,"")</f>
        <v/>
      </c>
      <c r="M1040">
        <f>IF($N1040=1,$L1040+$K1040,"")</f>
        <v/>
      </c>
      <c r="N1040">
        <f>IF(ISNUMBER(SEARCH(" - ",$H1040&amp;"")),1,0)</f>
        <v/>
      </c>
      <c r="O1040">
        <f>IF(UPPER($H1040&amp;"")="LEAVE",1,0)</f>
        <v/>
      </c>
      <c r="P1040">
        <f>IF($N1040=1,$K1040,0)</f>
        <v/>
      </c>
      <c r="Q1040">
        <f>IF($N1040=0,"",IFERROR($L1040-LOOKUP(2,1/(($B$2:$B1039=$B1040)*($N$2:$N1039=1)),$M$2:$M1039),""))</f>
        <v/>
      </c>
    </row>
    <row r="1041">
      <c r="A1041" t="n">
        <v>1040</v>
      </c>
      <c r="B1041">
        <f>Schedule!$A$151</f>
        <v/>
      </c>
      <c r="C1041">
        <f>Schedule!$D$151</f>
        <v/>
      </c>
      <c r="D1041">
        <f>Schedule!$F$151</f>
        <v/>
      </c>
      <c r="E1041" t="n">
        <v>3</v>
      </c>
      <c r="F1041">
        <f>Schedule!$J$1</f>
        <v/>
      </c>
      <c r="G1041">
        <f>Schedule!$J$2</f>
        <v/>
      </c>
      <c r="H1041">
        <f>Schedule!$J$151</f>
        <v/>
      </c>
      <c r="I1041">
        <f>IF($N1041=1,VALUE(LEFT($H1041,2)),"")</f>
        <v/>
      </c>
      <c r="J1041">
        <f>IF($N1041=1,VALUE(MID($H1041,9,2)),"")</f>
        <v/>
      </c>
      <c r="K1041">
        <f>IF($N1041=1,MOD($J1041-$I1041,24),0)</f>
        <v/>
      </c>
      <c r="L1041">
        <f>IF($N1041=1,$E1041*24+$I1041,"")</f>
        <v/>
      </c>
      <c r="M1041">
        <f>IF($N1041=1,$L1041+$K1041,"")</f>
        <v/>
      </c>
      <c r="N1041">
        <f>IF(ISNUMBER(SEARCH(" - ",$H1041&amp;"")),1,0)</f>
        <v/>
      </c>
      <c r="O1041">
        <f>IF(UPPER($H1041&amp;"")="LEAVE",1,0)</f>
        <v/>
      </c>
      <c r="P1041">
        <f>IF($N1041=1,$K1041,0)</f>
        <v/>
      </c>
      <c r="Q1041">
        <f>IF($N1041=0,"",IFERROR($L1041-LOOKUP(2,1/(($B$2:$B1040=$B1041)*($N$2:$N1040=1)),$M$2:$M1040),""))</f>
        <v/>
      </c>
    </row>
    <row r="1042">
      <c r="A1042" t="n">
        <v>1041</v>
      </c>
      <c r="B1042">
        <f>Schedule!$A$151</f>
        <v/>
      </c>
      <c r="C1042">
        <f>Schedule!$D$151</f>
        <v/>
      </c>
      <c r="D1042">
        <f>Schedule!$F$151</f>
        <v/>
      </c>
      <c r="E1042" t="n">
        <v>4</v>
      </c>
      <c r="F1042">
        <f>Schedule!$K$1</f>
        <v/>
      </c>
      <c r="G1042">
        <f>Schedule!$K$2</f>
        <v/>
      </c>
      <c r="H1042">
        <f>Schedule!$K$151</f>
        <v/>
      </c>
      <c r="I1042">
        <f>IF($N1042=1,VALUE(LEFT($H1042,2)),"")</f>
        <v/>
      </c>
      <c r="J1042">
        <f>IF($N1042=1,VALUE(MID($H1042,9,2)),"")</f>
        <v/>
      </c>
      <c r="K1042">
        <f>IF($N1042=1,MOD($J1042-$I1042,24),0)</f>
        <v/>
      </c>
      <c r="L1042">
        <f>IF($N1042=1,$E1042*24+$I1042,"")</f>
        <v/>
      </c>
      <c r="M1042">
        <f>IF($N1042=1,$L1042+$K1042,"")</f>
        <v/>
      </c>
      <c r="N1042">
        <f>IF(ISNUMBER(SEARCH(" - ",$H1042&amp;"")),1,0)</f>
        <v/>
      </c>
      <c r="O1042">
        <f>IF(UPPER($H1042&amp;"")="LEAVE",1,0)</f>
        <v/>
      </c>
      <c r="P1042">
        <f>IF($N1042=1,$K1042,0)</f>
        <v/>
      </c>
      <c r="Q1042">
        <f>IF($N1042=0,"",IFERROR($L1042-LOOKUP(2,1/(($B$2:$B1041=$B1042)*($N$2:$N1041=1)),$M$2:$M1041),""))</f>
        <v/>
      </c>
    </row>
    <row r="1043">
      <c r="A1043" t="n">
        <v>1042</v>
      </c>
      <c r="B1043">
        <f>Schedule!$A$151</f>
        <v/>
      </c>
      <c r="C1043">
        <f>Schedule!$D$151</f>
        <v/>
      </c>
      <c r="D1043">
        <f>Schedule!$F$151</f>
        <v/>
      </c>
      <c r="E1043" t="n">
        <v>5</v>
      </c>
      <c r="F1043">
        <f>Schedule!$L$1</f>
        <v/>
      </c>
      <c r="G1043">
        <f>Schedule!$L$2</f>
        <v/>
      </c>
      <c r="H1043">
        <f>Schedule!$L$151</f>
        <v/>
      </c>
      <c r="I1043">
        <f>IF($N1043=1,VALUE(LEFT($H1043,2)),"")</f>
        <v/>
      </c>
      <c r="J1043">
        <f>IF($N1043=1,VALUE(MID($H1043,9,2)),"")</f>
        <v/>
      </c>
      <c r="K1043">
        <f>IF($N1043=1,MOD($J1043-$I1043,24),0)</f>
        <v/>
      </c>
      <c r="L1043">
        <f>IF($N1043=1,$E1043*24+$I1043,"")</f>
        <v/>
      </c>
      <c r="M1043">
        <f>IF($N1043=1,$L1043+$K1043,"")</f>
        <v/>
      </c>
      <c r="N1043">
        <f>IF(ISNUMBER(SEARCH(" - ",$H1043&amp;"")),1,0)</f>
        <v/>
      </c>
      <c r="O1043">
        <f>IF(UPPER($H1043&amp;"")="LEAVE",1,0)</f>
        <v/>
      </c>
      <c r="P1043">
        <f>IF($N1043=1,$K1043,0)</f>
        <v/>
      </c>
      <c r="Q1043">
        <f>IF($N1043=0,"",IFERROR($L1043-LOOKUP(2,1/(($B$2:$B1042=$B1043)*($N$2:$N1042=1)),$M$2:$M1042),""))</f>
        <v/>
      </c>
    </row>
    <row r="1044">
      <c r="A1044" t="n">
        <v>1043</v>
      </c>
      <c r="B1044">
        <f>Schedule!$A$151</f>
        <v/>
      </c>
      <c r="C1044">
        <f>Schedule!$D$151</f>
        <v/>
      </c>
      <c r="D1044">
        <f>Schedule!$F$151</f>
        <v/>
      </c>
      <c r="E1044" t="n">
        <v>6</v>
      </c>
      <c r="F1044">
        <f>Schedule!$M$1</f>
        <v/>
      </c>
      <c r="G1044">
        <f>Schedule!$M$2</f>
        <v/>
      </c>
      <c r="H1044">
        <f>Schedule!$M$151</f>
        <v/>
      </c>
      <c r="I1044">
        <f>IF($N1044=1,VALUE(LEFT($H1044,2)),"")</f>
        <v/>
      </c>
      <c r="J1044">
        <f>IF($N1044=1,VALUE(MID($H1044,9,2)),"")</f>
        <v/>
      </c>
      <c r="K1044">
        <f>IF($N1044=1,MOD($J1044-$I1044,24),0)</f>
        <v/>
      </c>
      <c r="L1044">
        <f>IF($N1044=1,$E1044*24+$I1044,"")</f>
        <v/>
      </c>
      <c r="M1044">
        <f>IF($N1044=1,$L1044+$K1044,"")</f>
        <v/>
      </c>
      <c r="N1044">
        <f>IF(ISNUMBER(SEARCH(" - ",$H1044&amp;"")),1,0)</f>
        <v/>
      </c>
      <c r="O1044">
        <f>IF(UPPER($H1044&amp;"")="LEAVE",1,0)</f>
        <v/>
      </c>
      <c r="P1044">
        <f>IF($N1044=1,$K1044,0)</f>
        <v/>
      </c>
      <c r="Q1044">
        <f>IF($N1044=0,"",IFERROR($L1044-LOOKUP(2,1/(($B$2:$B1043=$B1044)*($N$2:$N1043=1)),$M$2:$M1043),""))</f>
        <v/>
      </c>
    </row>
    <row r="1045">
      <c r="A1045" t="n">
        <v>1044</v>
      </c>
      <c r="B1045">
        <f>Schedule!$A$152</f>
        <v/>
      </c>
      <c r="C1045">
        <f>Schedule!$D$152</f>
        <v/>
      </c>
      <c r="D1045">
        <f>Schedule!$F$152</f>
        <v/>
      </c>
      <c r="E1045" t="n">
        <v>0</v>
      </c>
      <c r="F1045">
        <f>Schedule!$G$1</f>
        <v/>
      </c>
      <c r="G1045">
        <f>Schedule!$G$2</f>
        <v/>
      </c>
      <c r="H1045">
        <f>Schedule!$G$152</f>
        <v/>
      </c>
      <c r="I1045">
        <f>IF($N1045=1,VALUE(LEFT($H1045,2)),"")</f>
        <v/>
      </c>
      <c r="J1045">
        <f>IF($N1045=1,VALUE(MID($H1045,9,2)),"")</f>
        <v/>
      </c>
      <c r="K1045">
        <f>IF($N1045=1,MOD($J1045-$I1045,24),0)</f>
        <v/>
      </c>
      <c r="L1045">
        <f>IF($N1045=1,$E1045*24+$I1045,"")</f>
        <v/>
      </c>
      <c r="M1045">
        <f>IF($N1045=1,$L1045+$K1045,"")</f>
        <v/>
      </c>
      <c r="N1045">
        <f>IF(ISNUMBER(SEARCH(" - ",$H1045&amp;"")),1,0)</f>
        <v/>
      </c>
      <c r="O1045">
        <f>IF(UPPER($H1045&amp;"")="LEAVE",1,0)</f>
        <v/>
      </c>
      <c r="P1045">
        <f>IF($N1045=1,$K1045,0)</f>
        <v/>
      </c>
      <c r="Q1045">
        <f>IF($N1045=0,"",IFERROR($L1045-'Previous Engine'!$M$151,""))</f>
        <v/>
      </c>
    </row>
    <row r="1046">
      <c r="A1046" t="n">
        <v>1045</v>
      </c>
      <c r="B1046">
        <f>Schedule!$A$152</f>
        <v/>
      </c>
      <c r="C1046">
        <f>Schedule!$D$152</f>
        <v/>
      </c>
      <c r="D1046">
        <f>Schedule!$F$152</f>
        <v/>
      </c>
      <c r="E1046" t="n">
        <v>1</v>
      </c>
      <c r="F1046">
        <f>Schedule!$H$1</f>
        <v/>
      </c>
      <c r="G1046">
        <f>Schedule!$H$2</f>
        <v/>
      </c>
      <c r="H1046">
        <f>Schedule!$H$152</f>
        <v/>
      </c>
      <c r="I1046">
        <f>IF($N1046=1,VALUE(LEFT($H1046,2)),"")</f>
        <v/>
      </c>
      <c r="J1046">
        <f>IF($N1046=1,VALUE(MID($H1046,9,2)),"")</f>
        <v/>
      </c>
      <c r="K1046">
        <f>IF($N1046=1,MOD($J1046-$I1046,24),0)</f>
        <v/>
      </c>
      <c r="L1046">
        <f>IF($N1046=1,$E1046*24+$I1046,"")</f>
        <v/>
      </c>
      <c r="M1046">
        <f>IF($N1046=1,$L1046+$K1046,"")</f>
        <v/>
      </c>
      <c r="N1046">
        <f>IF(ISNUMBER(SEARCH(" - ",$H1046&amp;"")),1,0)</f>
        <v/>
      </c>
      <c r="O1046">
        <f>IF(UPPER($H1046&amp;"")="LEAVE",1,0)</f>
        <v/>
      </c>
      <c r="P1046">
        <f>IF($N1046=1,$K1046,0)</f>
        <v/>
      </c>
      <c r="Q1046">
        <f>IF($N1046=0,"",IFERROR($L1046-LOOKUP(2,1/(($B$2:$B1045=$B1046)*($N$2:$N1045=1)),$M$2:$M1045),""))</f>
        <v/>
      </c>
    </row>
    <row r="1047">
      <c r="A1047" t="n">
        <v>1046</v>
      </c>
      <c r="B1047">
        <f>Schedule!$A$152</f>
        <v/>
      </c>
      <c r="C1047">
        <f>Schedule!$D$152</f>
        <v/>
      </c>
      <c r="D1047">
        <f>Schedule!$F$152</f>
        <v/>
      </c>
      <c r="E1047" t="n">
        <v>2</v>
      </c>
      <c r="F1047">
        <f>Schedule!$I$1</f>
        <v/>
      </c>
      <c r="G1047">
        <f>Schedule!$I$2</f>
        <v/>
      </c>
      <c r="H1047">
        <f>Schedule!$I$152</f>
        <v/>
      </c>
      <c r="I1047">
        <f>IF($N1047=1,VALUE(LEFT($H1047,2)),"")</f>
        <v/>
      </c>
      <c r="J1047">
        <f>IF($N1047=1,VALUE(MID($H1047,9,2)),"")</f>
        <v/>
      </c>
      <c r="K1047">
        <f>IF($N1047=1,MOD($J1047-$I1047,24),0)</f>
        <v/>
      </c>
      <c r="L1047">
        <f>IF($N1047=1,$E1047*24+$I1047,"")</f>
        <v/>
      </c>
      <c r="M1047">
        <f>IF($N1047=1,$L1047+$K1047,"")</f>
        <v/>
      </c>
      <c r="N1047">
        <f>IF(ISNUMBER(SEARCH(" - ",$H1047&amp;"")),1,0)</f>
        <v/>
      </c>
      <c r="O1047">
        <f>IF(UPPER($H1047&amp;"")="LEAVE",1,0)</f>
        <v/>
      </c>
      <c r="P1047">
        <f>IF($N1047=1,$K1047,0)</f>
        <v/>
      </c>
      <c r="Q1047">
        <f>IF($N1047=0,"",IFERROR($L1047-LOOKUP(2,1/(($B$2:$B1046=$B1047)*($N$2:$N1046=1)),$M$2:$M1046),""))</f>
        <v/>
      </c>
    </row>
    <row r="1048">
      <c r="A1048" t="n">
        <v>1047</v>
      </c>
      <c r="B1048">
        <f>Schedule!$A$152</f>
        <v/>
      </c>
      <c r="C1048">
        <f>Schedule!$D$152</f>
        <v/>
      </c>
      <c r="D1048">
        <f>Schedule!$F$152</f>
        <v/>
      </c>
      <c r="E1048" t="n">
        <v>3</v>
      </c>
      <c r="F1048">
        <f>Schedule!$J$1</f>
        <v/>
      </c>
      <c r="G1048">
        <f>Schedule!$J$2</f>
        <v/>
      </c>
      <c r="H1048">
        <f>Schedule!$J$152</f>
        <v/>
      </c>
      <c r="I1048">
        <f>IF($N1048=1,VALUE(LEFT($H1048,2)),"")</f>
        <v/>
      </c>
      <c r="J1048">
        <f>IF($N1048=1,VALUE(MID($H1048,9,2)),"")</f>
        <v/>
      </c>
      <c r="K1048">
        <f>IF($N1048=1,MOD($J1048-$I1048,24),0)</f>
        <v/>
      </c>
      <c r="L1048">
        <f>IF($N1048=1,$E1048*24+$I1048,"")</f>
        <v/>
      </c>
      <c r="M1048">
        <f>IF($N1048=1,$L1048+$K1048,"")</f>
        <v/>
      </c>
      <c r="N1048">
        <f>IF(ISNUMBER(SEARCH(" - ",$H1048&amp;"")),1,0)</f>
        <v/>
      </c>
      <c r="O1048">
        <f>IF(UPPER($H1048&amp;"")="LEAVE",1,0)</f>
        <v/>
      </c>
      <c r="P1048">
        <f>IF($N1048=1,$K1048,0)</f>
        <v/>
      </c>
      <c r="Q1048">
        <f>IF($N1048=0,"",IFERROR($L1048-LOOKUP(2,1/(($B$2:$B1047=$B1048)*($N$2:$N1047=1)),$M$2:$M1047),""))</f>
        <v/>
      </c>
    </row>
    <row r="1049">
      <c r="A1049" t="n">
        <v>1048</v>
      </c>
      <c r="B1049">
        <f>Schedule!$A$152</f>
        <v/>
      </c>
      <c r="C1049">
        <f>Schedule!$D$152</f>
        <v/>
      </c>
      <c r="D1049">
        <f>Schedule!$F$152</f>
        <v/>
      </c>
      <c r="E1049" t="n">
        <v>4</v>
      </c>
      <c r="F1049">
        <f>Schedule!$K$1</f>
        <v/>
      </c>
      <c r="G1049">
        <f>Schedule!$K$2</f>
        <v/>
      </c>
      <c r="H1049">
        <f>Schedule!$K$152</f>
        <v/>
      </c>
      <c r="I1049">
        <f>IF($N1049=1,VALUE(LEFT($H1049,2)),"")</f>
        <v/>
      </c>
      <c r="J1049">
        <f>IF($N1049=1,VALUE(MID($H1049,9,2)),"")</f>
        <v/>
      </c>
      <c r="K1049">
        <f>IF($N1049=1,MOD($J1049-$I1049,24),0)</f>
        <v/>
      </c>
      <c r="L1049">
        <f>IF($N1049=1,$E1049*24+$I1049,"")</f>
        <v/>
      </c>
      <c r="M1049">
        <f>IF($N1049=1,$L1049+$K1049,"")</f>
        <v/>
      </c>
      <c r="N1049">
        <f>IF(ISNUMBER(SEARCH(" - ",$H1049&amp;"")),1,0)</f>
        <v/>
      </c>
      <c r="O1049">
        <f>IF(UPPER($H1049&amp;"")="LEAVE",1,0)</f>
        <v/>
      </c>
      <c r="P1049">
        <f>IF($N1049=1,$K1049,0)</f>
        <v/>
      </c>
      <c r="Q1049">
        <f>IF($N1049=0,"",IFERROR($L1049-LOOKUP(2,1/(($B$2:$B1048=$B1049)*($N$2:$N1048=1)),$M$2:$M1048),""))</f>
        <v/>
      </c>
    </row>
    <row r="1050">
      <c r="A1050" t="n">
        <v>1049</v>
      </c>
      <c r="B1050">
        <f>Schedule!$A$152</f>
        <v/>
      </c>
      <c r="C1050">
        <f>Schedule!$D$152</f>
        <v/>
      </c>
      <c r="D1050">
        <f>Schedule!$F$152</f>
        <v/>
      </c>
      <c r="E1050" t="n">
        <v>5</v>
      </c>
      <c r="F1050">
        <f>Schedule!$L$1</f>
        <v/>
      </c>
      <c r="G1050">
        <f>Schedule!$L$2</f>
        <v/>
      </c>
      <c r="H1050">
        <f>Schedule!$L$152</f>
        <v/>
      </c>
      <c r="I1050">
        <f>IF($N1050=1,VALUE(LEFT($H1050,2)),"")</f>
        <v/>
      </c>
      <c r="J1050">
        <f>IF($N1050=1,VALUE(MID($H1050,9,2)),"")</f>
        <v/>
      </c>
      <c r="K1050">
        <f>IF($N1050=1,MOD($J1050-$I1050,24),0)</f>
        <v/>
      </c>
      <c r="L1050">
        <f>IF($N1050=1,$E1050*24+$I1050,"")</f>
        <v/>
      </c>
      <c r="M1050">
        <f>IF($N1050=1,$L1050+$K1050,"")</f>
        <v/>
      </c>
      <c r="N1050">
        <f>IF(ISNUMBER(SEARCH(" - ",$H1050&amp;"")),1,0)</f>
        <v/>
      </c>
      <c r="O1050">
        <f>IF(UPPER($H1050&amp;"")="LEAVE",1,0)</f>
        <v/>
      </c>
      <c r="P1050">
        <f>IF($N1050=1,$K1050,0)</f>
        <v/>
      </c>
      <c r="Q1050">
        <f>IF($N1050=0,"",IFERROR($L1050-LOOKUP(2,1/(($B$2:$B1049=$B1050)*($N$2:$N1049=1)),$M$2:$M1049),""))</f>
        <v/>
      </c>
    </row>
    <row r="1051">
      <c r="A1051" t="n">
        <v>1050</v>
      </c>
      <c r="B1051">
        <f>Schedule!$A$152</f>
        <v/>
      </c>
      <c r="C1051">
        <f>Schedule!$D$152</f>
        <v/>
      </c>
      <c r="D1051">
        <f>Schedule!$F$152</f>
        <v/>
      </c>
      <c r="E1051" t="n">
        <v>6</v>
      </c>
      <c r="F1051">
        <f>Schedule!$M$1</f>
        <v/>
      </c>
      <c r="G1051">
        <f>Schedule!$M$2</f>
        <v/>
      </c>
      <c r="H1051">
        <f>Schedule!$M$152</f>
        <v/>
      </c>
      <c r="I1051">
        <f>IF($N1051=1,VALUE(LEFT($H1051,2)),"")</f>
        <v/>
      </c>
      <c r="J1051">
        <f>IF($N1051=1,VALUE(MID($H1051,9,2)),"")</f>
        <v/>
      </c>
      <c r="K1051">
        <f>IF($N1051=1,MOD($J1051-$I1051,24),0)</f>
        <v/>
      </c>
      <c r="L1051">
        <f>IF($N1051=1,$E1051*24+$I1051,"")</f>
        <v/>
      </c>
      <c r="M1051">
        <f>IF($N1051=1,$L1051+$K1051,"")</f>
        <v/>
      </c>
      <c r="N1051">
        <f>IF(ISNUMBER(SEARCH(" - ",$H1051&amp;"")),1,0)</f>
        <v/>
      </c>
      <c r="O1051">
        <f>IF(UPPER($H1051&amp;"")="LEAVE",1,0)</f>
        <v/>
      </c>
      <c r="P1051">
        <f>IF($N1051=1,$K1051,0)</f>
        <v/>
      </c>
      <c r="Q1051">
        <f>IF($N1051=0,"",IFERROR($L1051-LOOKUP(2,1/(($B$2:$B1050=$B1051)*($N$2:$N1050=1)),$M$2:$M1050),""))</f>
        <v/>
      </c>
    </row>
    <row r="1052">
      <c r="A1052" t="n">
        <v>1051</v>
      </c>
      <c r="B1052">
        <f>Schedule!$A$153</f>
        <v/>
      </c>
      <c r="C1052">
        <f>Schedule!$D$153</f>
        <v/>
      </c>
      <c r="D1052">
        <f>Schedule!$F$153</f>
        <v/>
      </c>
      <c r="E1052" t="n">
        <v>0</v>
      </c>
      <c r="F1052">
        <f>Schedule!$G$1</f>
        <v/>
      </c>
      <c r="G1052">
        <f>Schedule!$G$2</f>
        <v/>
      </c>
      <c r="H1052">
        <f>Schedule!$G$153</f>
        <v/>
      </c>
      <c r="I1052">
        <f>IF($N1052=1,VALUE(LEFT($H1052,2)),"")</f>
        <v/>
      </c>
      <c r="J1052">
        <f>IF($N1052=1,VALUE(MID($H1052,9,2)),"")</f>
        <v/>
      </c>
      <c r="K1052">
        <f>IF($N1052=1,MOD($J1052-$I1052,24),0)</f>
        <v/>
      </c>
      <c r="L1052">
        <f>IF($N1052=1,$E1052*24+$I1052,"")</f>
        <v/>
      </c>
      <c r="M1052">
        <f>IF($N1052=1,$L1052+$K1052,"")</f>
        <v/>
      </c>
      <c r="N1052">
        <f>IF(ISNUMBER(SEARCH(" - ",$H1052&amp;"")),1,0)</f>
        <v/>
      </c>
      <c r="O1052">
        <f>IF(UPPER($H1052&amp;"")="LEAVE",1,0)</f>
        <v/>
      </c>
      <c r="P1052">
        <f>IF($N1052=1,$K1052,0)</f>
        <v/>
      </c>
      <c r="Q1052">
        <f>IF($N1052=0,"",IFERROR($L1052-'Previous Engine'!$M$152,""))</f>
        <v/>
      </c>
    </row>
    <row r="1053">
      <c r="A1053" t="n">
        <v>1052</v>
      </c>
      <c r="B1053">
        <f>Schedule!$A$153</f>
        <v/>
      </c>
      <c r="C1053">
        <f>Schedule!$D$153</f>
        <v/>
      </c>
      <c r="D1053">
        <f>Schedule!$F$153</f>
        <v/>
      </c>
      <c r="E1053" t="n">
        <v>1</v>
      </c>
      <c r="F1053">
        <f>Schedule!$H$1</f>
        <v/>
      </c>
      <c r="G1053">
        <f>Schedule!$H$2</f>
        <v/>
      </c>
      <c r="H1053">
        <f>Schedule!$H$153</f>
        <v/>
      </c>
      <c r="I1053">
        <f>IF($N1053=1,VALUE(LEFT($H1053,2)),"")</f>
        <v/>
      </c>
      <c r="J1053">
        <f>IF($N1053=1,VALUE(MID($H1053,9,2)),"")</f>
        <v/>
      </c>
      <c r="K1053">
        <f>IF($N1053=1,MOD($J1053-$I1053,24),0)</f>
        <v/>
      </c>
      <c r="L1053">
        <f>IF($N1053=1,$E1053*24+$I1053,"")</f>
        <v/>
      </c>
      <c r="M1053">
        <f>IF($N1053=1,$L1053+$K1053,"")</f>
        <v/>
      </c>
      <c r="N1053">
        <f>IF(ISNUMBER(SEARCH(" - ",$H1053&amp;"")),1,0)</f>
        <v/>
      </c>
      <c r="O1053">
        <f>IF(UPPER($H1053&amp;"")="LEAVE",1,0)</f>
        <v/>
      </c>
      <c r="P1053">
        <f>IF($N1053=1,$K1053,0)</f>
        <v/>
      </c>
      <c r="Q1053">
        <f>IF($N1053=0,"",IFERROR($L1053-LOOKUP(2,1/(($B$2:$B1052=$B1053)*($N$2:$N1052=1)),$M$2:$M1052),""))</f>
        <v/>
      </c>
    </row>
    <row r="1054">
      <c r="A1054" t="n">
        <v>1053</v>
      </c>
      <c r="B1054">
        <f>Schedule!$A$153</f>
        <v/>
      </c>
      <c r="C1054">
        <f>Schedule!$D$153</f>
        <v/>
      </c>
      <c r="D1054">
        <f>Schedule!$F$153</f>
        <v/>
      </c>
      <c r="E1054" t="n">
        <v>2</v>
      </c>
      <c r="F1054">
        <f>Schedule!$I$1</f>
        <v/>
      </c>
      <c r="G1054">
        <f>Schedule!$I$2</f>
        <v/>
      </c>
      <c r="H1054">
        <f>Schedule!$I$153</f>
        <v/>
      </c>
      <c r="I1054">
        <f>IF($N1054=1,VALUE(LEFT($H1054,2)),"")</f>
        <v/>
      </c>
      <c r="J1054">
        <f>IF($N1054=1,VALUE(MID($H1054,9,2)),"")</f>
        <v/>
      </c>
      <c r="K1054">
        <f>IF($N1054=1,MOD($J1054-$I1054,24),0)</f>
        <v/>
      </c>
      <c r="L1054">
        <f>IF($N1054=1,$E1054*24+$I1054,"")</f>
        <v/>
      </c>
      <c r="M1054">
        <f>IF($N1054=1,$L1054+$K1054,"")</f>
        <v/>
      </c>
      <c r="N1054">
        <f>IF(ISNUMBER(SEARCH(" - ",$H1054&amp;"")),1,0)</f>
        <v/>
      </c>
      <c r="O1054">
        <f>IF(UPPER($H1054&amp;"")="LEAVE",1,0)</f>
        <v/>
      </c>
      <c r="P1054">
        <f>IF($N1054=1,$K1054,0)</f>
        <v/>
      </c>
      <c r="Q1054">
        <f>IF($N1054=0,"",IFERROR($L1054-LOOKUP(2,1/(($B$2:$B1053=$B1054)*($N$2:$N1053=1)),$M$2:$M1053),""))</f>
        <v/>
      </c>
    </row>
    <row r="1055">
      <c r="A1055" t="n">
        <v>1054</v>
      </c>
      <c r="B1055">
        <f>Schedule!$A$153</f>
        <v/>
      </c>
      <c r="C1055">
        <f>Schedule!$D$153</f>
        <v/>
      </c>
      <c r="D1055">
        <f>Schedule!$F$153</f>
        <v/>
      </c>
      <c r="E1055" t="n">
        <v>3</v>
      </c>
      <c r="F1055">
        <f>Schedule!$J$1</f>
        <v/>
      </c>
      <c r="G1055">
        <f>Schedule!$J$2</f>
        <v/>
      </c>
      <c r="H1055">
        <f>Schedule!$J$153</f>
        <v/>
      </c>
      <c r="I1055">
        <f>IF($N1055=1,VALUE(LEFT($H1055,2)),"")</f>
        <v/>
      </c>
      <c r="J1055">
        <f>IF($N1055=1,VALUE(MID($H1055,9,2)),"")</f>
        <v/>
      </c>
      <c r="K1055">
        <f>IF($N1055=1,MOD($J1055-$I1055,24),0)</f>
        <v/>
      </c>
      <c r="L1055">
        <f>IF($N1055=1,$E1055*24+$I1055,"")</f>
        <v/>
      </c>
      <c r="M1055">
        <f>IF($N1055=1,$L1055+$K1055,"")</f>
        <v/>
      </c>
      <c r="N1055">
        <f>IF(ISNUMBER(SEARCH(" - ",$H1055&amp;"")),1,0)</f>
        <v/>
      </c>
      <c r="O1055">
        <f>IF(UPPER($H1055&amp;"")="LEAVE",1,0)</f>
        <v/>
      </c>
      <c r="P1055">
        <f>IF($N1055=1,$K1055,0)</f>
        <v/>
      </c>
      <c r="Q1055">
        <f>IF($N1055=0,"",IFERROR($L1055-LOOKUP(2,1/(($B$2:$B1054=$B1055)*($N$2:$N1054=1)),$M$2:$M1054),""))</f>
        <v/>
      </c>
    </row>
    <row r="1056">
      <c r="A1056" t="n">
        <v>1055</v>
      </c>
      <c r="B1056">
        <f>Schedule!$A$153</f>
        <v/>
      </c>
      <c r="C1056">
        <f>Schedule!$D$153</f>
        <v/>
      </c>
      <c r="D1056">
        <f>Schedule!$F$153</f>
        <v/>
      </c>
      <c r="E1056" t="n">
        <v>4</v>
      </c>
      <c r="F1056">
        <f>Schedule!$K$1</f>
        <v/>
      </c>
      <c r="G1056">
        <f>Schedule!$K$2</f>
        <v/>
      </c>
      <c r="H1056">
        <f>Schedule!$K$153</f>
        <v/>
      </c>
      <c r="I1056">
        <f>IF($N1056=1,VALUE(LEFT($H1056,2)),"")</f>
        <v/>
      </c>
      <c r="J1056">
        <f>IF($N1056=1,VALUE(MID($H1056,9,2)),"")</f>
        <v/>
      </c>
      <c r="K1056">
        <f>IF($N1056=1,MOD($J1056-$I1056,24),0)</f>
        <v/>
      </c>
      <c r="L1056">
        <f>IF($N1056=1,$E1056*24+$I1056,"")</f>
        <v/>
      </c>
      <c r="M1056">
        <f>IF($N1056=1,$L1056+$K1056,"")</f>
        <v/>
      </c>
      <c r="N1056">
        <f>IF(ISNUMBER(SEARCH(" - ",$H1056&amp;"")),1,0)</f>
        <v/>
      </c>
      <c r="O1056">
        <f>IF(UPPER($H1056&amp;"")="LEAVE",1,0)</f>
        <v/>
      </c>
      <c r="P1056">
        <f>IF($N1056=1,$K1056,0)</f>
        <v/>
      </c>
      <c r="Q1056">
        <f>IF($N1056=0,"",IFERROR($L1056-LOOKUP(2,1/(($B$2:$B1055=$B1056)*($N$2:$N1055=1)),$M$2:$M1055),""))</f>
        <v/>
      </c>
    </row>
    <row r="1057">
      <c r="A1057" t="n">
        <v>1056</v>
      </c>
      <c r="B1057">
        <f>Schedule!$A$153</f>
        <v/>
      </c>
      <c r="C1057">
        <f>Schedule!$D$153</f>
        <v/>
      </c>
      <c r="D1057">
        <f>Schedule!$F$153</f>
        <v/>
      </c>
      <c r="E1057" t="n">
        <v>5</v>
      </c>
      <c r="F1057">
        <f>Schedule!$L$1</f>
        <v/>
      </c>
      <c r="G1057">
        <f>Schedule!$L$2</f>
        <v/>
      </c>
      <c r="H1057">
        <f>Schedule!$L$153</f>
        <v/>
      </c>
      <c r="I1057">
        <f>IF($N1057=1,VALUE(LEFT($H1057,2)),"")</f>
        <v/>
      </c>
      <c r="J1057">
        <f>IF($N1057=1,VALUE(MID($H1057,9,2)),"")</f>
        <v/>
      </c>
      <c r="K1057">
        <f>IF($N1057=1,MOD($J1057-$I1057,24),0)</f>
        <v/>
      </c>
      <c r="L1057">
        <f>IF($N1057=1,$E1057*24+$I1057,"")</f>
        <v/>
      </c>
      <c r="M1057">
        <f>IF($N1057=1,$L1057+$K1057,"")</f>
        <v/>
      </c>
      <c r="N1057">
        <f>IF(ISNUMBER(SEARCH(" - ",$H1057&amp;"")),1,0)</f>
        <v/>
      </c>
      <c r="O1057">
        <f>IF(UPPER($H1057&amp;"")="LEAVE",1,0)</f>
        <v/>
      </c>
      <c r="P1057">
        <f>IF($N1057=1,$K1057,0)</f>
        <v/>
      </c>
      <c r="Q1057">
        <f>IF($N1057=0,"",IFERROR($L1057-LOOKUP(2,1/(($B$2:$B1056=$B1057)*($N$2:$N1056=1)),$M$2:$M1056),""))</f>
        <v/>
      </c>
    </row>
    <row r="1058">
      <c r="A1058" t="n">
        <v>1057</v>
      </c>
      <c r="B1058">
        <f>Schedule!$A$153</f>
        <v/>
      </c>
      <c r="C1058">
        <f>Schedule!$D$153</f>
        <v/>
      </c>
      <c r="D1058">
        <f>Schedule!$F$153</f>
        <v/>
      </c>
      <c r="E1058" t="n">
        <v>6</v>
      </c>
      <c r="F1058">
        <f>Schedule!$M$1</f>
        <v/>
      </c>
      <c r="G1058">
        <f>Schedule!$M$2</f>
        <v/>
      </c>
      <c r="H1058">
        <f>Schedule!$M$153</f>
        <v/>
      </c>
      <c r="I1058">
        <f>IF($N1058=1,VALUE(LEFT($H1058,2)),"")</f>
        <v/>
      </c>
      <c r="J1058">
        <f>IF($N1058=1,VALUE(MID($H1058,9,2)),"")</f>
        <v/>
      </c>
      <c r="K1058">
        <f>IF($N1058=1,MOD($J1058-$I1058,24),0)</f>
        <v/>
      </c>
      <c r="L1058">
        <f>IF($N1058=1,$E1058*24+$I1058,"")</f>
        <v/>
      </c>
      <c r="M1058">
        <f>IF($N1058=1,$L1058+$K1058,"")</f>
        <v/>
      </c>
      <c r="N1058">
        <f>IF(ISNUMBER(SEARCH(" - ",$H1058&amp;"")),1,0)</f>
        <v/>
      </c>
      <c r="O1058">
        <f>IF(UPPER($H1058&amp;"")="LEAVE",1,0)</f>
        <v/>
      </c>
      <c r="P1058">
        <f>IF($N1058=1,$K1058,0)</f>
        <v/>
      </c>
      <c r="Q1058">
        <f>IF($N1058=0,"",IFERROR($L1058-LOOKUP(2,1/(($B$2:$B1057=$B1058)*($N$2:$N1057=1)),$M$2:$M1057),""))</f>
        <v/>
      </c>
    </row>
    <row r="1059">
      <c r="A1059" t="n">
        <v>1058</v>
      </c>
      <c r="B1059">
        <f>Schedule!$A$154</f>
        <v/>
      </c>
      <c r="C1059">
        <f>Schedule!$D$154</f>
        <v/>
      </c>
      <c r="D1059">
        <f>Schedule!$F$154</f>
        <v/>
      </c>
      <c r="E1059" t="n">
        <v>0</v>
      </c>
      <c r="F1059">
        <f>Schedule!$G$1</f>
        <v/>
      </c>
      <c r="G1059">
        <f>Schedule!$G$2</f>
        <v/>
      </c>
      <c r="H1059">
        <f>Schedule!$G$154</f>
        <v/>
      </c>
      <c r="I1059">
        <f>IF($N1059=1,VALUE(LEFT($H1059,2)),"")</f>
        <v/>
      </c>
      <c r="J1059">
        <f>IF($N1059=1,VALUE(MID($H1059,9,2)),"")</f>
        <v/>
      </c>
      <c r="K1059">
        <f>IF($N1059=1,MOD($J1059-$I1059,24),0)</f>
        <v/>
      </c>
      <c r="L1059">
        <f>IF($N1059=1,$E1059*24+$I1059,"")</f>
        <v/>
      </c>
      <c r="M1059">
        <f>IF($N1059=1,$L1059+$K1059,"")</f>
        <v/>
      </c>
      <c r="N1059">
        <f>IF(ISNUMBER(SEARCH(" - ",$H1059&amp;"")),1,0)</f>
        <v/>
      </c>
      <c r="O1059">
        <f>IF(UPPER($H1059&amp;"")="LEAVE",1,0)</f>
        <v/>
      </c>
      <c r="P1059">
        <f>IF($N1059=1,$K1059,0)</f>
        <v/>
      </c>
      <c r="Q1059">
        <f>IF($N1059=0,"",IFERROR($L1059-'Previous Engine'!$M$153,""))</f>
        <v/>
      </c>
    </row>
    <row r="1060">
      <c r="A1060" t="n">
        <v>1059</v>
      </c>
      <c r="B1060">
        <f>Schedule!$A$154</f>
        <v/>
      </c>
      <c r="C1060">
        <f>Schedule!$D$154</f>
        <v/>
      </c>
      <c r="D1060">
        <f>Schedule!$F$154</f>
        <v/>
      </c>
      <c r="E1060" t="n">
        <v>1</v>
      </c>
      <c r="F1060">
        <f>Schedule!$H$1</f>
        <v/>
      </c>
      <c r="G1060">
        <f>Schedule!$H$2</f>
        <v/>
      </c>
      <c r="H1060">
        <f>Schedule!$H$154</f>
        <v/>
      </c>
      <c r="I1060">
        <f>IF($N1060=1,VALUE(LEFT($H1060,2)),"")</f>
        <v/>
      </c>
      <c r="J1060">
        <f>IF($N1060=1,VALUE(MID($H1060,9,2)),"")</f>
        <v/>
      </c>
      <c r="K1060">
        <f>IF($N1060=1,MOD($J1060-$I1060,24),0)</f>
        <v/>
      </c>
      <c r="L1060">
        <f>IF($N1060=1,$E1060*24+$I1060,"")</f>
        <v/>
      </c>
      <c r="M1060">
        <f>IF($N1060=1,$L1060+$K1060,"")</f>
        <v/>
      </c>
      <c r="N1060">
        <f>IF(ISNUMBER(SEARCH(" - ",$H1060&amp;"")),1,0)</f>
        <v/>
      </c>
      <c r="O1060">
        <f>IF(UPPER($H1060&amp;"")="LEAVE",1,0)</f>
        <v/>
      </c>
      <c r="P1060">
        <f>IF($N1060=1,$K1060,0)</f>
        <v/>
      </c>
      <c r="Q1060">
        <f>IF($N1060=0,"",IFERROR($L1060-LOOKUP(2,1/(($B$2:$B1059=$B1060)*($N$2:$N1059=1)),$M$2:$M1059),""))</f>
        <v/>
      </c>
    </row>
    <row r="1061">
      <c r="A1061" t="n">
        <v>1060</v>
      </c>
      <c r="B1061">
        <f>Schedule!$A$154</f>
        <v/>
      </c>
      <c r="C1061">
        <f>Schedule!$D$154</f>
        <v/>
      </c>
      <c r="D1061">
        <f>Schedule!$F$154</f>
        <v/>
      </c>
      <c r="E1061" t="n">
        <v>2</v>
      </c>
      <c r="F1061">
        <f>Schedule!$I$1</f>
        <v/>
      </c>
      <c r="G1061">
        <f>Schedule!$I$2</f>
        <v/>
      </c>
      <c r="H1061">
        <f>Schedule!$I$154</f>
        <v/>
      </c>
      <c r="I1061">
        <f>IF($N1061=1,VALUE(LEFT($H1061,2)),"")</f>
        <v/>
      </c>
      <c r="J1061">
        <f>IF($N1061=1,VALUE(MID($H1061,9,2)),"")</f>
        <v/>
      </c>
      <c r="K1061">
        <f>IF($N1061=1,MOD($J1061-$I1061,24),0)</f>
        <v/>
      </c>
      <c r="L1061">
        <f>IF($N1061=1,$E1061*24+$I1061,"")</f>
        <v/>
      </c>
      <c r="M1061">
        <f>IF($N1061=1,$L1061+$K1061,"")</f>
        <v/>
      </c>
      <c r="N1061">
        <f>IF(ISNUMBER(SEARCH(" - ",$H1061&amp;"")),1,0)</f>
        <v/>
      </c>
      <c r="O1061">
        <f>IF(UPPER($H1061&amp;"")="LEAVE",1,0)</f>
        <v/>
      </c>
      <c r="P1061">
        <f>IF($N1061=1,$K1061,0)</f>
        <v/>
      </c>
      <c r="Q1061">
        <f>IF($N1061=0,"",IFERROR($L1061-LOOKUP(2,1/(($B$2:$B1060=$B1061)*($N$2:$N1060=1)),$M$2:$M1060),""))</f>
        <v/>
      </c>
    </row>
    <row r="1062">
      <c r="A1062" t="n">
        <v>1061</v>
      </c>
      <c r="B1062">
        <f>Schedule!$A$154</f>
        <v/>
      </c>
      <c r="C1062">
        <f>Schedule!$D$154</f>
        <v/>
      </c>
      <c r="D1062">
        <f>Schedule!$F$154</f>
        <v/>
      </c>
      <c r="E1062" t="n">
        <v>3</v>
      </c>
      <c r="F1062">
        <f>Schedule!$J$1</f>
        <v/>
      </c>
      <c r="G1062">
        <f>Schedule!$J$2</f>
        <v/>
      </c>
      <c r="H1062">
        <f>Schedule!$J$154</f>
        <v/>
      </c>
      <c r="I1062">
        <f>IF($N1062=1,VALUE(LEFT($H1062,2)),"")</f>
        <v/>
      </c>
      <c r="J1062">
        <f>IF($N1062=1,VALUE(MID($H1062,9,2)),"")</f>
        <v/>
      </c>
      <c r="K1062">
        <f>IF($N1062=1,MOD($J1062-$I1062,24),0)</f>
        <v/>
      </c>
      <c r="L1062">
        <f>IF($N1062=1,$E1062*24+$I1062,"")</f>
        <v/>
      </c>
      <c r="M1062">
        <f>IF($N1062=1,$L1062+$K1062,"")</f>
        <v/>
      </c>
      <c r="N1062">
        <f>IF(ISNUMBER(SEARCH(" - ",$H1062&amp;"")),1,0)</f>
        <v/>
      </c>
      <c r="O1062">
        <f>IF(UPPER($H1062&amp;"")="LEAVE",1,0)</f>
        <v/>
      </c>
      <c r="P1062">
        <f>IF($N1062=1,$K1062,0)</f>
        <v/>
      </c>
      <c r="Q1062">
        <f>IF($N1062=0,"",IFERROR($L1062-LOOKUP(2,1/(($B$2:$B1061=$B1062)*($N$2:$N1061=1)),$M$2:$M1061),""))</f>
        <v/>
      </c>
    </row>
    <row r="1063">
      <c r="A1063" t="n">
        <v>1062</v>
      </c>
      <c r="B1063">
        <f>Schedule!$A$154</f>
        <v/>
      </c>
      <c r="C1063">
        <f>Schedule!$D$154</f>
        <v/>
      </c>
      <c r="D1063">
        <f>Schedule!$F$154</f>
        <v/>
      </c>
      <c r="E1063" t="n">
        <v>4</v>
      </c>
      <c r="F1063">
        <f>Schedule!$K$1</f>
        <v/>
      </c>
      <c r="G1063">
        <f>Schedule!$K$2</f>
        <v/>
      </c>
      <c r="H1063">
        <f>Schedule!$K$154</f>
        <v/>
      </c>
      <c r="I1063">
        <f>IF($N1063=1,VALUE(LEFT($H1063,2)),"")</f>
        <v/>
      </c>
      <c r="J1063">
        <f>IF($N1063=1,VALUE(MID($H1063,9,2)),"")</f>
        <v/>
      </c>
      <c r="K1063">
        <f>IF($N1063=1,MOD($J1063-$I1063,24),0)</f>
        <v/>
      </c>
      <c r="L1063">
        <f>IF($N1063=1,$E1063*24+$I1063,"")</f>
        <v/>
      </c>
      <c r="M1063">
        <f>IF($N1063=1,$L1063+$K1063,"")</f>
        <v/>
      </c>
      <c r="N1063">
        <f>IF(ISNUMBER(SEARCH(" - ",$H1063&amp;"")),1,0)</f>
        <v/>
      </c>
      <c r="O1063">
        <f>IF(UPPER($H1063&amp;"")="LEAVE",1,0)</f>
        <v/>
      </c>
      <c r="P1063">
        <f>IF($N1063=1,$K1063,0)</f>
        <v/>
      </c>
      <c r="Q1063">
        <f>IF($N1063=0,"",IFERROR($L1063-LOOKUP(2,1/(($B$2:$B1062=$B1063)*($N$2:$N1062=1)),$M$2:$M1062),""))</f>
        <v/>
      </c>
    </row>
    <row r="1064">
      <c r="A1064" t="n">
        <v>1063</v>
      </c>
      <c r="B1064">
        <f>Schedule!$A$154</f>
        <v/>
      </c>
      <c r="C1064">
        <f>Schedule!$D$154</f>
        <v/>
      </c>
      <c r="D1064">
        <f>Schedule!$F$154</f>
        <v/>
      </c>
      <c r="E1064" t="n">
        <v>5</v>
      </c>
      <c r="F1064">
        <f>Schedule!$L$1</f>
        <v/>
      </c>
      <c r="G1064">
        <f>Schedule!$L$2</f>
        <v/>
      </c>
      <c r="H1064">
        <f>Schedule!$L$154</f>
        <v/>
      </c>
      <c r="I1064">
        <f>IF($N1064=1,VALUE(LEFT($H1064,2)),"")</f>
        <v/>
      </c>
      <c r="J1064">
        <f>IF($N1064=1,VALUE(MID($H1064,9,2)),"")</f>
        <v/>
      </c>
      <c r="K1064">
        <f>IF($N1064=1,MOD($J1064-$I1064,24),0)</f>
        <v/>
      </c>
      <c r="L1064">
        <f>IF($N1064=1,$E1064*24+$I1064,"")</f>
        <v/>
      </c>
      <c r="M1064">
        <f>IF($N1064=1,$L1064+$K1064,"")</f>
        <v/>
      </c>
      <c r="N1064">
        <f>IF(ISNUMBER(SEARCH(" - ",$H1064&amp;"")),1,0)</f>
        <v/>
      </c>
      <c r="O1064">
        <f>IF(UPPER($H1064&amp;"")="LEAVE",1,0)</f>
        <v/>
      </c>
      <c r="P1064">
        <f>IF($N1064=1,$K1064,0)</f>
        <v/>
      </c>
      <c r="Q1064">
        <f>IF($N1064=0,"",IFERROR($L1064-LOOKUP(2,1/(($B$2:$B1063=$B1064)*($N$2:$N1063=1)),$M$2:$M1063),""))</f>
        <v/>
      </c>
    </row>
    <row r="1065">
      <c r="A1065" t="n">
        <v>1064</v>
      </c>
      <c r="B1065">
        <f>Schedule!$A$154</f>
        <v/>
      </c>
      <c r="C1065">
        <f>Schedule!$D$154</f>
        <v/>
      </c>
      <c r="D1065">
        <f>Schedule!$F$154</f>
        <v/>
      </c>
      <c r="E1065" t="n">
        <v>6</v>
      </c>
      <c r="F1065">
        <f>Schedule!$M$1</f>
        <v/>
      </c>
      <c r="G1065">
        <f>Schedule!$M$2</f>
        <v/>
      </c>
      <c r="H1065">
        <f>Schedule!$M$154</f>
        <v/>
      </c>
      <c r="I1065">
        <f>IF($N1065=1,VALUE(LEFT($H1065,2)),"")</f>
        <v/>
      </c>
      <c r="J1065">
        <f>IF($N1065=1,VALUE(MID($H1065,9,2)),"")</f>
        <v/>
      </c>
      <c r="K1065">
        <f>IF($N1065=1,MOD($J1065-$I1065,24),0)</f>
        <v/>
      </c>
      <c r="L1065">
        <f>IF($N1065=1,$E1065*24+$I1065,"")</f>
        <v/>
      </c>
      <c r="M1065">
        <f>IF($N1065=1,$L1065+$K1065,"")</f>
        <v/>
      </c>
      <c r="N1065">
        <f>IF(ISNUMBER(SEARCH(" - ",$H1065&amp;"")),1,0)</f>
        <v/>
      </c>
      <c r="O1065">
        <f>IF(UPPER($H1065&amp;"")="LEAVE",1,0)</f>
        <v/>
      </c>
      <c r="P1065">
        <f>IF($N1065=1,$K1065,0)</f>
        <v/>
      </c>
      <c r="Q1065">
        <f>IF($N1065=0,"",IFERROR($L1065-LOOKUP(2,1/(($B$2:$B1064=$B1065)*($N$2:$N1064=1)),$M$2:$M1064),""))</f>
        <v/>
      </c>
    </row>
    <row r="1066">
      <c r="A1066" t="n">
        <v>1065</v>
      </c>
      <c r="B1066">
        <f>Schedule!$A$155</f>
        <v/>
      </c>
      <c r="C1066">
        <f>Schedule!$D$155</f>
        <v/>
      </c>
      <c r="D1066">
        <f>Schedule!$F$155</f>
        <v/>
      </c>
      <c r="E1066" t="n">
        <v>0</v>
      </c>
      <c r="F1066">
        <f>Schedule!$G$1</f>
        <v/>
      </c>
      <c r="G1066">
        <f>Schedule!$G$2</f>
        <v/>
      </c>
      <c r="H1066">
        <f>Schedule!$G$155</f>
        <v/>
      </c>
      <c r="I1066">
        <f>IF($N1066=1,VALUE(LEFT($H1066,2)),"")</f>
        <v/>
      </c>
      <c r="J1066">
        <f>IF($N1066=1,VALUE(MID($H1066,9,2)),"")</f>
        <v/>
      </c>
      <c r="K1066">
        <f>IF($N1066=1,MOD($J1066-$I1066,24),0)</f>
        <v/>
      </c>
      <c r="L1066">
        <f>IF($N1066=1,$E1066*24+$I1066,"")</f>
        <v/>
      </c>
      <c r="M1066">
        <f>IF($N1066=1,$L1066+$K1066,"")</f>
        <v/>
      </c>
      <c r="N1066">
        <f>IF(ISNUMBER(SEARCH(" - ",$H1066&amp;"")),1,0)</f>
        <v/>
      </c>
      <c r="O1066">
        <f>IF(UPPER($H1066&amp;"")="LEAVE",1,0)</f>
        <v/>
      </c>
      <c r="P1066">
        <f>IF($N1066=1,$K1066,0)</f>
        <v/>
      </c>
      <c r="Q1066">
        <f>IF($N1066=0,"",IFERROR($L1066-'Previous Engine'!$M$154,""))</f>
        <v/>
      </c>
    </row>
    <row r="1067">
      <c r="A1067" t="n">
        <v>1066</v>
      </c>
      <c r="B1067">
        <f>Schedule!$A$155</f>
        <v/>
      </c>
      <c r="C1067">
        <f>Schedule!$D$155</f>
        <v/>
      </c>
      <c r="D1067">
        <f>Schedule!$F$155</f>
        <v/>
      </c>
      <c r="E1067" t="n">
        <v>1</v>
      </c>
      <c r="F1067">
        <f>Schedule!$H$1</f>
        <v/>
      </c>
      <c r="G1067">
        <f>Schedule!$H$2</f>
        <v/>
      </c>
      <c r="H1067">
        <f>Schedule!$H$155</f>
        <v/>
      </c>
      <c r="I1067">
        <f>IF($N1067=1,VALUE(LEFT($H1067,2)),"")</f>
        <v/>
      </c>
      <c r="J1067">
        <f>IF($N1067=1,VALUE(MID($H1067,9,2)),"")</f>
        <v/>
      </c>
      <c r="K1067">
        <f>IF($N1067=1,MOD($J1067-$I1067,24),0)</f>
        <v/>
      </c>
      <c r="L1067">
        <f>IF($N1067=1,$E1067*24+$I1067,"")</f>
        <v/>
      </c>
      <c r="M1067">
        <f>IF($N1067=1,$L1067+$K1067,"")</f>
        <v/>
      </c>
      <c r="N1067">
        <f>IF(ISNUMBER(SEARCH(" - ",$H1067&amp;"")),1,0)</f>
        <v/>
      </c>
      <c r="O1067">
        <f>IF(UPPER($H1067&amp;"")="LEAVE",1,0)</f>
        <v/>
      </c>
      <c r="P1067">
        <f>IF($N1067=1,$K1067,0)</f>
        <v/>
      </c>
      <c r="Q1067">
        <f>IF($N1067=0,"",IFERROR($L1067-LOOKUP(2,1/(($B$2:$B1066=$B1067)*($N$2:$N1066=1)),$M$2:$M1066),""))</f>
        <v/>
      </c>
    </row>
    <row r="1068">
      <c r="A1068" t="n">
        <v>1067</v>
      </c>
      <c r="B1068">
        <f>Schedule!$A$155</f>
        <v/>
      </c>
      <c r="C1068">
        <f>Schedule!$D$155</f>
        <v/>
      </c>
      <c r="D1068">
        <f>Schedule!$F$155</f>
        <v/>
      </c>
      <c r="E1068" t="n">
        <v>2</v>
      </c>
      <c r="F1068">
        <f>Schedule!$I$1</f>
        <v/>
      </c>
      <c r="G1068">
        <f>Schedule!$I$2</f>
        <v/>
      </c>
      <c r="H1068">
        <f>Schedule!$I$155</f>
        <v/>
      </c>
      <c r="I1068">
        <f>IF($N1068=1,VALUE(LEFT($H1068,2)),"")</f>
        <v/>
      </c>
      <c r="J1068">
        <f>IF($N1068=1,VALUE(MID($H1068,9,2)),"")</f>
        <v/>
      </c>
      <c r="K1068">
        <f>IF($N1068=1,MOD($J1068-$I1068,24),0)</f>
        <v/>
      </c>
      <c r="L1068">
        <f>IF($N1068=1,$E1068*24+$I1068,"")</f>
        <v/>
      </c>
      <c r="M1068">
        <f>IF($N1068=1,$L1068+$K1068,"")</f>
        <v/>
      </c>
      <c r="N1068">
        <f>IF(ISNUMBER(SEARCH(" - ",$H1068&amp;"")),1,0)</f>
        <v/>
      </c>
      <c r="O1068">
        <f>IF(UPPER($H1068&amp;"")="LEAVE",1,0)</f>
        <v/>
      </c>
      <c r="P1068">
        <f>IF($N1068=1,$K1068,0)</f>
        <v/>
      </c>
      <c r="Q1068">
        <f>IF($N1068=0,"",IFERROR($L1068-LOOKUP(2,1/(($B$2:$B1067=$B1068)*($N$2:$N1067=1)),$M$2:$M1067),""))</f>
        <v/>
      </c>
    </row>
    <row r="1069">
      <c r="A1069" t="n">
        <v>1068</v>
      </c>
      <c r="B1069">
        <f>Schedule!$A$155</f>
        <v/>
      </c>
      <c r="C1069">
        <f>Schedule!$D$155</f>
        <v/>
      </c>
      <c r="D1069">
        <f>Schedule!$F$155</f>
        <v/>
      </c>
      <c r="E1069" t="n">
        <v>3</v>
      </c>
      <c r="F1069">
        <f>Schedule!$J$1</f>
        <v/>
      </c>
      <c r="G1069">
        <f>Schedule!$J$2</f>
        <v/>
      </c>
      <c r="H1069">
        <f>Schedule!$J$155</f>
        <v/>
      </c>
      <c r="I1069">
        <f>IF($N1069=1,VALUE(LEFT($H1069,2)),"")</f>
        <v/>
      </c>
      <c r="J1069">
        <f>IF($N1069=1,VALUE(MID($H1069,9,2)),"")</f>
        <v/>
      </c>
      <c r="K1069">
        <f>IF($N1069=1,MOD($J1069-$I1069,24),0)</f>
        <v/>
      </c>
      <c r="L1069">
        <f>IF($N1069=1,$E1069*24+$I1069,"")</f>
        <v/>
      </c>
      <c r="M1069">
        <f>IF($N1069=1,$L1069+$K1069,"")</f>
        <v/>
      </c>
      <c r="N1069">
        <f>IF(ISNUMBER(SEARCH(" - ",$H1069&amp;"")),1,0)</f>
        <v/>
      </c>
      <c r="O1069">
        <f>IF(UPPER($H1069&amp;"")="LEAVE",1,0)</f>
        <v/>
      </c>
      <c r="P1069">
        <f>IF($N1069=1,$K1069,0)</f>
        <v/>
      </c>
      <c r="Q1069">
        <f>IF($N1069=0,"",IFERROR($L1069-LOOKUP(2,1/(($B$2:$B1068=$B1069)*($N$2:$N1068=1)),$M$2:$M1068),""))</f>
        <v/>
      </c>
    </row>
    <row r="1070">
      <c r="A1070" t="n">
        <v>1069</v>
      </c>
      <c r="B1070">
        <f>Schedule!$A$155</f>
        <v/>
      </c>
      <c r="C1070">
        <f>Schedule!$D$155</f>
        <v/>
      </c>
      <c r="D1070">
        <f>Schedule!$F$155</f>
        <v/>
      </c>
      <c r="E1070" t="n">
        <v>4</v>
      </c>
      <c r="F1070">
        <f>Schedule!$K$1</f>
        <v/>
      </c>
      <c r="G1070">
        <f>Schedule!$K$2</f>
        <v/>
      </c>
      <c r="H1070">
        <f>Schedule!$K$155</f>
        <v/>
      </c>
      <c r="I1070">
        <f>IF($N1070=1,VALUE(LEFT($H1070,2)),"")</f>
        <v/>
      </c>
      <c r="J1070">
        <f>IF($N1070=1,VALUE(MID($H1070,9,2)),"")</f>
        <v/>
      </c>
      <c r="K1070">
        <f>IF($N1070=1,MOD($J1070-$I1070,24),0)</f>
        <v/>
      </c>
      <c r="L1070">
        <f>IF($N1070=1,$E1070*24+$I1070,"")</f>
        <v/>
      </c>
      <c r="M1070">
        <f>IF($N1070=1,$L1070+$K1070,"")</f>
        <v/>
      </c>
      <c r="N1070">
        <f>IF(ISNUMBER(SEARCH(" - ",$H1070&amp;"")),1,0)</f>
        <v/>
      </c>
      <c r="O1070">
        <f>IF(UPPER($H1070&amp;"")="LEAVE",1,0)</f>
        <v/>
      </c>
      <c r="P1070">
        <f>IF($N1070=1,$K1070,0)</f>
        <v/>
      </c>
      <c r="Q1070">
        <f>IF($N1070=0,"",IFERROR($L1070-LOOKUP(2,1/(($B$2:$B1069=$B1070)*($N$2:$N1069=1)),$M$2:$M1069),""))</f>
        <v/>
      </c>
    </row>
    <row r="1071">
      <c r="A1071" t="n">
        <v>1070</v>
      </c>
      <c r="B1071">
        <f>Schedule!$A$155</f>
        <v/>
      </c>
      <c r="C1071">
        <f>Schedule!$D$155</f>
        <v/>
      </c>
      <c r="D1071">
        <f>Schedule!$F$155</f>
        <v/>
      </c>
      <c r="E1071" t="n">
        <v>5</v>
      </c>
      <c r="F1071">
        <f>Schedule!$L$1</f>
        <v/>
      </c>
      <c r="G1071">
        <f>Schedule!$L$2</f>
        <v/>
      </c>
      <c r="H1071">
        <f>Schedule!$L$155</f>
        <v/>
      </c>
      <c r="I1071">
        <f>IF($N1071=1,VALUE(LEFT($H1071,2)),"")</f>
        <v/>
      </c>
      <c r="J1071">
        <f>IF($N1071=1,VALUE(MID($H1071,9,2)),"")</f>
        <v/>
      </c>
      <c r="K1071">
        <f>IF($N1071=1,MOD($J1071-$I1071,24),0)</f>
        <v/>
      </c>
      <c r="L1071">
        <f>IF($N1071=1,$E1071*24+$I1071,"")</f>
        <v/>
      </c>
      <c r="M1071">
        <f>IF($N1071=1,$L1071+$K1071,"")</f>
        <v/>
      </c>
      <c r="N1071">
        <f>IF(ISNUMBER(SEARCH(" - ",$H1071&amp;"")),1,0)</f>
        <v/>
      </c>
      <c r="O1071">
        <f>IF(UPPER($H1071&amp;"")="LEAVE",1,0)</f>
        <v/>
      </c>
      <c r="P1071">
        <f>IF($N1071=1,$K1071,0)</f>
        <v/>
      </c>
      <c r="Q1071">
        <f>IF($N1071=0,"",IFERROR($L1071-LOOKUP(2,1/(($B$2:$B1070=$B1071)*($N$2:$N1070=1)),$M$2:$M1070),""))</f>
        <v/>
      </c>
    </row>
    <row r="1072">
      <c r="A1072" t="n">
        <v>1071</v>
      </c>
      <c r="B1072">
        <f>Schedule!$A$155</f>
        <v/>
      </c>
      <c r="C1072">
        <f>Schedule!$D$155</f>
        <v/>
      </c>
      <c r="D1072">
        <f>Schedule!$F$155</f>
        <v/>
      </c>
      <c r="E1072" t="n">
        <v>6</v>
      </c>
      <c r="F1072">
        <f>Schedule!$M$1</f>
        <v/>
      </c>
      <c r="G1072">
        <f>Schedule!$M$2</f>
        <v/>
      </c>
      <c r="H1072">
        <f>Schedule!$M$155</f>
        <v/>
      </c>
      <c r="I1072">
        <f>IF($N1072=1,VALUE(LEFT($H1072,2)),"")</f>
        <v/>
      </c>
      <c r="J1072">
        <f>IF($N1072=1,VALUE(MID($H1072,9,2)),"")</f>
        <v/>
      </c>
      <c r="K1072">
        <f>IF($N1072=1,MOD($J1072-$I1072,24),0)</f>
        <v/>
      </c>
      <c r="L1072">
        <f>IF($N1072=1,$E1072*24+$I1072,"")</f>
        <v/>
      </c>
      <c r="M1072">
        <f>IF($N1072=1,$L1072+$K1072,"")</f>
        <v/>
      </c>
      <c r="N1072">
        <f>IF(ISNUMBER(SEARCH(" - ",$H1072&amp;"")),1,0)</f>
        <v/>
      </c>
      <c r="O1072">
        <f>IF(UPPER($H1072&amp;"")="LEAVE",1,0)</f>
        <v/>
      </c>
      <c r="P1072">
        <f>IF($N1072=1,$K1072,0)</f>
        <v/>
      </c>
      <c r="Q1072">
        <f>IF($N1072=0,"",IFERROR($L1072-LOOKUP(2,1/(($B$2:$B1071=$B1072)*($N$2:$N1071=1)),$M$2:$M1071),""))</f>
        <v/>
      </c>
    </row>
    <row r="1073">
      <c r="A1073" t="n">
        <v>1072</v>
      </c>
      <c r="B1073">
        <f>Schedule!$A$156</f>
        <v/>
      </c>
      <c r="C1073">
        <f>Schedule!$D$156</f>
        <v/>
      </c>
      <c r="D1073">
        <f>Schedule!$F$156</f>
        <v/>
      </c>
      <c r="E1073" t="n">
        <v>0</v>
      </c>
      <c r="F1073">
        <f>Schedule!$G$1</f>
        <v/>
      </c>
      <c r="G1073">
        <f>Schedule!$G$2</f>
        <v/>
      </c>
      <c r="H1073">
        <f>Schedule!$G$156</f>
        <v/>
      </c>
      <c r="I1073">
        <f>IF($N1073=1,VALUE(LEFT($H1073,2)),"")</f>
        <v/>
      </c>
      <c r="J1073">
        <f>IF($N1073=1,VALUE(MID($H1073,9,2)),"")</f>
        <v/>
      </c>
      <c r="K1073">
        <f>IF($N1073=1,MOD($J1073-$I1073,24),0)</f>
        <v/>
      </c>
      <c r="L1073">
        <f>IF($N1073=1,$E1073*24+$I1073,"")</f>
        <v/>
      </c>
      <c r="M1073">
        <f>IF($N1073=1,$L1073+$K1073,"")</f>
        <v/>
      </c>
      <c r="N1073">
        <f>IF(ISNUMBER(SEARCH(" - ",$H1073&amp;"")),1,0)</f>
        <v/>
      </c>
      <c r="O1073">
        <f>IF(UPPER($H1073&amp;"")="LEAVE",1,0)</f>
        <v/>
      </c>
      <c r="P1073">
        <f>IF($N1073=1,$K1073,0)</f>
        <v/>
      </c>
      <c r="Q1073">
        <f>IF($N1073=0,"",IFERROR($L1073-'Previous Engine'!$M$155,""))</f>
        <v/>
      </c>
    </row>
    <row r="1074">
      <c r="A1074" t="n">
        <v>1073</v>
      </c>
      <c r="B1074">
        <f>Schedule!$A$156</f>
        <v/>
      </c>
      <c r="C1074">
        <f>Schedule!$D$156</f>
        <v/>
      </c>
      <c r="D1074">
        <f>Schedule!$F$156</f>
        <v/>
      </c>
      <c r="E1074" t="n">
        <v>1</v>
      </c>
      <c r="F1074">
        <f>Schedule!$H$1</f>
        <v/>
      </c>
      <c r="G1074">
        <f>Schedule!$H$2</f>
        <v/>
      </c>
      <c r="H1074">
        <f>Schedule!$H$156</f>
        <v/>
      </c>
      <c r="I1074">
        <f>IF($N1074=1,VALUE(LEFT($H1074,2)),"")</f>
        <v/>
      </c>
      <c r="J1074">
        <f>IF($N1074=1,VALUE(MID($H1074,9,2)),"")</f>
        <v/>
      </c>
      <c r="K1074">
        <f>IF($N1074=1,MOD($J1074-$I1074,24),0)</f>
        <v/>
      </c>
      <c r="L1074">
        <f>IF($N1074=1,$E1074*24+$I1074,"")</f>
        <v/>
      </c>
      <c r="M1074">
        <f>IF($N1074=1,$L1074+$K1074,"")</f>
        <v/>
      </c>
      <c r="N1074">
        <f>IF(ISNUMBER(SEARCH(" - ",$H1074&amp;"")),1,0)</f>
        <v/>
      </c>
      <c r="O1074">
        <f>IF(UPPER($H1074&amp;"")="LEAVE",1,0)</f>
        <v/>
      </c>
      <c r="P1074">
        <f>IF($N1074=1,$K1074,0)</f>
        <v/>
      </c>
      <c r="Q1074">
        <f>IF($N1074=0,"",IFERROR($L1074-LOOKUP(2,1/(($B$2:$B1073=$B1074)*($N$2:$N1073=1)),$M$2:$M1073),""))</f>
        <v/>
      </c>
    </row>
    <row r="1075">
      <c r="A1075" t="n">
        <v>1074</v>
      </c>
      <c r="B1075">
        <f>Schedule!$A$156</f>
        <v/>
      </c>
      <c r="C1075">
        <f>Schedule!$D$156</f>
        <v/>
      </c>
      <c r="D1075">
        <f>Schedule!$F$156</f>
        <v/>
      </c>
      <c r="E1075" t="n">
        <v>2</v>
      </c>
      <c r="F1075">
        <f>Schedule!$I$1</f>
        <v/>
      </c>
      <c r="G1075">
        <f>Schedule!$I$2</f>
        <v/>
      </c>
      <c r="H1075">
        <f>Schedule!$I$156</f>
        <v/>
      </c>
      <c r="I1075">
        <f>IF($N1075=1,VALUE(LEFT($H1075,2)),"")</f>
        <v/>
      </c>
      <c r="J1075">
        <f>IF($N1075=1,VALUE(MID($H1075,9,2)),"")</f>
        <v/>
      </c>
      <c r="K1075">
        <f>IF($N1075=1,MOD($J1075-$I1075,24),0)</f>
        <v/>
      </c>
      <c r="L1075">
        <f>IF($N1075=1,$E1075*24+$I1075,"")</f>
        <v/>
      </c>
      <c r="M1075">
        <f>IF($N1075=1,$L1075+$K1075,"")</f>
        <v/>
      </c>
      <c r="N1075">
        <f>IF(ISNUMBER(SEARCH(" - ",$H1075&amp;"")),1,0)</f>
        <v/>
      </c>
      <c r="O1075">
        <f>IF(UPPER($H1075&amp;"")="LEAVE",1,0)</f>
        <v/>
      </c>
      <c r="P1075">
        <f>IF($N1075=1,$K1075,0)</f>
        <v/>
      </c>
      <c r="Q1075">
        <f>IF($N1075=0,"",IFERROR($L1075-LOOKUP(2,1/(($B$2:$B1074=$B1075)*($N$2:$N1074=1)),$M$2:$M1074),""))</f>
        <v/>
      </c>
    </row>
    <row r="1076">
      <c r="A1076" t="n">
        <v>1075</v>
      </c>
      <c r="B1076">
        <f>Schedule!$A$156</f>
        <v/>
      </c>
      <c r="C1076">
        <f>Schedule!$D$156</f>
        <v/>
      </c>
      <c r="D1076">
        <f>Schedule!$F$156</f>
        <v/>
      </c>
      <c r="E1076" t="n">
        <v>3</v>
      </c>
      <c r="F1076">
        <f>Schedule!$J$1</f>
        <v/>
      </c>
      <c r="G1076">
        <f>Schedule!$J$2</f>
        <v/>
      </c>
      <c r="H1076">
        <f>Schedule!$J$156</f>
        <v/>
      </c>
      <c r="I1076">
        <f>IF($N1076=1,VALUE(LEFT($H1076,2)),"")</f>
        <v/>
      </c>
      <c r="J1076">
        <f>IF($N1076=1,VALUE(MID($H1076,9,2)),"")</f>
        <v/>
      </c>
      <c r="K1076">
        <f>IF($N1076=1,MOD($J1076-$I1076,24),0)</f>
        <v/>
      </c>
      <c r="L1076">
        <f>IF($N1076=1,$E1076*24+$I1076,"")</f>
        <v/>
      </c>
      <c r="M1076">
        <f>IF($N1076=1,$L1076+$K1076,"")</f>
        <v/>
      </c>
      <c r="N1076">
        <f>IF(ISNUMBER(SEARCH(" - ",$H1076&amp;"")),1,0)</f>
        <v/>
      </c>
      <c r="O1076">
        <f>IF(UPPER($H1076&amp;"")="LEAVE",1,0)</f>
        <v/>
      </c>
      <c r="P1076">
        <f>IF($N1076=1,$K1076,0)</f>
        <v/>
      </c>
      <c r="Q1076">
        <f>IF($N1076=0,"",IFERROR($L1076-LOOKUP(2,1/(($B$2:$B1075=$B1076)*($N$2:$N1075=1)),$M$2:$M1075),""))</f>
        <v/>
      </c>
    </row>
    <row r="1077">
      <c r="A1077" t="n">
        <v>1076</v>
      </c>
      <c r="B1077">
        <f>Schedule!$A$156</f>
        <v/>
      </c>
      <c r="C1077">
        <f>Schedule!$D$156</f>
        <v/>
      </c>
      <c r="D1077">
        <f>Schedule!$F$156</f>
        <v/>
      </c>
      <c r="E1077" t="n">
        <v>4</v>
      </c>
      <c r="F1077">
        <f>Schedule!$K$1</f>
        <v/>
      </c>
      <c r="G1077">
        <f>Schedule!$K$2</f>
        <v/>
      </c>
      <c r="H1077">
        <f>Schedule!$K$156</f>
        <v/>
      </c>
      <c r="I1077">
        <f>IF($N1077=1,VALUE(LEFT($H1077,2)),"")</f>
        <v/>
      </c>
      <c r="J1077">
        <f>IF($N1077=1,VALUE(MID($H1077,9,2)),"")</f>
        <v/>
      </c>
      <c r="K1077">
        <f>IF($N1077=1,MOD($J1077-$I1077,24),0)</f>
        <v/>
      </c>
      <c r="L1077">
        <f>IF($N1077=1,$E1077*24+$I1077,"")</f>
        <v/>
      </c>
      <c r="M1077">
        <f>IF($N1077=1,$L1077+$K1077,"")</f>
        <v/>
      </c>
      <c r="N1077">
        <f>IF(ISNUMBER(SEARCH(" - ",$H1077&amp;"")),1,0)</f>
        <v/>
      </c>
      <c r="O1077">
        <f>IF(UPPER($H1077&amp;"")="LEAVE",1,0)</f>
        <v/>
      </c>
      <c r="P1077">
        <f>IF($N1077=1,$K1077,0)</f>
        <v/>
      </c>
      <c r="Q1077">
        <f>IF($N1077=0,"",IFERROR($L1077-LOOKUP(2,1/(($B$2:$B1076=$B1077)*($N$2:$N1076=1)),$M$2:$M1076),""))</f>
        <v/>
      </c>
    </row>
    <row r="1078">
      <c r="A1078" t="n">
        <v>1077</v>
      </c>
      <c r="B1078">
        <f>Schedule!$A$156</f>
        <v/>
      </c>
      <c r="C1078">
        <f>Schedule!$D$156</f>
        <v/>
      </c>
      <c r="D1078">
        <f>Schedule!$F$156</f>
        <v/>
      </c>
      <c r="E1078" t="n">
        <v>5</v>
      </c>
      <c r="F1078">
        <f>Schedule!$L$1</f>
        <v/>
      </c>
      <c r="G1078">
        <f>Schedule!$L$2</f>
        <v/>
      </c>
      <c r="H1078">
        <f>Schedule!$L$156</f>
        <v/>
      </c>
      <c r="I1078">
        <f>IF($N1078=1,VALUE(LEFT($H1078,2)),"")</f>
        <v/>
      </c>
      <c r="J1078">
        <f>IF($N1078=1,VALUE(MID($H1078,9,2)),"")</f>
        <v/>
      </c>
      <c r="K1078">
        <f>IF($N1078=1,MOD($J1078-$I1078,24),0)</f>
        <v/>
      </c>
      <c r="L1078">
        <f>IF($N1078=1,$E1078*24+$I1078,"")</f>
        <v/>
      </c>
      <c r="M1078">
        <f>IF($N1078=1,$L1078+$K1078,"")</f>
        <v/>
      </c>
      <c r="N1078">
        <f>IF(ISNUMBER(SEARCH(" - ",$H1078&amp;"")),1,0)</f>
        <v/>
      </c>
      <c r="O1078">
        <f>IF(UPPER($H1078&amp;"")="LEAVE",1,0)</f>
        <v/>
      </c>
      <c r="P1078">
        <f>IF($N1078=1,$K1078,0)</f>
        <v/>
      </c>
      <c r="Q1078">
        <f>IF($N1078=0,"",IFERROR($L1078-LOOKUP(2,1/(($B$2:$B1077=$B1078)*($N$2:$N1077=1)),$M$2:$M1077),""))</f>
        <v/>
      </c>
    </row>
    <row r="1079">
      <c r="A1079" t="n">
        <v>1078</v>
      </c>
      <c r="B1079">
        <f>Schedule!$A$156</f>
        <v/>
      </c>
      <c r="C1079">
        <f>Schedule!$D$156</f>
        <v/>
      </c>
      <c r="D1079">
        <f>Schedule!$F$156</f>
        <v/>
      </c>
      <c r="E1079" t="n">
        <v>6</v>
      </c>
      <c r="F1079">
        <f>Schedule!$M$1</f>
        <v/>
      </c>
      <c r="G1079">
        <f>Schedule!$M$2</f>
        <v/>
      </c>
      <c r="H1079">
        <f>Schedule!$M$156</f>
        <v/>
      </c>
      <c r="I1079">
        <f>IF($N1079=1,VALUE(LEFT($H1079,2)),"")</f>
        <v/>
      </c>
      <c r="J1079">
        <f>IF($N1079=1,VALUE(MID($H1079,9,2)),"")</f>
        <v/>
      </c>
      <c r="K1079">
        <f>IF($N1079=1,MOD($J1079-$I1079,24),0)</f>
        <v/>
      </c>
      <c r="L1079">
        <f>IF($N1079=1,$E1079*24+$I1079,"")</f>
        <v/>
      </c>
      <c r="M1079">
        <f>IF($N1079=1,$L1079+$K1079,"")</f>
        <v/>
      </c>
      <c r="N1079">
        <f>IF(ISNUMBER(SEARCH(" - ",$H1079&amp;"")),1,0)</f>
        <v/>
      </c>
      <c r="O1079">
        <f>IF(UPPER($H1079&amp;"")="LEAVE",1,0)</f>
        <v/>
      </c>
      <c r="P1079">
        <f>IF($N1079=1,$K1079,0)</f>
        <v/>
      </c>
      <c r="Q1079">
        <f>IF($N1079=0,"",IFERROR($L1079-LOOKUP(2,1/(($B$2:$B1078=$B1079)*($N$2:$N1078=1)),$M$2:$M1078),""))</f>
        <v/>
      </c>
    </row>
    <row r="1080">
      <c r="A1080" t="n">
        <v>1079</v>
      </c>
      <c r="B1080">
        <f>Schedule!$A$157</f>
        <v/>
      </c>
      <c r="C1080">
        <f>Schedule!$D$157</f>
        <v/>
      </c>
      <c r="D1080">
        <f>Schedule!$F$157</f>
        <v/>
      </c>
      <c r="E1080" t="n">
        <v>0</v>
      </c>
      <c r="F1080">
        <f>Schedule!$G$1</f>
        <v/>
      </c>
      <c r="G1080">
        <f>Schedule!$G$2</f>
        <v/>
      </c>
      <c r="H1080">
        <f>Schedule!$G$157</f>
        <v/>
      </c>
      <c r="I1080">
        <f>IF($N1080=1,VALUE(LEFT($H1080,2)),"")</f>
        <v/>
      </c>
      <c r="J1080">
        <f>IF($N1080=1,VALUE(MID($H1080,9,2)),"")</f>
        <v/>
      </c>
      <c r="K1080">
        <f>IF($N1080=1,MOD($J1080-$I1080,24),0)</f>
        <v/>
      </c>
      <c r="L1080">
        <f>IF($N1080=1,$E1080*24+$I1080,"")</f>
        <v/>
      </c>
      <c r="M1080">
        <f>IF($N1080=1,$L1080+$K1080,"")</f>
        <v/>
      </c>
      <c r="N1080">
        <f>IF(ISNUMBER(SEARCH(" - ",$H1080&amp;"")),1,0)</f>
        <v/>
      </c>
      <c r="O1080">
        <f>IF(UPPER($H1080&amp;"")="LEAVE",1,0)</f>
        <v/>
      </c>
      <c r="P1080">
        <f>IF($N1080=1,$K1080,0)</f>
        <v/>
      </c>
      <c r="Q1080">
        <f>IF($N1080=0,"",IFERROR($L1080-'Previous Engine'!$M$156,""))</f>
        <v/>
      </c>
    </row>
    <row r="1081">
      <c r="A1081" t="n">
        <v>1080</v>
      </c>
      <c r="B1081">
        <f>Schedule!$A$157</f>
        <v/>
      </c>
      <c r="C1081">
        <f>Schedule!$D$157</f>
        <v/>
      </c>
      <c r="D1081">
        <f>Schedule!$F$157</f>
        <v/>
      </c>
      <c r="E1081" t="n">
        <v>1</v>
      </c>
      <c r="F1081">
        <f>Schedule!$H$1</f>
        <v/>
      </c>
      <c r="G1081">
        <f>Schedule!$H$2</f>
        <v/>
      </c>
      <c r="H1081">
        <f>Schedule!$H$157</f>
        <v/>
      </c>
      <c r="I1081">
        <f>IF($N1081=1,VALUE(LEFT($H1081,2)),"")</f>
        <v/>
      </c>
      <c r="J1081">
        <f>IF($N1081=1,VALUE(MID($H1081,9,2)),"")</f>
        <v/>
      </c>
      <c r="K1081">
        <f>IF($N1081=1,MOD($J1081-$I1081,24),0)</f>
        <v/>
      </c>
      <c r="L1081">
        <f>IF($N1081=1,$E1081*24+$I1081,"")</f>
        <v/>
      </c>
      <c r="M1081">
        <f>IF($N1081=1,$L1081+$K1081,"")</f>
        <v/>
      </c>
      <c r="N1081">
        <f>IF(ISNUMBER(SEARCH(" - ",$H1081&amp;"")),1,0)</f>
        <v/>
      </c>
      <c r="O1081">
        <f>IF(UPPER($H1081&amp;"")="LEAVE",1,0)</f>
        <v/>
      </c>
      <c r="P1081">
        <f>IF($N1081=1,$K1081,0)</f>
        <v/>
      </c>
      <c r="Q1081">
        <f>IF($N1081=0,"",IFERROR($L1081-LOOKUP(2,1/(($B$2:$B1080=$B1081)*($N$2:$N1080=1)),$M$2:$M1080),""))</f>
        <v/>
      </c>
    </row>
    <row r="1082">
      <c r="A1082" t="n">
        <v>1081</v>
      </c>
      <c r="B1082">
        <f>Schedule!$A$157</f>
        <v/>
      </c>
      <c r="C1082">
        <f>Schedule!$D$157</f>
        <v/>
      </c>
      <c r="D1082">
        <f>Schedule!$F$157</f>
        <v/>
      </c>
      <c r="E1082" t="n">
        <v>2</v>
      </c>
      <c r="F1082">
        <f>Schedule!$I$1</f>
        <v/>
      </c>
      <c r="G1082">
        <f>Schedule!$I$2</f>
        <v/>
      </c>
      <c r="H1082">
        <f>Schedule!$I$157</f>
        <v/>
      </c>
      <c r="I1082">
        <f>IF($N1082=1,VALUE(LEFT($H1082,2)),"")</f>
        <v/>
      </c>
      <c r="J1082">
        <f>IF($N1082=1,VALUE(MID($H1082,9,2)),"")</f>
        <v/>
      </c>
      <c r="K1082">
        <f>IF($N1082=1,MOD($J1082-$I1082,24),0)</f>
        <v/>
      </c>
      <c r="L1082">
        <f>IF($N1082=1,$E1082*24+$I1082,"")</f>
        <v/>
      </c>
      <c r="M1082">
        <f>IF($N1082=1,$L1082+$K1082,"")</f>
        <v/>
      </c>
      <c r="N1082">
        <f>IF(ISNUMBER(SEARCH(" - ",$H1082&amp;"")),1,0)</f>
        <v/>
      </c>
      <c r="O1082">
        <f>IF(UPPER($H1082&amp;"")="LEAVE",1,0)</f>
        <v/>
      </c>
      <c r="P1082">
        <f>IF($N1082=1,$K1082,0)</f>
        <v/>
      </c>
      <c r="Q1082">
        <f>IF($N1082=0,"",IFERROR($L1082-LOOKUP(2,1/(($B$2:$B1081=$B1082)*($N$2:$N1081=1)),$M$2:$M1081),""))</f>
        <v/>
      </c>
    </row>
    <row r="1083">
      <c r="A1083" t="n">
        <v>1082</v>
      </c>
      <c r="B1083">
        <f>Schedule!$A$157</f>
        <v/>
      </c>
      <c r="C1083">
        <f>Schedule!$D$157</f>
        <v/>
      </c>
      <c r="D1083">
        <f>Schedule!$F$157</f>
        <v/>
      </c>
      <c r="E1083" t="n">
        <v>3</v>
      </c>
      <c r="F1083">
        <f>Schedule!$J$1</f>
        <v/>
      </c>
      <c r="G1083">
        <f>Schedule!$J$2</f>
        <v/>
      </c>
      <c r="H1083">
        <f>Schedule!$J$157</f>
        <v/>
      </c>
      <c r="I1083">
        <f>IF($N1083=1,VALUE(LEFT($H1083,2)),"")</f>
        <v/>
      </c>
      <c r="J1083">
        <f>IF($N1083=1,VALUE(MID($H1083,9,2)),"")</f>
        <v/>
      </c>
      <c r="K1083">
        <f>IF($N1083=1,MOD($J1083-$I1083,24),0)</f>
        <v/>
      </c>
      <c r="L1083">
        <f>IF($N1083=1,$E1083*24+$I1083,"")</f>
        <v/>
      </c>
      <c r="M1083">
        <f>IF($N1083=1,$L1083+$K1083,"")</f>
        <v/>
      </c>
      <c r="N1083">
        <f>IF(ISNUMBER(SEARCH(" - ",$H1083&amp;"")),1,0)</f>
        <v/>
      </c>
      <c r="O1083">
        <f>IF(UPPER($H1083&amp;"")="LEAVE",1,0)</f>
        <v/>
      </c>
      <c r="P1083">
        <f>IF($N1083=1,$K1083,0)</f>
        <v/>
      </c>
      <c r="Q1083">
        <f>IF($N1083=0,"",IFERROR($L1083-LOOKUP(2,1/(($B$2:$B1082=$B1083)*($N$2:$N1082=1)),$M$2:$M1082),""))</f>
        <v/>
      </c>
    </row>
    <row r="1084">
      <c r="A1084" t="n">
        <v>1083</v>
      </c>
      <c r="B1084">
        <f>Schedule!$A$157</f>
        <v/>
      </c>
      <c r="C1084">
        <f>Schedule!$D$157</f>
        <v/>
      </c>
      <c r="D1084">
        <f>Schedule!$F$157</f>
        <v/>
      </c>
      <c r="E1084" t="n">
        <v>4</v>
      </c>
      <c r="F1084">
        <f>Schedule!$K$1</f>
        <v/>
      </c>
      <c r="G1084">
        <f>Schedule!$K$2</f>
        <v/>
      </c>
      <c r="H1084">
        <f>Schedule!$K$157</f>
        <v/>
      </c>
      <c r="I1084">
        <f>IF($N1084=1,VALUE(LEFT($H1084,2)),"")</f>
        <v/>
      </c>
      <c r="J1084">
        <f>IF($N1084=1,VALUE(MID($H1084,9,2)),"")</f>
        <v/>
      </c>
      <c r="K1084">
        <f>IF($N1084=1,MOD($J1084-$I1084,24),0)</f>
        <v/>
      </c>
      <c r="L1084">
        <f>IF($N1084=1,$E1084*24+$I1084,"")</f>
        <v/>
      </c>
      <c r="M1084">
        <f>IF($N1084=1,$L1084+$K1084,"")</f>
        <v/>
      </c>
      <c r="N1084">
        <f>IF(ISNUMBER(SEARCH(" - ",$H1084&amp;"")),1,0)</f>
        <v/>
      </c>
      <c r="O1084">
        <f>IF(UPPER($H1084&amp;"")="LEAVE",1,0)</f>
        <v/>
      </c>
      <c r="P1084">
        <f>IF($N1084=1,$K1084,0)</f>
        <v/>
      </c>
      <c r="Q1084">
        <f>IF($N1084=0,"",IFERROR($L1084-LOOKUP(2,1/(($B$2:$B1083=$B1084)*($N$2:$N1083=1)),$M$2:$M1083),""))</f>
        <v/>
      </c>
    </row>
    <row r="1085">
      <c r="A1085" t="n">
        <v>1084</v>
      </c>
      <c r="B1085">
        <f>Schedule!$A$157</f>
        <v/>
      </c>
      <c r="C1085">
        <f>Schedule!$D$157</f>
        <v/>
      </c>
      <c r="D1085">
        <f>Schedule!$F$157</f>
        <v/>
      </c>
      <c r="E1085" t="n">
        <v>5</v>
      </c>
      <c r="F1085">
        <f>Schedule!$L$1</f>
        <v/>
      </c>
      <c r="G1085">
        <f>Schedule!$L$2</f>
        <v/>
      </c>
      <c r="H1085">
        <f>Schedule!$L$157</f>
        <v/>
      </c>
      <c r="I1085">
        <f>IF($N1085=1,VALUE(LEFT($H1085,2)),"")</f>
        <v/>
      </c>
      <c r="J1085">
        <f>IF($N1085=1,VALUE(MID($H1085,9,2)),"")</f>
        <v/>
      </c>
      <c r="K1085">
        <f>IF($N1085=1,MOD($J1085-$I1085,24),0)</f>
        <v/>
      </c>
      <c r="L1085">
        <f>IF($N1085=1,$E1085*24+$I1085,"")</f>
        <v/>
      </c>
      <c r="M1085">
        <f>IF($N1085=1,$L1085+$K1085,"")</f>
        <v/>
      </c>
      <c r="N1085">
        <f>IF(ISNUMBER(SEARCH(" - ",$H1085&amp;"")),1,0)</f>
        <v/>
      </c>
      <c r="O1085">
        <f>IF(UPPER($H1085&amp;"")="LEAVE",1,0)</f>
        <v/>
      </c>
      <c r="P1085">
        <f>IF($N1085=1,$K1085,0)</f>
        <v/>
      </c>
      <c r="Q1085">
        <f>IF($N1085=0,"",IFERROR($L1085-LOOKUP(2,1/(($B$2:$B1084=$B1085)*($N$2:$N1084=1)),$M$2:$M1084),""))</f>
        <v/>
      </c>
    </row>
    <row r="1086">
      <c r="A1086" t="n">
        <v>1085</v>
      </c>
      <c r="B1086">
        <f>Schedule!$A$157</f>
        <v/>
      </c>
      <c r="C1086">
        <f>Schedule!$D$157</f>
        <v/>
      </c>
      <c r="D1086">
        <f>Schedule!$F$157</f>
        <v/>
      </c>
      <c r="E1086" t="n">
        <v>6</v>
      </c>
      <c r="F1086">
        <f>Schedule!$M$1</f>
        <v/>
      </c>
      <c r="G1086">
        <f>Schedule!$M$2</f>
        <v/>
      </c>
      <c r="H1086">
        <f>Schedule!$M$157</f>
        <v/>
      </c>
      <c r="I1086">
        <f>IF($N1086=1,VALUE(LEFT($H1086,2)),"")</f>
        <v/>
      </c>
      <c r="J1086">
        <f>IF($N1086=1,VALUE(MID($H1086,9,2)),"")</f>
        <v/>
      </c>
      <c r="K1086">
        <f>IF($N1086=1,MOD($J1086-$I1086,24),0)</f>
        <v/>
      </c>
      <c r="L1086">
        <f>IF($N1086=1,$E1086*24+$I1086,"")</f>
        <v/>
      </c>
      <c r="M1086">
        <f>IF($N1086=1,$L1086+$K1086,"")</f>
        <v/>
      </c>
      <c r="N1086">
        <f>IF(ISNUMBER(SEARCH(" - ",$H1086&amp;"")),1,0)</f>
        <v/>
      </c>
      <c r="O1086">
        <f>IF(UPPER($H1086&amp;"")="LEAVE",1,0)</f>
        <v/>
      </c>
      <c r="P1086">
        <f>IF($N1086=1,$K1086,0)</f>
        <v/>
      </c>
      <c r="Q1086">
        <f>IF($N1086=0,"",IFERROR($L1086-LOOKUP(2,1/(($B$2:$B1085=$B1086)*($N$2:$N1085=1)),$M$2:$M1085),""))</f>
        <v/>
      </c>
    </row>
    <row r="1087">
      <c r="A1087" t="n">
        <v>1086</v>
      </c>
      <c r="B1087">
        <f>Schedule!$A$158</f>
        <v/>
      </c>
      <c r="C1087">
        <f>Schedule!$D$158</f>
        <v/>
      </c>
      <c r="D1087">
        <f>Schedule!$F$158</f>
        <v/>
      </c>
      <c r="E1087" t="n">
        <v>0</v>
      </c>
      <c r="F1087">
        <f>Schedule!$G$1</f>
        <v/>
      </c>
      <c r="G1087">
        <f>Schedule!$G$2</f>
        <v/>
      </c>
      <c r="H1087">
        <f>Schedule!$G$158</f>
        <v/>
      </c>
      <c r="I1087">
        <f>IF($N1087=1,VALUE(LEFT($H1087,2)),"")</f>
        <v/>
      </c>
      <c r="J1087">
        <f>IF($N1087=1,VALUE(MID($H1087,9,2)),"")</f>
        <v/>
      </c>
      <c r="K1087">
        <f>IF($N1087=1,MOD($J1087-$I1087,24),0)</f>
        <v/>
      </c>
      <c r="L1087">
        <f>IF($N1087=1,$E1087*24+$I1087,"")</f>
        <v/>
      </c>
      <c r="M1087">
        <f>IF($N1087=1,$L1087+$K1087,"")</f>
        <v/>
      </c>
      <c r="N1087">
        <f>IF(ISNUMBER(SEARCH(" - ",$H1087&amp;"")),1,0)</f>
        <v/>
      </c>
      <c r="O1087">
        <f>IF(UPPER($H1087&amp;"")="LEAVE",1,0)</f>
        <v/>
      </c>
      <c r="P1087">
        <f>IF($N1087=1,$K1087,0)</f>
        <v/>
      </c>
      <c r="Q1087">
        <f>IF($N1087=0,"",IFERROR($L1087-'Previous Engine'!$M$157,""))</f>
        <v/>
      </c>
    </row>
    <row r="1088">
      <c r="A1088" t="n">
        <v>1087</v>
      </c>
      <c r="B1088">
        <f>Schedule!$A$158</f>
        <v/>
      </c>
      <c r="C1088">
        <f>Schedule!$D$158</f>
        <v/>
      </c>
      <c r="D1088">
        <f>Schedule!$F$158</f>
        <v/>
      </c>
      <c r="E1088" t="n">
        <v>1</v>
      </c>
      <c r="F1088">
        <f>Schedule!$H$1</f>
        <v/>
      </c>
      <c r="G1088">
        <f>Schedule!$H$2</f>
        <v/>
      </c>
      <c r="H1088">
        <f>Schedule!$H$158</f>
        <v/>
      </c>
      <c r="I1088">
        <f>IF($N1088=1,VALUE(LEFT($H1088,2)),"")</f>
        <v/>
      </c>
      <c r="J1088">
        <f>IF($N1088=1,VALUE(MID($H1088,9,2)),"")</f>
        <v/>
      </c>
      <c r="K1088">
        <f>IF($N1088=1,MOD($J1088-$I1088,24),0)</f>
        <v/>
      </c>
      <c r="L1088">
        <f>IF($N1088=1,$E1088*24+$I1088,"")</f>
        <v/>
      </c>
      <c r="M1088">
        <f>IF($N1088=1,$L1088+$K1088,"")</f>
        <v/>
      </c>
      <c r="N1088">
        <f>IF(ISNUMBER(SEARCH(" - ",$H1088&amp;"")),1,0)</f>
        <v/>
      </c>
      <c r="O1088">
        <f>IF(UPPER($H1088&amp;"")="LEAVE",1,0)</f>
        <v/>
      </c>
      <c r="P1088">
        <f>IF($N1088=1,$K1088,0)</f>
        <v/>
      </c>
      <c r="Q1088">
        <f>IF($N1088=0,"",IFERROR($L1088-LOOKUP(2,1/(($B$2:$B1087=$B1088)*($N$2:$N1087=1)),$M$2:$M1087),""))</f>
        <v/>
      </c>
    </row>
    <row r="1089">
      <c r="A1089" t="n">
        <v>1088</v>
      </c>
      <c r="B1089">
        <f>Schedule!$A$158</f>
        <v/>
      </c>
      <c r="C1089">
        <f>Schedule!$D$158</f>
        <v/>
      </c>
      <c r="D1089">
        <f>Schedule!$F$158</f>
        <v/>
      </c>
      <c r="E1089" t="n">
        <v>2</v>
      </c>
      <c r="F1089">
        <f>Schedule!$I$1</f>
        <v/>
      </c>
      <c r="G1089">
        <f>Schedule!$I$2</f>
        <v/>
      </c>
      <c r="H1089">
        <f>Schedule!$I$158</f>
        <v/>
      </c>
      <c r="I1089">
        <f>IF($N1089=1,VALUE(LEFT($H1089,2)),"")</f>
        <v/>
      </c>
      <c r="J1089">
        <f>IF($N1089=1,VALUE(MID($H1089,9,2)),"")</f>
        <v/>
      </c>
      <c r="K1089">
        <f>IF($N1089=1,MOD($J1089-$I1089,24),0)</f>
        <v/>
      </c>
      <c r="L1089">
        <f>IF($N1089=1,$E1089*24+$I1089,"")</f>
        <v/>
      </c>
      <c r="M1089">
        <f>IF($N1089=1,$L1089+$K1089,"")</f>
        <v/>
      </c>
      <c r="N1089">
        <f>IF(ISNUMBER(SEARCH(" - ",$H1089&amp;"")),1,0)</f>
        <v/>
      </c>
      <c r="O1089">
        <f>IF(UPPER($H1089&amp;"")="LEAVE",1,0)</f>
        <v/>
      </c>
      <c r="P1089">
        <f>IF($N1089=1,$K1089,0)</f>
        <v/>
      </c>
      <c r="Q1089">
        <f>IF($N1089=0,"",IFERROR($L1089-LOOKUP(2,1/(($B$2:$B1088=$B1089)*($N$2:$N1088=1)),$M$2:$M1088),""))</f>
        <v/>
      </c>
    </row>
    <row r="1090">
      <c r="A1090" t="n">
        <v>1089</v>
      </c>
      <c r="B1090">
        <f>Schedule!$A$158</f>
        <v/>
      </c>
      <c r="C1090">
        <f>Schedule!$D$158</f>
        <v/>
      </c>
      <c r="D1090">
        <f>Schedule!$F$158</f>
        <v/>
      </c>
      <c r="E1090" t="n">
        <v>3</v>
      </c>
      <c r="F1090">
        <f>Schedule!$J$1</f>
        <v/>
      </c>
      <c r="G1090">
        <f>Schedule!$J$2</f>
        <v/>
      </c>
      <c r="H1090">
        <f>Schedule!$J$158</f>
        <v/>
      </c>
      <c r="I1090">
        <f>IF($N1090=1,VALUE(LEFT($H1090,2)),"")</f>
        <v/>
      </c>
      <c r="J1090">
        <f>IF($N1090=1,VALUE(MID($H1090,9,2)),"")</f>
        <v/>
      </c>
      <c r="K1090">
        <f>IF($N1090=1,MOD($J1090-$I1090,24),0)</f>
        <v/>
      </c>
      <c r="L1090">
        <f>IF($N1090=1,$E1090*24+$I1090,"")</f>
        <v/>
      </c>
      <c r="M1090">
        <f>IF($N1090=1,$L1090+$K1090,"")</f>
        <v/>
      </c>
      <c r="N1090">
        <f>IF(ISNUMBER(SEARCH(" - ",$H1090&amp;"")),1,0)</f>
        <v/>
      </c>
      <c r="O1090">
        <f>IF(UPPER($H1090&amp;"")="LEAVE",1,0)</f>
        <v/>
      </c>
      <c r="P1090">
        <f>IF($N1090=1,$K1090,0)</f>
        <v/>
      </c>
      <c r="Q1090">
        <f>IF($N1090=0,"",IFERROR($L1090-LOOKUP(2,1/(($B$2:$B1089=$B1090)*($N$2:$N1089=1)),$M$2:$M1089),""))</f>
        <v/>
      </c>
    </row>
    <row r="1091">
      <c r="A1091" t="n">
        <v>1090</v>
      </c>
      <c r="B1091">
        <f>Schedule!$A$158</f>
        <v/>
      </c>
      <c r="C1091">
        <f>Schedule!$D$158</f>
        <v/>
      </c>
      <c r="D1091">
        <f>Schedule!$F$158</f>
        <v/>
      </c>
      <c r="E1091" t="n">
        <v>4</v>
      </c>
      <c r="F1091">
        <f>Schedule!$K$1</f>
        <v/>
      </c>
      <c r="G1091">
        <f>Schedule!$K$2</f>
        <v/>
      </c>
      <c r="H1091">
        <f>Schedule!$K$158</f>
        <v/>
      </c>
      <c r="I1091">
        <f>IF($N1091=1,VALUE(LEFT($H1091,2)),"")</f>
        <v/>
      </c>
      <c r="J1091">
        <f>IF($N1091=1,VALUE(MID($H1091,9,2)),"")</f>
        <v/>
      </c>
      <c r="K1091">
        <f>IF($N1091=1,MOD($J1091-$I1091,24),0)</f>
        <v/>
      </c>
      <c r="L1091">
        <f>IF($N1091=1,$E1091*24+$I1091,"")</f>
        <v/>
      </c>
      <c r="M1091">
        <f>IF($N1091=1,$L1091+$K1091,"")</f>
        <v/>
      </c>
      <c r="N1091">
        <f>IF(ISNUMBER(SEARCH(" - ",$H1091&amp;"")),1,0)</f>
        <v/>
      </c>
      <c r="O1091">
        <f>IF(UPPER($H1091&amp;"")="LEAVE",1,0)</f>
        <v/>
      </c>
      <c r="P1091">
        <f>IF($N1091=1,$K1091,0)</f>
        <v/>
      </c>
      <c r="Q1091">
        <f>IF($N1091=0,"",IFERROR($L1091-LOOKUP(2,1/(($B$2:$B1090=$B1091)*($N$2:$N1090=1)),$M$2:$M1090),""))</f>
        <v/>
      </c>
    </row>
    <row r="1092">
      <c r="A1092" t="n">
        <v>1091</v>
      </c>
      <c r="B1092">
        <f>Schedule!$A$158</f>
        <v/>
      </c>
      <c r="C1092">
        <f>Schedule!$D$158</f>
        <v/>
      </c>
      <c r="D1092">
        <f>Schedule!$F$158</f>
        <v/>
      </c>
      <c r="E1092" t="n">
        <v>5</v>
      </c>
      <c r="F1092">
        <f>Schedule!$L$1</f>
        <v/>
      </c>
      <c r="G1092">
        <f>Schedule!$L$2</f>
        <v/>
      </c>
      <c r="H1092">
        <f>Schedule!$L$158</f>
        <v/>
      </c>
      <c r="I1092">
        <f>IF($N1092=1,VALUE(LEFT($H1092,2)),"")</f>
        <v/>
      </c>
      <c r="J1092">
        <f>IF($N1092=1,VALUE(MID($H1092,9,2)),"")</f>
        <v/>
      </c>
      <c r="K1092">
        <f>IF($N1092=1,MOD($J1092-$I1092,24),0)</f>
        <v/>
      </c>
      <c r="L1092">
        <f>IF($N1092=1,$E1092*24+$I1092,"")</f>
        <v/>
      </c>
      <c r="M1092">
        <f>IF($N1092=1,$L1092+$K1092,"")</f>
        <v/>
      </c>
      <c r="N1092">
        <f>IF(ISNUMBER(SEARCH(" - ",$H1092&amp;"")),1,0)</f>
        <v/>
      </c>
      <c r="O1092">
        <f>IF(UPPER($H1092&amp;"")="LEAVE",1,0)</f>
        <v/>
      </c>
      <c r="P1092">
        <f>IF($N1092=1,$K1092,0)</f>
        <v/>
      </c>
      <c r="Q1092">
        <f>IF($N1092=0,"",IFERROR($L1092-LOOKUP(2,1/(($B$2:$B1091=$B1092)*($N$2:$N1091=1)),$M$2:$M1091),""))</f>
        <v/>
      </c>
    </row>
    <row r="1093">
      <c r="A1093" t="n">
        <v>1092</v>
      </c>
      <c r="B1093">
        <f>Schedule!$A$158</f>
        <v/>
      </c>
      <c r="C1093">
        <f>Schedule!$D$158</f>
        <v/>
      </c>
      <c r="D1093">
        <f>Schedule!$F$158</f>
        <v/>
      </c>
      <c r="E1093" t="n">
        <v>6</v>
      </c>
      <c r="F1093">
        <f>Schedule!$M$1</f>
        <v/>
      </c>
      <c r="G1093">
        <f>Schedule!$M$2</f>
        <v/>
      </c>
      <c r="H1093">
        <f>Schedule!$M$158</f>
        <v/>
      </c>
      <c r="I1093">
        <f>IF($N1093=1,VALUE(LEFT($H1093,2)),"")</f>
        <v/>
      </c>
      <c r="J1093">
        <f>IF($N1093=1,VALUE(MID($H1093,9,2)),"")</f>
        <v/>
      </c>
      <c r="K1093">
        <f>IF($N1093=1,MOD($J1093-$I1093,24),0)</f>
        <v/>
      </c>
      <c r="L1093">
        <f>IF($N1093=1,$E1093*24+$I1093,"")</f>
        <v/>
      </c>
      <c r="M1093">
        <f>IF($N1093=1,$L1093+$K1093,"")</f>
        <v/>
      </c>
      <c r="N1093">
        <f>IF(ISNUMBER(SEARCH(" - ",$H1093&amp;"")),1,0)</f>
        <v/>
      </c>
      <c r="O1093">
        <f>IF(UPPER($H1093&amp;"")="LEAVE",1,0)</f>
        <v/>
      </c>
      <c r="P1093">
        <f>IF($N1093=1,$K1093,0)</f>
        <v/>
      </c>
      <c r="Q1093">
        <f>IF($N1093=0,"",IFERROR($L1093-LOOKUP(2,1/(($B$2:$B1092=$B1093)*($N$2:$N1092=1)),$M$2:$M1092),""))</f>
        <v/>
      </c>
    </row>
    <row r="1094">
      <c r="A1094" t="n">
        <v>1093</v>
      </c>
      <c r="B1094">
        <f>Schedule!$A$159</f>
        <v/>
      </c>
      <c r="C1094">
        <f>Schedule!$D$159</f>
        <v/>
      </c>
      <c r="D1094">
        <f>Schedule!$F$159</f>
        <v/>
      </c>
      <c r="E1094" t="n">
        <v>0</v>
      </c>
      <c r="F1094">
        <f>Schedule!$G$1</f>
        <v/>
      </c>
      <c r="G1094">
        <f>Schedule!$G$2</f>
        <v/>
      </c>
      <c r="H1094">
        <f>Schedule!$G$159</f>
        <v/>
      </c>
      <c r="I1094">
        <f>IF($N1094=1,VALUE(LEFT($H1094,2)),"")</f>
        <v/>
      </c>
      <c r="J1094">
        <f>IF($N1094=1,VALUE(MID($H1094,9,2)),"")</f>
        <v/>
      </c>
      <c r="K1094">
        <f>IF($N1094=1,MOD($J1094-$I1094,24),0)</f>
        <v/>
      </c>
      <c r="L1094">
        <f>IF($N1094=1,$E1094*24+$I1094,"")</f>
        <v/>
      </c>
      <c r="M1094">
        <f>IF($N1094=1,$L1094+$K1094,"")</f>
        <v/>
      </c>
      <c r="N1094">
        <f>IF(ISNUMBER(SEARCH(" - ",$H1094&amp;"")),1,0)</f>
        <v/>
      </c>
      <c r="O1094">
        <f>IF(UPPER($H1094&amp;"")="LEAVE",1,0)</f>
        <v/>
      </c>
      <c r="P1094">
        <f>IF($N1094=1,$K1094,0)</f>
        <v/>
      </c>
      <c r="Q1094">
        <f>IF($N1094=0,"",IFERROR($L1094-'Previous Engine'!$M$158,""))</f>
        <v/>
      </c>
    </row>
    <row r="1095">
      <c r="A1095" t="n">
        <v>1094</v>
      </c>
      <c r="B1095">
        <f>Schedule!$A$159</f>
        <v/>
      </c>
      <c r="C1095">
        <f>Schedule!$D$159</f>
        <v/>
      </c>
      <c r="D1095">
        <f>Schedule!$F$159</f>
        <v/>
      </c>
      <c r="E1095" t="n">
        <v>1</v>
      </c>
      <c r="F1095">
        <f>Schedule!$H$1</f>
        <v/>
      </c>
      <c r="G1095">
        <f>Schedule!$H$2</f>
        <v/>
      </c>
      <c r="H1095">
        <f>Schedule!$H$159</f>
        <v/>
      </c>
      <c r="I1095">
        <f>IF($N1095=1,VALUE(LEFT($H1095,2)),"")</f>
        <v/>
      </c>
      <c r="J1095">
        <f>IF($N1095=1,VALUE(MID($H1095,9,2)),"")</f>
        <v/>
      </c>
      <c r="K1095">
        <f>IF($N1095=1,MOD($J1095-$I1095,24),0)</f>
        <v/>
      </c>
      <c r="L1095">
        <f>IF($N1095=1,$E1095*24+$I1095,"")</f>
        <v/>
      </c>
      <c r="M1095">
        <f>IF($N1095=1,$L1095+$K1095,"")</f>
        <v/>
      </c>
      <c r="N1095">
        <f>IF(ISNUMBER(SEARCH(" - ",$H1095&amp;"")),1,0)</f>
        <v/>
      </c>
      <c r="O1095">
        <f>IF(UPPER($H1095&amp;"")="LEAVE",1,0)</f>
        <v/>
      </c>
      <c r="P1095">
        <f>IF($N1095=1,$K1095,0)</f>
        <v/>
      </c>
      <c r="Q1095">
        <f>IF($N1095=0,"",IFERROR($L1095-LOOKUP(2,1/(($B$2:$B1094=$B1095)*($N$2:$N1094=1)),$M$2:$M1094),""))</f>
        <v/>
      </c>
    </row>
    <row r="1096">
      <c r="A1096" t="n">
        <v>1095</v>
      </c>
      <c r="B1096">
        <f>Schedule!$A$159</f>
        <v/>
      </c>
      <c r="C1096">
        <f>Schedule!$D$159</f>
        <v/>
      </c>
      <c r="D1096">
        <f>Schedule!$F$159</f>
        <v/>
      </c>
      <c r="E1096" t="n">
        <v>2</v>
      </c>
      <c r="F1096">
        <f>Schedule!$I$1</f>
        <v/>
      </c>
      <c r="G1096">
        <f>Schedule!$I$2</f>
        <v/>
      </c>
      <c r="H1096">
        <f>Schedule!$I$159</f>
        <v/>
      </c>
      <c r="I1096">
        <f>IF($N1096=1,VALUE(LEFT($H1096,2)),"")</f>
        <v/>
      </c>
      <c r="J1096">
        <f>IF($N1096=1,VALUE(MID($H1096,9,2)),"")</f>
        <v/>
      </c>
      <c r="K1096">
        <f>IF($N1096=1,MOD($J1096-$I1096,24),0)</f>
        <v/>
      </c>
      <c r="L1096">
        <f>IF($N1096=1,$E1096*24+$I1096,"")</f>
        <v/>
      </c>
      <c r="M1096">
        <f>IF($N1096=1,$L1096+$K1096,"")</f>
        <v/>
      </c>
      <c r="N1096">
        <f>IF(ISNUMBER(SEARCH(" - ",$H1096&amp;"")),1,0)</f>
        <v/>
      </c>
      <c r="O1096">
        <f>IF(UPPER($H1096&amp;"")="LEAVE",1,0)</f>
        <v/>
      </c>
      <c r="P1096">
        <f>IF($N1096=1,$K1096,0)</f>
        <v/>
      </c>
      <c r="Q1096">
        <f>IF($N1096=0,"",IFERROR($L1096-LOOKUP(2,1/(($B$2:$B1095=$B1096)*($N$2:$N1095=1)),$M$2:$M1095),""))</f>
        <v/>
      </c>
    </row>
    <row r="1097">
      <c r="A1097" t="n">
        <v>1096</v>
      </c>
      <c r="B1097">
        <f>Schedule!$A$159</f>
        <v/>
      </c>
      <c r="C1097">
        <f>Schedule!$D$159</f>
        <v/>
      </c>
      <c r="D1097">
        <f>Schedule!$F$159</f>
        <v/>
      </c>
      <c r="E1097" t="n">
        <v>3</v>
      </c>
      <c r="F1097">
        <f>Schedule!$J$1</f>
        <v/>
      </c>
      <c r="G1097">
        <f>Schedule!$J$2</f>
        <v/>
      </c>
      <c r="H1097">
        <f>Schedule!$J$159</f>
        <v/>
      </c>
      <c r="I1097">
        <f>IF($N1097=1,VALUE(LEFT($H1097,2)),"")</f>
        <v/>
      </c>
      <c r="J1097">
        <f>IF($N1097=1,VALUE(MID($H1097,9,2)),"")</f>
        <v/>
      </c>
      <c r="K1097">
        <f>IF($N1097=1,MOD($J1097-$I1097,24),0)</f>
        <v/>
      </c>
      <c r="L1097">
        <f>IF($N1097=1,$E1097*24+$I1097,"")</f>
        <v/>
      </c>
      <c r="M1097">
        <f>IF($N1097=1,$L1097+$K1097,"")</f>
        <v/>
      </c>
      <c r="N1097">
        <f>IF(ISNUMBER(SEARCH(" - ",$H1097&amp;"")),1,0)</f>
        <v/>
      </c>
      <c r="O1097">
        <f>IF(UPPER($H1097&amp;"")="LEAVE",1,0)</f>
        <v/>
      </c>
      <c r="P1097">
        <f>IF($N1097=1,$K1097,0)</f>
        <v/>
      </c>
      <c r="Q1097">
        <f>IF($N1097=0,"",IFERROR($L1097-LOOKUP(2,1/(($B$2:$B1096=$B1097)*($N$2:$N1096=1)),$M$2:$M1096),""))</f>
        <v/>
      </c>
    </row>
    <row r="1098">
      <c r="A1098" t="n">
        <v>1097</v>
      </c>
      <c r="B1098">
        <f>Schedule!$A$159</f>
        <v/>
      </c>
      <c r="C1098">
        <f>Schedule!$D$159</f>
        <v/>
      </c>
      <c r="D1098">
        <f>Schedule!$F$159</f>
        <v/>
      </c>
      <c r="E1098" t="n">
        <v>4</v>
      </c>
      <c r="F1098">
        <f>Schedule!$K$1</f>
        <v/>
      </c>
      <c r="G1098">
        <f>Schedule!$K$2</f>
        <v/>
      </c>
      <c r="H1098">
        <f>Schedule!$K$159</f>
        <v/>
      </c>
      <c r="I1098">
        <f>IF($N1098=1,VALUE(LEFT($H1098,2)),"")</f>
        <v/>
      </c>
      <c r="J1098">
        <f>IF($N1098=1,VALUE(MID($H1098,9,2)),"")</f>
        <v/>
      </c>
      <c r="K1098">
        <f>IF($N1098=1,MOD($J1098-$I1098,24),0)</f>
        <v/>
      </c>
      <c r="L1098">
        <f>IF($N1098=1,$E1098*24+$I1098,"")</f>
        <v/>
      </c>
      <c r="M1098">
        <f>IF($N1098=1,$L1098+$K1098,"")</f>
        <v/>
      </c>
      <c r="N1098">
        <f>IF(ISNUMBER(SEARCH(" - ",$H1098&amp;"")),1,0)</f>
        <v/>
      </c>
      <c r="O1098">
        <f>IF(UPPER($H1098&amp;"")="LEAVE",1,0)</f>
        <v/>
      </c>
      <c r="P1098">
        <f>IF($N1098=1,$K1098,0)</f>
        <v/>
      </c>
      <c r="Q1098">
        <f>IF($N1098=0,"",IFERROR($L1098-LOOKUP(2,1/(($B$2:$B1097=$B1098)*($N$2:$N1097=1)),$M$2:$M1097),""))</f>
        <v/>
      </c>
    </row>
    <row r="1099">
      <c r="A1099" t="n">
        <v>1098</v>
      </c>
      <c r="B1099">
        <f>Schedule!$A$159</f>
        <v/>
      </c>
      <c r="C1099">
        <f>Schedule!$D$159</f>
        <v/>
      </c>
      <c r="D1099">
        <f>Schedule!$F$159</f>
        <v/>
      </c>
      <c r="E1099" t="n">
        <v>5</v>
      </c>
      <c r="F1099">
        <f>Schedule!$L$1</f>
        <v/>
      </c>
      <c r="G1099">
        <f>Schedule!$L$2</f>
        <v/>
      </c>
      <c r="H1099">
        <f>Schedule!$L$159</f>
        <v/>
      </c>
      <c r="I1099">
        <f>IF($N1099=1,VALUE(LEFT($H1099,2)),"")</f>
        <v/>
      </c>
      <c r="J1099">
        <f>IF($N1099=1,VALUE(MID($H1099,9,2)),"")</f>
        <v/>
      </c>
      <c r="K1099">
        <f>IF($N1099=1,MOD($J1099-$I1099,24),0)</f>
        <v/>
      </c>
      <c r="L1099">
        <f>IF($N1099=1,$E1099*24+$I1099,"")</f>
        <v/>
      </c>
      <c r="M1099">
        <f>IF($N1099=1,$L1099+$K1099,"")</f>
        <v/>
      </c>
      <c r="N1099">
        <f>IF(ISNUMBER(SEARCH(" - ",$H1099&amp;"")),1,0)</f>
        <v/>
      </c>
      <c r="O1099">
        <f>IF(UPPER($H1099&amp;"")="LEAVE",1,0)</f>
        <v/>
      </c>
      <c r="P1099">
        <f>IF($N1099=1,$K1099,0)</f>
        <v/>
      </c>
      <c r="Q1099">
        <f>IF($N1099=0,"",IFERROR($L1099-LOOKUP(2,1/(($B$2:$B1098=$B1099)*($N$2:$N1098=1)),$M$2:$M1098),""))</f>
        <v/>
      </c>
    </row>
    <row r="1100">
      <c r="A1100" t="n">
        <v>1099</v>
      </c>
      <c r="B1100">
        <f>Schedule!$A$159</f>
        <v/>
      </c>
      <c r="C1100">
        <f>Schedule!$D$159</f>
        <v/>
      </c>
      <c r="D1100">
        <f>Schedule!$F$159</f>
        <v/>
      </c>
      <c r="E1100" t="n">
        <v>6</v>
      </c>
      <c r="F1100">
        <f>Schedule!$M$1</f>
        <v/>
      </c>
      <c r="G1100">
        <f>Schedule!$M$2</f>
        <v/>
      </c>
      <c r="H1100">
        <f>Schedule!$M$159</f>
        <v/>
      </c>
      <c r="I1100">
        <f>IF($N1100=1,VALUE(LEFT($H1100,2)),"")</f>
        <v/>
      </c>
      <c r="J1100">
        <f>IF($N1100=1,VALUE(MID($H1100,9,2)),"")</f>
        <v/>
      </c>
      <c r="K1100">
        <f>IF($N1100=1,MOD($J1100-$I1100,24),0)</f>
        <v/>
      </c>
      <c r="L1100">
        <f>IF($N1100=1,$E1100*24+$I1100,"")</f>
        <v/>
      </c>
      <c r="M1100">
        <f>IF($N1100=1,$L1100+$K1100,"")</f>
        <v/>
      </c>
      <c r="N1100">
        <f>IF(ISNUMBER(SEARCH(" - ",$H1100&amp;"")),1,0)</f>
        <v/>
      </c>
      <c r="O1100">
        <f>IF(UPPER($H1100&amp;"")="LEAVE",1,0)</f>
        <v/>
      </c>
      <c r="P1100">
        <f>IF($N1100=1,$K1100,0)</f>
        <v/>
      </c>
      <c r="Q1100">
        <f>IF($N1100=0,"",IFERROR($L1100-LOOKUP(2,1/(($B$2:$B1099=$B1100)*($N$2:$N1099=1)),$M$2:$M1099),""))</f>
        <v/>
      </c>
    </row>
    <row r="1101">
      <c r="A1101" t="n">
        <v>1100</v>
      </c>
      <c r="B1101">
        <f>Schedule!$A$160</f>
        <v/>
      </c>
      <c r="C1101">
        <f>Schedule!$D$160</f>
        <v/>
      </c>
      <c r="D1101">
        <f>Schedule!$F$160</f>
        <v/>
      </c>
      <c r="E1101" t="n">
        <v>0</v>
      </c>
      <c r="F1101">
        <f>Schedule!$G$1</f>
        <v/>
      </c>
      <c r="G1101">
        <f>Schedule!$G$2</f>
        <v/>
      </c>
      <c r="H1101">
        <f>Schedule!$G$160</f>
        <v/>
      </c>
      <c r="I1101">
        <f>IF($N1101=1,VALUE(LEFT($H1101,2)),"")</f>
        <v/>
      </c>
      <c r="J1101">
        <f>IF($N1101=1,VALUE(MID($H1101,9,2)),"")</f>
        <v/>
      </c>
      <c r="K1101">
        <f>IF($N1101=1,MOD($J1101-$I1101,24),0)</f>
        <v/>
      </c>
      <c r="L1101">
        <f>IF($N1101=1,$E1101*24+$I1101,"")</f>
        <v/>
      </c>
      <c r="M1101">
        <f>IF($N1101=1,$L1101+$K1101,"")</f>
        <v/>
      </c>
      <c r="N1101">
        <f>IF(ISNUMBER(SEARCH(" - ",$H1101&amp;"")),1,0)</f>
        <v/>
      </c>
      <c r="O1101">
        <f>IF(UPPER($H1101&amp;"")="LEAVE",1,0)</f>
        <v/>
      </c>
      <c r="P1101">
        <f>IF($N1101=1,$K1101,0)</f>
        <v/>
      </c>
      <c r="Q1101">
        <f>IF($N1101=0,"",IFERROR($L1101-'Previous Engine'!$M$159,""))</f>
        <v/>
      </c>
    </row>
    <row r="1102">
      <c r="A1102" t="n">
        <v>1101</v>
      </c>
      <c r="B1102">
        <f>Schedule!$A$160</f>
        <v/>
      </c>
      <c r="C1102">
        <f>Schedule!$D$160</f>
        <v/>
      </c>
      <c r="D1102">
        <f>Schedule!$F$160</f>
        <v/>
      </c>
      <c r="E1102" t="n">
        <v>1</v>
      </c>
      <c r="F1102">
        <f>Schedule!$H$1</f>
        <v/>
      </c>
      <c r="G1102">
        <f>Schedule!$H$2</f>
        <v/>
      </c>
      <c r="H1102">
        <f>Schedule!$H$160</f>
        <v/>
      </c>
      <c r="I1102">
        <f>IF($N1102=1,VALUE(LEFT($H1102,2)),"")</f>
        <v/>
      </c>
      <c r="J1102">
        <f>IF($N1102=1,VALUE(MID($H1102,9,2)),"")</f>
        <v/>
      </c>
      <c r="K1102">
        <f>IF($N1102=1,MOD($J1102-$I1102,24),0)</f>
        <v/>
      </c>
      <c r="L1102">
        <f>IF($N1102=1,$E1102*24+$I1102,"")</f>
        <v/>
      </c>
      <c r="M1102">
        <f>IF($N1102=1,$L1102+$K1102,"")</f>
        <v/>
      </c>
      <c r="N1102">
        <f>IF(ISNUMBER(SEARCH(" - ",$H1102&amp;"")),1,0)</f>
        <v/>
      </c>
      <c r="O1102">
        <f>IF(UPPER($H1102&amp;"")="LEAVE",1,0)</f>
        <v/>
      </c>
      <c r="P1102">
        <f>IF($N1102=1,$K1102,0)</f>
        <v/>
      </c>
      <c r="Q1102">
        <f>IF($N1102=0,"",IFERROR($L1102-LOOKUP(2,1/(($B$2:$B1101=$B1102)*($N$2:$N1101=1)),$M$2:$M1101),""))</f>
        <v/>
      </c>
    </row>
    <row r="1103">
      <c r="A1103" t="n">
        <v>1102</v>
      </c>
      <c r="B1103">
        <f>Schedule!$A$160</f>
        <v/>
      </c>
      <c r="C1103">
        <f>Schedule!$D$160</f>
        <v/>
      </c>
      <c r="D1103">
        <f>Schedule!$F$160</f>
        <v/>
      </c>
      <c r="E1103" t="n">
        <v>2</v>
      </c>
      <c r="F1103">
        <f>Schedule!$I$1</f>
        <v/>
      </c>
      <c r="G1103">
        <f>Schedule!$I$2</f>
        <v/>
      </c>
      <c r="H1103">
        <f>Schedule!$I$160</f>
        <v/>
      </c>
      <c r="I1103">
        <f>IF($N1103=1,VALUE(LEFT($H1103,2)),"")</f>
        <v/>
      </c>
      <c r="J1103">
        <f>IF($N1103=1,VALUE(MID($H1103,9,2)),"")</f>
        <v/>
      </c>
      <c r="K1103">
        <f>IF($N1103=1,MOD($J1103-$I1103,24),0)</f>
        <v/>
      </c>
      <c r="L1103">
        <f>IF($N1103=1,$E1103*24+$I1103,"")</f>
        <v/>
      </c>
      <c r="M1103">
        <f>IF($N1103=1,$L1103+$K1103,"")</f>
        <v/>
      </c>
      <c r="N1103">
        <f>IF(ISNUMBER(SEARCH(" - ",$H1103&amp;"")),1,0)</f>
        <v/>
      </c>
      <c r="O1103">
        <f>IF(UPPER($H1103&amp;"")="LEAVE",1,0)</f>
        <v/>
      </c>
      <c r="P1103">
        <f>IF($N1103=1,$K1103,0)</f>
        <v/>
      </c>
      <c r="Q1103">
        <f>IF($N1103=0,"",IFERROR($L1103-LOOKUP(2,1/(($B$2:$B1102=$B1103)*($N$2:$N1102=1)),$M$2:$M1102),""))</f>
        <v/>
      </c>
    </row>
    <row r="1104">
      <c r="A1104" t="n">
        <v>1103</v>
      </c>
      <c r="B1104">
        <f>Schedule!$A$160</f>
        <v/>
      </c>
      <c r="C1104">
        <f>Schedule!$D$160</f>
        <v/>
      </c>
      <c r="D1104">
        <f>Schedule!$F$160</f>
        <v/>
      </c>
      <c r="E1104" t="n">
        <v>3</v>
      </c>
      <c r="F1104">
        <f>Schedule!$J$1</f>
        <v/>
      </c>
      <c r="G1104">
        <f>Schedule!$J$2</f>
        <v/>
      </c>
      <c r="H1104">
        <f>Schedule!$J$160</f>
        <v/>
      </c>
      <c r="I1104">
        <f>IF($N1104=1,VALUE(LEFT($H1104,2)),"")</f>
        <v/>
      </c>
      <c r="J1104">
        <f>IF($N1104=1,VALUE(MID($H1104,9,2)),"")</f>
        <v/>
      </c>
      <c r="K1104">
        <f>IF($N1104=1,MOD($J1104-$I1104,24),0)</f>
        <v/>
      </c>
      <c r="L1104">
        <f>IF($N1104=1,$E1104*24+$I1104,"")</f>
        <v/>
      </c>
      <c r="M1104">
        <f>IF($N1104=1,$L1104+$K1104,"")</f>
        <v/>
      </c>
      <c r="N1104">
        <f>IF(ISNUMBER(SEARCH(" - ",$H1104&amp;"")),1,0)</f>
        <v/>
      </c>
      <c r="O1104">
        <f>IF(UPPER($H1104&amp;"")="LEAVE",1,0)</f>
        <v/>
      </c>
      <c r="P1104">
        <f>IF($N1104=1,$K1104,0)</f>
        <v/>
      </c>
      <c r="Q1104">
        <f>IF($N1104=0,"",IFERROR($L1104-LOOKUP(2,1/(($B$2:$B1103=$B1104)*($N$2:$N1103=1)),$M$2:$M1103),""))</f>
        <v/>
      </c>
    </row>
    <row r="1105">
      <c r="A1105" t="n">
        <v>1104</v>
      </c>
      <c r="B1105">
        <f>Schedule!$A$160</f>
        <v/>
      </c>
      <c r="C1105">
        <f>Schedule!$D$160</f>
        <v/>
      </c>
      <c r="D1105">
        <f>Schedule!$F$160</f>
        <v/>
      </c>
      <c r="E1105" t="n">
        <v>4</v>
      </c>
      <c r="F1105">
        <f>Schedule!$K$1</f>
        <v/>
      </c>
      <c r="G1105">
        <f>Schedule!$K$2</f>
        <v/>
      </c>
      <c r="H1105">
        <f>Schedule!$K$160</f>
        <v/>
      </c>
      <c r="I1105">
        <f>IF($N1105=1,VALUE(LEFT($H1105,2)),"")</f>
        <v/>
      </c>
      <c r="J1105">
        <f>IF($N1105=1,VALUE(MID($H1105,9,2)),"")</f>
        <v/>
      </c>
      <c r="K1105">
        <f>IF($N1105=1,MOD($J1105-$I1105,24),0)</f>
        <v/>
      </c>
      <c r="L1105">
        <f>IF($N1105=1,$E1105*24+$I1105,"")</f>
        <v/>
      </c>
      <c r="M1105">
        <f>IF($N1105=1,$L1105+$K1105,"")</f>
        <v/>
      </c>
      <c r="N1105">
        <f>IF(ISNUMBER(SEARCH(" - ",$H1105&amp;"")),1,0)</f>
        <v/>
      </c>
      <c r="O1105">
        <f>IF(UPPER($H1105&amp;"")="LEAVE",1,0)</f>
        <v/>
      </c>
      <c r="P1105">
        <f>IF($N1105=1,$K1105,0)</f>
        <v/>
      </c>
      <c r="Q1105">
        <f>IF($N1105=0,"",IFERROR($L1105-LOOKUP(2,1/(($B$2:$B1104=$B1105)*($N$2:$N1104=1)),$M$2:$M1104),""))</f>
        <v/>
      </c>
    </row>
    <row r="1106">
      <c r="A1106" t="n">
        <v>1105</v>
      </c>
      <c r="B1106">
        <f>Schedule!$A$160</f>
        <v/>
      </c>
      <c r="C1106">
        <f>Schedule!$D$160</f>
        <v/>
      </c>
      <c r="D1106">
        <f>Schedule!$F$160</f>
        <v/>
      </c>
      <c r="E1106" t="n">
        <v>5</v>
      </c>
      <c r="F1106">
        <f>Schedule!$L$1</f>
        <v/>
      </c>
      <c r="G1106">
        <f>Schedule!$L$2</f>
        <v/>
      </c>
      <c r="H1106">
        <f>Schedule!$L$160</f>
        <v/>
      </c>
      <c r="I1106">
        <f>IF($N1106=1,VALUE(LEFT($H1106,2)),"")</f>
        <v/>
      </c>
      <c r="J1106">
        <f>IF($N1106=1,VALUE(MID($H1106,9,2)),"")</f>
        <v/>
      </c>
      <c r="K1106">
        <f>IF($N1106=1,MOD($J1106-$I1106,24),0)</f>
        <v/>
      </c>
      <c r="L1106">
        <f>IF($N1106=1,$E1106*24+$I1106,"")</f>
        <v/>
      </c>
      <c r="M1106">
        <f>IF($N1106=1,$L1106+$K1106,"")</f>
        <v/>
      </c>
      <c r="N1106">
        <f>IF(ISNUMBER(SEARCH(" - ",$H1106&amp;"")),1,0)</f>
        <v/>
      </c>
      <c r="O1106">
        <f>IF(UPPER($H1106&amp;"")="LEAVE",1,0)</f>
        <v/>
      </c>
      <c r="P1106">
        <f>IF($N1106=1,$K1106,0)</f>
        <v/>
      </c>
      <c r="Q1106">
        <f>IF($N1106=0,"",IFERROR($L1106-LOOKUP(2,1/(($B$2:$B1105=$B1106)*($N$2:$N1105=1)),$M$2:$M1105),""))</f>
        <v/>
      </c>
    </row>
    <row r="1107">
      <c r="A1107" t="n">
        <v>1106</v>
      </c>
      <c r="B1107">
        <f>Schedule!$A$160</f>
        <v/>
      </c>
      <c r="C1107">
        <f>Schedule!$D$160</f>
        <v/>
      </c>
      <c r="D1107">
        <f>Schedule!$F$160</f>
        <v/>
      </c>
      <c r="E1107" t="n">
        <v>6</v>
      </c>
      <c r="F1107">
        <f>Schedule!$M$1</f>
        <v/>
      </c>
      <c r="G1107">
        <f>Schedule!$M$2</f>
        <v/>
      </c>
      <c r="H1107">
        <f>Schedule!$M$160</f>
        <v/>
      </c>
      <c r="I1107">
        <f>IF($N1107=1,VALUE(LEFT($H1107,2)),"")</f>
        <v/>
      </c>
      <c r="J1107">
        <f>IF($N1107=1,VALUE(MID($H1107,9,2)),"")</f>
        <v/>
      </c>
      <c r="K1107">
        <f>IF($N1107=1,MOD($J1107-$I1107,24),0)</f>
        <v/>
      </c>
      <c r="L1107">
        <f>IF($N1107=1,$E1107*24+$I1107,"")</f>
        <v/>
      </c>
      <c r="M1107">
        <f>IF($N1107=1,$L1107+$K1107,"")</f>
        <v/>
      </c>
      <c r="N1107">
        <f>IF(ISNUMBER(SEARCH(" - ",$H1107&amp;"")),1,0)</f>
        <v/>
      </c>
      <c r="O1107">
        <f>IF(UPPER($H1107&amp;"")="LEAVE",1,0)</f>
        <v/>
      </c>
      <c r="P1107">
        <f>IF($N1107=1,$K1107,0)</f>
        <v/>
      </c>
      <c r="Q1107">
        <f>IF($N1107=0,"",IFERROR($L1107-LOOKUP(2,1/(($B$2:$B1106=$B1107)*($N$2:$N1106=1)),$M$2:$M1106),""))</f>
        <v/>
      </c>
    </row>
    <row r="1108">
      <c r="A1108" t="n">
        <v>1107</v>
      </c>
      <c r="B1108">
        <f>Schedule!$A$161</f>
        <v/>
      </c>
      <c r="C1108">
        <f>Schedule!$D$161</f>
        <v/>
      </c>
      <c r="D1108">
        <f>Schedule!$F$161</f>
        <v/>
      </c>
      <c r="E1108" t="n">
        <v>0</v>
      </c>
      <c r="F1108">
        <f>Schedule!$G$1</f>
        <v/>
      </c>
      <c r="G1108">
        <f>Schedule!$G$2</f>
        <v/>
      </c>
      <c r="H1108">
        <f>Schedule!$G$161</f>
        <v/>
      </c>
      <c r="I1108">
        <f>IF($N1108=1,VALUE(LEFT($H1108,2)),"")</f>
        <v/>
      </c>
      <c r="J1108">
        <f>IF($N1108=1,VALUE(MID($H1108,9,2)),"")</f>
        <v/>
      </c>
      <c r="K1108">
        <f>IF($N1108=1,MOD($J1108-$I1108,24),0)</f>
        <v/>
      </c>
      <c r="L1108">
        <f>IF($N1108=1,$E1108*24+$I1108,"")</f>
        <v/>
      </c>
      <c r="M1108">
        <f>IF($N1108=1,$L1108+$K1108,"")</f>
        <v/>
      </c>
      <c r="N1108">
        <f>IF(ISNUMBER(SEARCH(" - ",$H1108&amp;"")),1,0)</f>
        <v/>
      </c>
      <c r="O1108">
        <f>IF(UPPER($H1108&amp;"")="LEAVE",1,0)</f>
        <v/>
      </c>
      <c r="P1108">
        <f>IF($N1108=1,$K1108,0)</f>
        <v/>
      </c>
      <c r="Q1108">
        <f>IF($N1108=0,"",IFERROR($L1108-'Previous Engine'!$M$160,""))</f>
        <v/>
      </c>
    </row>
    <row r="1109">
      <c r="A1109" t="n">
        <v>1108</v>
      </c>
      <c r="B1109">
        <f>Schedule!$A$161</f>
        <v/>
      </c>
      <c r="C1109">
        <f>Schedule!$D$161</f>
        <v/>
      </c>
      <c r="D1109">
        <f>Schedule!$F$161</f>
        <v/>
      </c>
      <c r="E1109" t="n">
        <v>1</v>
      </c>
      <c r="F1109">
        <f>Schedule!$H$1</f>
        <v/>
      </c>
      <c r="G1109">
        <f>Schedule!$H$2</f>
        <v/>
      </c>
      <c r="H1109">
        <f>Schedule!$H$161</f>
        <v/>
      </c>
      <c r="I1109">
        <f>IF($N1109=1,VALUE(LEFT($H1109,2)),"")</f>
        <v/>
      </c>
      <c r="J1109">
        <f>IF($N1109=1,VALUE(MID($H1109,9,2)),"")</f>
        <v/>
      </c>
      <c r="K1109">
        <f>IF($N1109=1,MOD($J1109-$I1109,24),0)</f>
        <v/>
      </c>
      <c r="L1109">
        <f>IF($N1109=1,$E1109*24+$I1109,"")</f>
        <v/>
      </c>
      <c r="M1109">
        <f>IF($N1109=1,$L1109+$K1109,"")</f>
        <v/>
      </c>
      <c r="N1109">
        <f>IF(ISNUMBER(SEARCH(" - ",$H1109&amp;"")),1,0)</f>
        <v/>
      </c>
      <c r="O1109">
        <f>IF(UPPER($H1109&amp;"")="LEAVE",1,0)</f>
        <v/>
      </c>
      <c r="P1109">
        <f>IF($N1109=1,$K1109,0)</f>
        <v/>
      </c>
      <c r="Q1109">
        <f>IF($N1109=0,"",IFERROR($L1109-LOOKUP(2,1/(($B$2:$B1108=$B1109)*($N$2:$N1108=1)),$M$2:$M1108),""))</f>
        <v/>
      </c>
    </row>
    <row r="1110">
      <c r="A1110" t="n">
        <v>1109</v>
      </c>
      <c r="B1110">
        <f>Schedule!$A$161</f>
        <v/>
      </c>
      <c r="C1110">
        <f>Schedule!$D$161</f>
        <v/>
      </c>
      <c r="D1110">
        <f>Schedule!$F$161</f>
        <v/>
      </c>
      <c r="E1110" t="n">
        <v>2</v>
      </c>
      <c r="F1110">
        <f>Schedule!$I$1</f>
        <v/>
      </c>
      <c r="G1110">
        <f>Schedule!$I$2</f>
        <v/>
      </c>
      <c r="H1110">
        <f>Schedule!$I$161</f>
        <v/>
      </c>
      <c r="I1110">
        <f>IF($N1110=1,VALUE(LEFT($H1110,2)),"")</f>
        <v/>
      </c>
      <c r="J1110">
        <f>IF($N1110=1,VALUE(MID($H1110,9,2)),"")</f>
        <v/>
      </c>
      <c r="K1110">
        <f>IF($N1110=1,MOD($J1110-$I1110,24),0)</f>
        <v/>
      </c>
      <c r="L1110">
        <f>IF($N1110=1,$E1110*24+$I1110,"")</f>
        <v/>
      </c>
      <c r="M1110">
        <f>IF($N1110=1,$L1110+$K1110,"")</f>
        <v/>
      </c>
      <c r="N1110">
        <f>IF(ISNUMBER(SEARCH(" - ",$H1110&amp;"")),1,0)</f>
        <v/>
      </c>
      <c r="O1110">
        <f>IF(UPPER($H1110&amp;"")="LEAVE",1,0)</f>
        <v/>
      </c>
      <c r="P1110">
        <f>IF($N1110=1,$K1110,0)</f>
        <v/>
      </c>
      <c r="Q1110">
        <f>IF($N1110=0,"",IFERROR($L1110-LOOKUP(2,1/(($B$2:$B1109=$B1110)*($N$2:$N1109=1)),$M$2:$M1109),""))</f>
        <v/>
      </c>
    </row>
    <row r="1111">
      <c r="A1111" t="n">
        <v>1110</v>
      </c>
      <c r="B1111">
        <f>Schedule!$A$161</f>
        <v/>
      </c>
      <c r="C1111">
        <f>Schedule!$D$161</f>
        <v/>
      </c>
      <c r="D1111">
        <f>Schedule!$F$161</f>
        <v/>
      </c>
      <c r="E1111" t="n">
        <v>3</v>
      </c>
      <c r="F1111">
        <f>Schedule!$J$1</f>
        <v/>
      </c>
      <c r="G1111">
        <f>Schedule!$J$2</f>
        <v/>
      </c>
      <c r="H1111">
        <f>Schedule!$J$161</f>
        <v/>
      </c>
      <c r="I1111">
        <f>IF($N1111=1,VALUE(LEFT($H1111,2)),"")</f>
        <v/>
      </c>
      <c r="J1111">
        <f>IF($N1111=1,VALUE(MID($H1111,9,2)),"")</f>
        <v/>
      </c>
      <c r="K1111">
        <f>IF($N1111=1,MOD($J1111-$I1111,24),0)</f>
        <v/>
      </c>
      <c r="L1111">
        <f>IF($N1111=1,$E1111*24+$I1111,"")</f>
        <v/>
      </c>
      <c r="M1111">
        <f>IF($N1111=1,$L1111+$K1111,"")</f>
        <v/>
      </c>
      <c r="N1111">
        <f>IF(ISNUMBER(SEARCH(" - ",$H1111&amp;"")),1,0)</f>
        <v/>
      </c>
      <c r="O1111">
        <f>IF(UPPER($H1111&amp;"")="LEAVE",1,0)</f>
        <v/>
      </c>
      <c r="P1111">
        <f>IF($N1111=1,$K1111,0)</f>
        <v/>
      </c>
      <c r="Q1111">
        <f>IF($N1111=0,"",IFERROR($L1111-LOOKUP(2,1/(($B$2:$B1110=$B1111)*($N$2:$N1110=1)),$M$2:$M1110),""))</f>
        <v/>
      </c>
    </row>
    <row r="1112">
      <c r="A1112" t="n">
        <v>1111</v>
      </c>
      <c r="B1112">
        <f>Schedule!$A$161</f>
        <v/>
      </c>
      <c r="C1112">
        <f>Schedule!$D$161</f>
        <v/>
      </c>
      <c r="D1112">
        <f>Schedule!$F$161</f>
        <v/>
      </c>
      <c r="E1112" t="n">
        <v>4</v>
      </c>
      <c r="F1112">
        <f>Schedule!$K$1</f>
        <v/>
      </c>
      <c r="G1112">
        <f>Schedule!$K$2</f>
        <v/>
      </c>
      <c r="H1112">
        <f>Schedule!$K$161</f>
        <v/>
      </c>
      <c r="I1112">
        <f>IF($N1112=1,VALUE(LEFT($H1112,2)),"")</f>
        <v/>
      </c>
      <c r="J1112">
        <f>IF($N1112=1,VALUE(MID($H1112,9,2)),"")</f>
        <v/>
      </c>
      <c r="K1112">
        <f>IF($N1112=1,MOD($J1112-$I1112,24),0)</f>
        <v/>
      </c>
      <c r="L1112">
        <f>IF($N1112=1,$E1112*24+$I1112,"")</f>
        <v/>
      </c>
      <c r="M1112">
        <f>IF($N1112=1,$L1112+$K1112,"")</f>
        <v/>
      </c>
      <c r="N1112">
        <f>IF(ISNUMBER(SEARCH(" - ",$H1112&amp;"")),1,0)</f>
        <v/>
      </c>
      <c r="O1112">
        <f>IF(UPPER($H1112&amp;"")="LEAVE",1,0)</f>
        <v/>
      </c>
      <c r="P1112">
        <f>IF($N1112=1,$K1112,0)</f>
        <v/>
      </c>
      <c r="Q1112">
        <f>IF($N1112=0,"",IFERROR($L1112-LOOKUP(2,1/(($B$2:$B1111=$B1112)*($N$2:$N1111=1)),$M$2:$M1111),""))</f>
        <v/>
      </c>
    </row>
    <row r="1113">
      <c r="A1113" t="n">
        <v>1112</v>
      </c>
      <c r="B1113">
        <f>Schedule!$A$161</f>
        <v/>
      </c>
      <c r="C1113">
        <f>Schedule!$D$161</f>
        <v/>
      </c>
      <c r="D1113">
        <f>Schedule!$F$161</f>
        <v/>
      </c>
      <c r="E1113" t="n">
        <v>5</v>
      </c>
      <c r="F1113">
        <f>Schedule!$L$1</f>
        <v/>
      </c>
      <c r="G1113">
        <f>Schedule!$L$2</f>
        <v/>
      </c>
      <c r="H1113">
        <f>Schedule!$L$161</f>
        <v/>
      </c>
      <c r="I1113">
        <f>IF($N1113=1,VALUE(LEFT($H1113,2)),"")</f>
        <v/>
      </c>
      <c r="J1113">
        <f>IF($N1113=1,VALUE(MID($H1113,9,2)),"")</f>
        <v/>
      </c>
      <c r="K1113">
        <f>IF($N1113=1,MOD($J1113-$I1113,24),0)</f>
        <v/>
      </c>
      <c r="L1113">
        <f>IF($N1113=1,$E1113*24+$I1113,"")</f>
        <v/>
      </c>
      <c r="M1113">
        <f>IF($N1113=1,$L1113+$K1113,"")</f>
        <v/>
      </c>
      <c r="N1113">
        <f>IF(ISNUMBER(SEARCH(" - ",$H1113&amp;"")),1,0)</f>
        <v/>
      </c>
      <c r="O1113">
        <f>IF(UPPER($H1113&amp;"")="LEAVE",1,0)</f>
        <v/>
      </c>
      <c r="P1113">
        <f>IF($N1113=1,$K1113,0)</f>
        <v/>
      </c>
      <c r="Q1113">
        <f>IF($N1113=0,"",IFERROR($L1113-LOOKUP(2,1/(($B$2:$B1112=$B1113)*($N$2:$N1112=1)),$M$2:$M1112),""))</f>
        <v/>
      </c>
    </row>
    <row r="1114">
      <c r="A1114" t="n">
        <v>1113</v>
      </c>
      <c r="B1114">
        <f>Schedule!$A$161</f>
        <v/>
      </c>
      <c r="C1114">
        <f>Schedule!$D$161</f>
        <v/>
      </c>
      <c r="D1114">
        <f>Schedule!$F$161</f>
        <v/>
      </c>
      <c r="E1114" t="n">
        <v>6</v>
      </c>
      <c r="F1114">
        <f>Schedule!$M$1</f>
        <v/>
      </c>
      <c r="G1114">
        <f>Schedule!$M$2</f>
        <v/>
      </c>
      <c r="H1114">
        <f>Schedule!$M$161</f>
        <v/>
      </c>
      <c r="I1114">
        <f>IF($N1114=1,VALUE(LEFT($H1114,2)),"")</f>
        <v/>
      </c>
      <c r="J1114">
        <f>IF($N1114=1,VALUE(MID($H1114,9,2)),"")</f>
        <v/>
      </c>
      <c r="K1114">
        <f>IF($N1114=1,MOD($J1114-$I1114,24),0)</f>
        <v/>
      </c>
      <c r="L1114">
        <f>IF($N1114=1,$E1114*24+$I1114,"")</f>
        <v/>
      </c>
      <c r="M1114">
        <f>IF($N1114=1,$L1114+$K1114,"")</f>
        <v/>
      </c>
      <c r="N1114">
        <f>IF(ISNUMBER(SEARCH(" - ",$H1114&amp;"")),1,0)</f>
        <v/>
      </c>
      <c r="O1114">
        <f>IF(UPPER($H1114&amp;"")="LEAVE",1,0)</f>
        <v/>
      </c>
      <c r="P1114">
        <f>IF($N1114=1,$K1114,0)</f>
        <v/>
      </c>
      <c r="Q1114">
        <f>IF($N1114=0,"",IFERROR($L1114-LOOKUP(2,1/(($B$2:$B1113=$B1114)*($N$2:$N1113=1)),$M$2:$M1113),""))</f>
        <v/>
      </c>
    </row>
    <row r="1115">
      <c r="A1115" t="n">
        <v>1114</v>
      </c>
      <c r="B1115">
        <f>Schedule!$A$162</f>
        <v/>
      </c>
      <c r="C1115">
        <f>Schedule!$D$162</f>
        <v/>
      </c>
      <c r="D1115">
        <f>Schedule!$F$162</f>
        <v/>
      </c>
      <c r="E1115" t="n">
        <v>0</v>
      </c>
      <c r="F1115">
        <f>Schedule!$G$1</f>
        <v/>
      </c>
      <c r="G1115">
        <f>Schedule!$G$2</f>
        <v/>
      </c>
      <c r="H1115">
        <f>Schedule!$G$162</f>
        <v/>
      </c>
      <c r="I1115">
        <f>IF($N1115=1,VALUE(LEFT($H1115,2)),"")</f>
        <v/>
      </c>
      <c r="J1115">
        <f>IF($N1115=1,VALUE(MID($H1115,9,2)),"")</f>
        <v/>
      </c>
      <c r="K1115">
        <f>IF($N1115=1,MOD($J1115-$I1115,24),0)</f>
        <v/>
      </c>
      <c r="L1115">
        <f>IF($N1115=1,$E1115*24+$I1115,"")</f>
        <v/>
      </c>
      <c r="M1115">
        <f>IF($N1115=1,$L1115+$K1115,"")</f>
        <v/>
      </c>
      <c r="N1115">
        <f>IF(ISNUMBER(SEARCH(" - ",$H1115&amp;"")),1,0)</f>
        <v/>
      </c>
      <c r="O1115">
        <f>IF(UPPER($H1115&amp;"")="LEAVE",1,0)</f>
        <v/>
      </c>
      <c r="P1115">
        <f>IF($N1115=1,$K1115,0)</f>
        <v/>
      </c>
      <c r="Q1115">
        <f>IF($N1115=0,"",IFERROR($L1115-'Previous Engine'!$M$161,""))</f>
        <v/>
      </c>
    </row>
    <row r="1116">
      <c r="A1116" t="n">
        <v>1115</v>
      </c>
      <c r="B1116">
        <f>Schedule!$A$162</f>
        <v/>
      </c>
      <c r="C1116">
        <f>Schedule!$D$162</f>
        <v/>
      </c>
      <c r="D1116">
        <f>Schedule!$F$162</f>
        <v/>
      </c>
      <c r="E1116" t="n">
        <v>1</v>
      </c>
      <c r="F1116">
        <f>Schedule!$H$1</f>
        <v/>
      </c>
      <c r="G1116">
        <f>Schedule!$H$2</f>
        <v/>
      </c>
      <c r="H1116">
        <f>Schedule!$H$162</f>
        <v/>
      </c>
      <c r="I1116">
        <f>IF($N1116=1,VALUE(LEFT($H1116,2)),"")</f>
        <v/>
      </c>
      <c r="J1116">
        <f>IF($N1116=1,VALUE(MID($H1116,9,2)),"")</f>
        <v/>
      </c>
      <c r="K1116">
        <f>IF($N1116=1,MOD($J1116-$I1116,24),0)</f>
        <v/>
      </c>
      <c r="L1116">
        <f>IF($N1116=1,$E1116*24+$I1116,"")</f>
        <v/>
      </c>
      <c r="M1116">
        <f>IF($N1116=1,$L1116+$K1116,"")</f>
        <v/>
      </c>
      <c r="N1116">
        <f>IF(ISNUMBER(SEARCH(" - ",$H1116&amp;"")),1,0)</f>
        <v/>
      </c>
      <c r="O1116">
        <f>IF(UPPER($H1116&amp;"")="LEAVE",1,0)</f>
        <v/>
      </c>
      <c r="P1116">
        <f>IF($N1116=1,$K1116,0)</f>
        <v/>
      </c>
      <c r="Q1116">
        <f>IF($N1116=0,"",IFERROR($L1116-LOOKUP(2,1/(($B$2:$B1115=$B1116)*($N$2:$N1115=1)),$M$2:$M1115),""))</f>
        <v/>
      </c>
    </row>
    <row r="1117">
      <c r="A1117" t="n">
        <v>1116</v>
      </c>
      <c r="B1117">
        <f>Schedule!$A$162</f>
        <v/>
      </c>
      <c r="C1117">
        <f>Schedule!$D$162</f>
        <v/>
      </c>
      <c r="D1117">
        <f>Schedule!$F$162</f>
        <v/>
      </c>
      <c r="E1117" t="n">
        <v>2</v>
      </c>
      <c r="F1117">
        <f>Schedule!$I$1</f>
        <v/>
      </c>
      <c r="G1117">
        <f>Schedule!$I$2</f>
        <v/>
      </c>
      <c r="H1117">
        <f>Schedule!$I$162</f>
        <v/>
      </c>
      <c r="I1117">
        <f>IF($N1117=1,VALUE(LEFT($H1117,2)),"")</f>
        <v/>
      </c>
      <c r="J1117">
        <f>IF($N1117=1,VALUE(MID($H1117,9,2)),"")</f>
        <v/>
      </c>
      <c r="K1117">
        <f>IF($N1117=1,MOD($J1117-$I1117,24),0)</f>
        <v/>
      </c>
      <c r="L1117">
        <f>IF($N1117=1,$E1117*24+$I1117,"")</f>
        <v/>
      </c>
      <c r="M1117">
        <f>IF($N1117=1,$L1117+$K1117,"")</f>
        <v/>
      </c>
      <c r="N1117">
        <f>IF(ISNUMBER(SEARCH(" - ",$H1117&amp;"")),1,0)</f>
        <v/>
      </c>
      <c r="O1117">
        <f>IF(UPPER($H1117&amp;"")="LEAVE",1,0)</f>
        <v/>
      </c>
      <c r="P1117">
        <f>IF($N1117=1,$K1117,0)</f>
        <v/>
      </c>
      <c r="Q1117">
        <f>IF($N1117=0,"",IFERROR($L1117-LOOKUP(2,1/(($B$2:$B1116=$B1117)*($N$2:$N1116=1)),$M$2:$M1116),""))</f>
        <v/>
      </c>
    </row>
    <row r="1118">
      <c r="A1118" t="n">
        <v>1117</v>
      </c>
      <c r="B1118">
        <f>Schedule!$A$162</f>
        <v/>
      </c>
      <c r="C1118">
        <f>Schedule!$D$162</f>
        <v/>
      </c>
      <c r="D1118">
        <f>Schedule!$F$162</f>
        <v/>
      </c>
      <c r="E1118" t="n">
        <v>3</v>
      </c>
      <c r="F1118">
        <f>Schedule!$J$1</f>
        <v/>
      </c>
      <c r="G1118">
        <f>Schedule!$J$2</f>
        <v/>
      </c>
      <c r="H1118">
        <f>Schedule!$J$162</f>
        <v/>
      </c>
      <c r="I1118">
        <f>IF($N1118=1,VALUE(LEFT($H1118,2)),"")</f>
        <v/>
      </c>
      <c r="J1118">
        <f>IF($N1118=1,VALUE(MID($H1118,9,2)),"")</f>
        <v/>
      </c>
      <c r="K1118">
        <f>IF($N1118=1,MOD($J1118-$I1118,24),0)</f>
        <v/>
      </c>
      <c r="L1118">
        <f>IF($N1118=1,$E1118*24+$I1118,"")</f>
        <v/>
      </c>
      <c r="M1118">
        <f>IF($N1118=1,$L1118+$K1118,"")</f>
        <v/>
      </c>
      <c r="N1118">
        <f>IF(ISNUMBER(SEARCH(" - ",$H1118&amp;"")),1,0)</f>
        <v/>
      </c>
      <c r="O1118">
        <f>IF(UPPER($H1118&amp;"")="LEAVE",1,0)</f>
        <v/>
      </c>
      <c r="P1118">
        <f>IF($N1118=1,$K1118,0)</f>
        <v/>
      </c>
      <c r="Q1118">
        <f>IF($N1118=0,"",IFERROR($L1118-LOOKUP(2,1/(($B$2:$B1117=$B1118)*($N$2:$N1117=1)),$M$2:$M1117),""))</f>
        <v/>
      </c>
    </row>
    <row r="1119">
      <c r="A1119" t="n">
        <v>1118</v>
      </c>
      <c r="B1119">
        <f>Schedule!$A$162</f>
        <v/>
      </c>
      <c r="C1119">
        <f>Schedule!$D$162</f>
        <v/>
      </c>
      <c r="D1119">
        <f>Schedule!$F$162</f>
        <v/>
      </c>
      <c r="E1119" t="n">
        <v>4</v>
      </c>
      <c r="F1119">
        <f>Schedule!$K$1</f>
        <v/>
      </c>
      <c r="G1119">
        <f>Schedule!$K$2</f>
        <v/>
      </c>
      <c r="H1119">
        <f>Schedule!$K$162</f>
        <v/>
      </c>
      <c r="I1119">
        <f>IF($N1119=1,VALUE(LEFT($H1119,2)),"")</f>
        <v/>
      </c>
      <c r="J1119">
        <f>IF($N1119=1,VALUE(MID($H1119,9,2)),"")</f>
        <v/>
      </c>
      <c r="K1119">
        <f>IF($N1119=1,MOD($J1119-$I1119,24),0)</f>
        <v/>
      </c>
      <c r="L1119">
        <f>IF($N1119=1,$E1119*24+$I1119,"")</f>
        <v/>
      </c>
      <c r="M1119">
        <f>IF($N1119=1,$L1119+$K1119,"")</f>
        <v/>
      </c>
      <c r="N1119">
        <f>IF(ISNUMBER(SEARCH(" - ",$H1119&amp;"")),1,0)</f>
        <v/>
      </c>
      <c r="O1119">
        <f>IF(UPPER($H1119&amp;"")="LEAVE",1,0)</f>
        <v/>
      </c>
      <c r="P1119">
        <f>IF($N1119=1,$K1119,0)</f>
        <v/>
      </c>
      <c r="Q1119">
        <f>IF($N1119=0,"",IFERROR($L1119-LOOKUP(2,1/(($B$2:$B1118=$B1119)*($N$2:$N1118=1)),$M$2:$M1118),""))</f>
        <v/>
      </c>
    </row>
    <row r="1120">
      <c r="A1120" t="n">
        <v>1119</v>
      </c>
      <c r="B1120">
        <f>Schedule!$A$162</f>
        <v/>
      </c>
      <c r="C1120">
        <f>Schedule!$D$162</f>
        <v/>
      </c>
      <c r="D1120">
        <f>Schedule!$F$162</f>
        <v/>
      </c>
      <c r="E1120" t="n">
        <v>5</v>
      </c>
      <c r="F1120">
        <f>Schedule!$L$1</f>
        <v/>
      </c>
      <c r="G1120">
        <f>Schedule!$L$2</f>
        <v/>
      </c>
      <c r="H1120">
        <f>Schedule!$L$162</f>
        <v/>
      </c>
      <c r="I1120">
        <f>IF($N1120=1,VALUE(LEFT($H1120,2)),"")</f>
        <v/>
      </c>
      <c r="J1120">
        <f>IF($N1120=1,VALUE(MID($H1120,9,2)),"")</f>
        <v/>
      </c>
      <c r="K1120">
        <f>IF($N1120=1,MOD($J1120-$I1120,24),0)</f>
        <v/>
      </c>
      <c r="L1120">
        <f>IF($N1120=1,$E1120*24+$I1120,"")</f>
        <v/>
      </c>
      <c r="M1120">
        <f>IF($N1120=1,$L1120+$K1120,"")</f>
        <v/>
      </c>
      <c r="N1120">
        <f>IF(ISNUMBER(SEARCH(" - ",$H1120&amp;"")),1,0)</f>
        <v/>
      </c>
      <c r="O1120">
        <f>IF(UPPER($H1120&amp;"")="LEAVE",1,0)</f>
        <v/>
      </c>
      <c r="P1120">
        <f>IF($N1120=1,$K1120,0)</f>
        <v/>
      </c>
      <c r="Q1120">
        <f>IF($N1120=0,"",IFERROR($L1120-LOOKUP(2,1/(($B$2:$B1119=$B1120)*($N$2:$N1119=1)),$M$2:$M1119),""))</f>
        <v/>
      </c>
    </row>
    <row r="1121">
      <c r="A1121" t="n">
        <v>1120</v>
      </c>
      <c r="B1121">
        <f>Schedule!$A$162</f>
        <v/>
      </c>
      <c r="C1121">
        <f>Schedule!$D$162</f>
        <v/>
      </c>
      <c r="D1121">
        <f>Schedule!$F$162</f>
        <v/>
      </c>
      <c r="E1121" t="n">
        <v>6</v>
      </c>
      <c r="F1121">
        <f>Schedule!$M$1</f>
        <v/>
      </c>
      <c r="G1121">
        <f>Schedule!$M$2</f>
        <v/>
      </c>
      <c r="H1121">
        <f>Schedule!$M$162</f>
        <v/>
      </c>
      <c r="I1121">
        <f>IF($N1121=1,VALUE(LEFT($H1121,2)),"")</f>
        <v/>
      </c>
      <c r="J1121">
        <f>IF($N1121=1,VALUE(MID($H1121,9,2)),"")</f>
        <v/>
      </c>
      <c r="K1121">
        <f>IF($N1121=1,MOD($J1121-$I1121,24),0)</f>
        <v/>
      </c>
      <c r="L1121">
        <f>IF($N1121=1,$E1121*24+$I1121,"")</f>
        <v/>
      </c>
      <c r="M1121">
        <f>IF($N1121=1,$L1121+$K1121,"")</f>
        <v/>
      </c>
      <c r="N1121">
        <f>IF(ISNUMBER(SEARCH(" - ",$H1121&amp;"")),1,0)</f>
        <v/>
      </c>
      <c r="O1121">
        <f>IF(UPPER($H1121&amp;"")="LEAVE",1,0)</f>
        <v/>
      </c>
      <c r="P1121">
        <f>IF($N1121=1,$K1121,0)</f>
        <v/>
      </c>
      <c r="Q1121">
        <f>IF($N1121=0,"",IFERROR($L1121-LOOKUP(2,1/(($B$2:$B1120=$B1121)*($N$2:$N1120=1)),$M$2:$M1120),""))</f>
        <v/>
      </c>
    </row>
    <row r="1122">
      <c r="A1122" t="n">
        <v>1121</v>
      </c>
      <c r="B1122">
        <f>Schedule!$A$163</f>
        <v/>
      </c>
      <c r="C1122">
        <f>Schedule!$D$163</f>
        <v/>
      </c>
      <c r="D1122">
        <f>Schedule!$F$163</f>
        <v/>
      </c>
      <c r="E1122" t="n">
        <v>0</v>
      </c>
      <c r="F1122">
        <f>Schedule!$G$1</f>
        <v/>
      </c>
      <c r="G1122">
        <f>Schedule!$G$2</f>
        <v/>
      </c>
      <c r="H1122">
        <f>Schedule!$G$163</f>
        <v/>
      </c>
      <c r="I1122">
        <f>IF($N1122=1,VALUE(LEFT($H1122,2)),"")</f>
        <v/>
      </c>
      <c r="J1122">
        <f>IF($N1122=1,VALUE(MID($H1122,9,2)),"")</f>
        <v/>
      </c>
      <c r="K1122">
        <f>IF($N1122=1,MOD($J1122-$I1122,24),0)</f>
        <v/>
      </c>
      <c r="L1122">
        <f>IF($N1122=1,$E1122*24+$I1122,"")</f>
        <v/>
      </c>
      <c r="M1122">
        <f>IF($N1122=1,$L1122+$K1122,"")</f>
        <v/>
      </c>
      <c r="N1122">
        <f>IF(ISNUMBER(SEARCH(" - ",$H1122&amp;"")),1,0)</f>
        <v/>
      </c>
      <c r="O1122">
        <f>IF(UPPER($H1122&amp;"")="LEAVE",1,0)</f>
        <v/>
      </c>
      <c r="P1122">
        <f>IF($N1122=1,$K1122,0)</f>
        <v/>
      </c>
      <c r="Q1122">
        <f>IF($N1122=0,"",IFERROR($L1122-'Previous Engine'!$M$162,""))</f>
        <v/>
      </c>
    </row>
    <row r="1123">
      <c r="A1123" t="n">
        <v>1122</v>
      </c>
      <c r="B1123">
        <f>Schedule!$A$163</f>
        <v/>
      </c>
      <c r="C1123">
        <f>Schedule!$D$163</f>
        <v/>
      </c>
      <c r="D1123">
        <f>Schedule!$F$163</f>
        <v/>
      </c>
      <c r="E1123" t="n">
        <v>1</v>
      </c>
      <c r="F1123">
        <f>Schedule!$H$1</f>
        <v/>
      </c>
      <c r="G1123">
        <f>Schedule!$H$2</f>
        <v/>
      </c>
      <c r="H1123">
        <f>Schedule!$H$163</f>
        <v/>
      </c>
      <c r="I1123">
        <f>IF($N1123=1,VALUE(LEFT($H1123,2)),"")</f>
        <v/>
      </c>
      <c r="J1123">
        <f>IF($N1123=1,VALUE(MID($H1123,9,2)),"")</f>
        <v/>
      </c>
      <c r="K1123">
        <f>IF($N1123=1,MOD($J1123-$I1123,24),0)</f>
        <v/>
      </c>
      <c r="L1123">
        <f>IF($N1123=1,$E1123*24+$I1123,"")</f>
        <v/>
      </c>
      <c r="M1123">
        <f>IF($N1123=1,$L1123+$K1123,"")</f>
        <v/>
      </c>
      <c r="N1123">
        <f>IF(ISNUMBER(SEARCH(" - ",$H1123&amp;"")),1,0)</f>
        <v/>
      </c>
      <c r="O1123">
        <f>IF(UPPER($H1123&amp;"")="LEAVE",1,0)</f>
        <v/>
      </c>
      <c r="P1123">
        <f>IF($N1123=1,$K1123,0)</f>
        <v/>
      </c>
      <c r="Q1123">
        <f>IF($N1123=0,"",IFERROR($L1123-LOOKUP(2,1/(($B$2:$B1122=$B1123)*($N$2:$N1122=1)),$M$2:$M1122),""))</f>
        <v/>
      </c>
    </row>
    <row r="1124">
      <c r="A1124" t="n">
        <v>1123</v>
      </c>
      <c r="B1124">
        <f>Schedule!$A$163</f>
        <v/>
      </c>
      <c r="C1124">
        <f>Schedule!$D$163</f>
        <v/>
      </c>
      <c r="D1124">
        <f>Schedule!$F$163</f>
        <v/>
      </c>
      <c r="E1124" t="n">
        <v>2</v>
      </c>
      <c r="F1124">
        <f>Schedule!$I$1</f>
        <v/>
      </c>
      <c r="G1124">
        <f>Schedule!$I$2</f>
        <v/>
      </c>
      <c r="H1124">
        <f>Schedule!$I$163</f>
        <v/>
      </c>
      <c r="I1124">
        <f>IF($N1124=1,VALUE(LEFT($H1124,2)),"")</f>
        <v/>
      </c>
      <c r="J1124">
        <f>IF($N1124=1,VALUE(MID($H1124,9,2)),"")</f>
        <v/>
      </c>
      <c r="K1124">
        <f>IF($N1124=1,MOD($J1124-$I1124,24),0)</f>
        <v/>
      </c>
      <c r="L1124">
        <f>IF($N1124=1,$E1124*24+$I1124,"")</f>
        <v/>
      </c>
      <c r="M1124">
        <f>IF($N1124=1,$L1124+$K1124,"")</f>
        <v/>
      </c>
      <c r="N1124">
        <f>IF(ISNUMBER(SEARCH(" - ",$H1124&amp;"")),1,0)</f>
        <v/>
      </c>
      <c r="O1124">
        <f>IF(UPPER($H1124&amp;"")="LEAVE",1,0)</f>
        <v/>
      </c>
      <c r="P1124">
        <f>IF($N1124=1,$K1124,0)</f>
        <v/>
      </c>
      <c r="Q1124">
        <f>IF($N1124=0,"",IFERROR($L1124-LOOKUP(2,1/(($B$2:$B1123=$B1124)*($N$2:$N1123=1)),$M$2:$M1123),""))</f>
        <v/>
      </c>
    </row>
    <row r="1125">
      <c r="A1125" t="n">
        <v>1124</v>
      </c>
      <c r="B1125">
        <f>Schedule!$A$163</f>
        <v/>
      </c>
      <c r="C1125">
        <f>Schedule!$D$163</f>
        <v/>
      </c>
      <c r="D1125">
        <f>Schedule!$F$163</f>
        <v/>
      </c>
      <c r="E1125" t="n">
        <v>3</v>
      </c>
      <c r="F1125">
        <f>Schedule!$J$1</f>
        <v/>
      </c>
      <c r="G1125">
        <f>Schedule!$J$2</f>
        <v/>
      </c>
      <c r="H1125">
        <f>Schedule!$J$163</f>
        <v/>
      </c>
      <c r="I1125">
        <f>IF($N1125=1,VALUE(LEFT($H1125,2)),"")</f>
        <v/>
      </c>
      <c r="J1125">
        <f>IF($N1125=1,VALUE(MID($H1125,9,2)),"")</f>
        <v/>
      </c>
      <c r="K1125">
        <f>IF($N1125=1,MOD($J1125-$I1125,24),0)</f>
        <v/>
      </c>
      <c r="L1125">
        <f>IF($N1125=1,$E1125*24+$I1125,"")</f>
        <v/>
      </c>
      <c r="M1125">
        <f>IF($N1125=1,$L1125+$K1125,"")</f>
        <v/>
      </c>
      <c r="N1125">
        <f>IF(ISNUMBER(SEARCH(" - ",$H1125&amp;"")),1,0)</f>
        <v/>
      </c>
      <c r="O1125">
        <f>IF(UPPER($H1125&amp;"")="LEAVE",1,0)</f>
        <v/>
      </c>
      <c r="P1125">
        <f>IF($N1125=1,$K1125,0)</f>
        <v/>
      </c>
      <c r="Q1125">
        <f>IF($N1125=0,"",IFERROR($L1125-LOOKUP(2,1/(($B$2:$B1124=$B1125)*($N$2:$N1124=1)),$M$2:$M1124),""))</f>
        <v/>
      </c>
    </row>
    <row r="1126">
      <c r="A1126" t="n">
        <v>1125</v>
      </c>
      <c r="B1126">
        <f>Schedule!$A$163</f>
        <v/>
      </c>
      <c r="C1126">
        <f>Schedule!$D$163</f>
        <v/>
      </c>
      <c r="D1126">
        <f>Schedule!$F$163</f>
        <v/>
      </c>
      <c r="E1126" t="n">
        <v>4</v>
      </c>
      <c r="F1126">
        <f>Schedule!$K$1</f>
        <v/>
      </c>
      <c r="G1126">
        <f>Schedule!$K$2</f>
        <v/>
      </c>
      <c r="H1126">
        <f>Schedule!$K$163</f>
        <v/>
      </c>
      <c r="I1126">
        <f>IF($N1126=1,VALUE(LEFT($H1126,2)),"")</f>
        <v/>
      </c>
      <c r="J1126">
        <f>IF($N1126=1,VALUE(MID($H1126,9,2)),"")</f>
        <v/>
      </c>
      <c r="K1126">
        <f>IF($N1126=1,MOD($J1126-$I1126,24),0)</f>
        <v/>
      </c>
      <c r="L1126">
        <f>IF($N1126=1,$E1126*24+$I1126,"")</f>
        <v/>
      </c>
      <c r="M1126">
        <f>IF($N1126=1,$L1126+$K1126,"")</f>
        <v/>
      </c>
      <c r="N1126">
        <f>IF(ISNUMBER(SEARCH(" - ",$H1126&amp;"")),1,0)</f>
        <v/>
      </c>
      <c r="O1126">
        <f>IF(UPPER($H1126&amp;"")="LEAVE",1,0)</f>
        <v/>
      </c>
      <c r="P1126">
        <f>IF($N1126=1,$K1126,0)</f>
        <v/>
      </c>
      <c r="Q1126">
        <f>IF($N1126=0,"",IFERROR($L1126-LOOKUP(2,1/(($B$2:$B1125=$B1126)*($N$2:$N1125=1)),$M$2:$M1125),""))</f>
        <v/>
      </c>
    </row>
    <row r="1127">
      <c r="A1127" t="n">
        <v>1126</v>
      </c>
      <c r="B1127">
        <f>Schedule!$A$163</f>
        <v/>
      </c>
      <c r="C1127">
        <f>Schedule!$D$163</f>
        <v/>
      </c>
      <c r="D1127">
        <f>Schedule!$F$163</f>
        <v/>
      </c>
      <c r="E1127" t="n">
        <v>5</v>
      </c>
      <c r="F1127">
        <f>Schedule!$L$1</f>
        <v/>
      </c>
      <c r="G1127">
        <f>Schedule!$L$2</f>
        <v/>
      </c>
      <c r="H1127">
        <f>Schedule!$L$163</f>
        <v/>
      </c>
      <c r="I1127">
        <f>IF($N1127=1,VALUE(LEFT($H1127,2)),"")</f>
        <v/>
      </c>
      <c r="J1127">
        <f>IF($N1127=1,VALUE(MID($H1127,9,2)),"")</f>
        <v/>
      </c>
      <c r="K1127">
        <f>IF($N1127=1,MOD($J1127-$I1127,24),0)</f>
        <v/>
      </c>
      <c r="L1127">
        <f>IF($N1127=1,$E1127*24+$I1127,"")</f>
        <v/>
      </c>
      <c r="M1127">
        <f>IF($N1127=1,$L1127+$K1127,"")</f>
        <v/>
      </c>
      <c r="N1127">
        <f>IF(ISNUMBER(SEARCH(" - ",$H1127&amp;"")),1,0)</f>
        <v/>
      </c>
      <c r="O1127">
        <f>IF(UPPER($H1127&amp;"")="LEAVE",1,0)</f>
        <v/>
      </c>
      <c r="P1127">
        <f>IF($N1127=1,$K1127,0)</f>
        <v/>
      </c>
      <c r="Q1127">
        <f>IF($N1127=0,"",IFERROR($L1127-LOOKUP(2,1/(($B$2:$B1126=$B1127)*($N$2:$N1126=1)),$M$2:$M1126),""))</f>
        <v/>
      </c>
    </row>
    <row r="1128">
      <c r="A1128" t="n">
        <v>1127</v>
      </c>
      <c r="B1128">
        <f>Schedule!$A$163</f>
        <v/>
      </c>
      <c r="C1128">
        <f>Schedule!$D$163</f>
        <v/>
      </c>
      <c r="D1128">
        <f>Schedule!$F$163</f>
        <v/>
      </c>
      <c r="E1128" t="n">
        <v>6</v>
      </c>
      <c r="F1128">
        <f>Schedule!$M$1</f>
        <v/>
      </c>
      <c r="G1128">
        <f>Schedule!$M$2</f>
        <v/>
      </c>
      <c r="H1128">
        <f>Schedule!$M$163</f>
        <v/>
      </c>
      <c r="I1128">
        <f>IF($N1128=1,VALUE(LEFT($H1128,2)),"")</f>
        <v/>
      </c>
      <c r="J1128">
        <f>IF($N1128=1,VALUE(MID($H1128,9,2)),"")</f>
        <v/>
      </c>
      <c r="K1128">
        <f>IF($N1128=1,MOD($J1128-$I1128,24),0)</f>
        <v/>
      </c>
      <c r="L1128">
        <f>IF($N1128=1,$E1128*24+$I1128,"")</f>
        <v/>
      </c>
      <c r="M1128">
        <f>IF($N1128=1,$L1128+$K1128,"")</f>
        <v/>
      </c>
      <c r="N1128">
        <f>IF(ISNUMBER(SEARCH(" - ",$H1128&amp;"")),1,0)</f>
        <v/>
      </c>
      <c r="O1128">
        <f>IF(UPPER($H1128&amp;"")="LEAVE",1,0)</f>
        <v/>
      </c>
      <c r="P1128">
        <f>IF($N1128=1,$K1128,0)</f>
        <v/>
      </c>
      <c r="Q1128">
        <f>IF($N1128=0,"",IFERROR($L1128-LOOKUP(2,1/(($B$2:$B1127=$B1128)*($N$2:$N1127=1)),$M$2:$M1127),""))</f>
        <v/>
      </c>
    </row>
    <row r="1129">
      <c r="A1129" t="n">
        <v>1128</v>
      </c>
      <c r="B1129">
        <f>Schedule!$A$164</f>
        <v/>
      </c>
      <c r="C1129">
        <f>Schedule!$D$164</f>
        <v/>
      </c>
      <c r="D1129">
        <f>Schedule!$F$164</f>
        <v/>
      </c>
      <c r="E1129" t="n">
        <v>0</v>
      </c>
      <c r="F1129">
        <f>Schedule!$G$1</f>
        <v/>
      </c>
      <c r="G1129">
        <f>Schedule!$G$2</f>
        <v/>
      </c>
      <c r="H1129">
        <f>Schedule!$G$164</f>
        <v/>
      </c>
      <c r="I1129">
        <f>IF($N1129=1,VALUE(LEFT($H1129,2)),"")</f>
        <v/>
      </c>
      <c r="J1129">
        <f>IF($N1129=1,VALUE(MID($H1129,9,2)),"")</f>
        <v/>
      </c>
      <c r="K1129">
        <f>IF($N1129=1,MOD($J1129-$I1129,24),0)</f>
        <v/>
      </c>
      <c r="L1129">
        <f>IF($N1129=1,$E1129*24+$I1129,"")</f>
        <v/>
      </c>
      <c r="M1129">
        <f>IF($N1129=1,$L1129+$K1129,"")</f>
        <v/>
      </c>
      <c r="N1129">
        <f>IF(ISNUMBER(SEARCH(" - ",$H1129&amp;"")),1,0)</f>
        <v/>
      </c>
      <c r="O1129">
        <f>IF(UPPER($H1129&amp;"")="LEAVE",1,0)</f>
        <v/>
      </c>
      <c r="P1129">
        <f>IF($N1129=1,$K1129,0)</f>
        <v/>
      </c>
      <c r="Q1129">
        <f>IF($N1129=0,"",IFERROR($L1129-'Previous Engine'!$M$163,""))</f>
        <v/>
      </c>
    </row>
    <row r="1130">
      <c r="A1130" t="n">
        <v>1129</v>
      </c>
      <c r="B1130">
        <f>Schedule!$A$164</f>
        <v/>
      </c>
      <c r="C1130">
        <f>Schedule!$D$164</f>
        <v/>
      </c>
      <c r="D1130">
        <f>Schedule!$F$164</f>
        <v/>
      </c>
      <c r="E1130" t="n">
        <v>1</v>
      </c>
      <c r="F1130">
        <f>Schedule!$H$1</f>
        <v/>
      </c>
      <c r="G1130">
        <f>Schedule!$H$2</f>
        <v/>
      </c>
      <c r="H1130">
        <f>Schedule!$H$164</f>
        <v/>
      </c>
      <c r="I1130">
        <f>IF($N1130=1,VALUE(LEFT($H1130,2)),"")</f>
        <v/>
      </c>
      <c r="J1130">
        <f>IF($N1130=1,VALUE(MID($H1130,9,2)),"")</f>
        <v/>
      </c>
      <c r="K1130">
        <f>IF($N1130=1,MOD($J1130-$I1130,24),0)</f>
        <v/>
      </c>
      <c r="L1130">
        <f>IF($N1130=1,$E1130*24+$I1130,"")</f>
        <v/>
      </c>
      <c r="M1130">
        <f>IF($N1130=1,$L1130+$K1130,"")</f>
        <v/>
      </c>
      <c r="N1130">
        <f>IF(ISNUMBER(SEARCH(" - ",$H1130&amp;"")),1,0)</f>
        <v/>
      </c>
      <c r="O1130">
        <f>IF(UPPER($H1130&amp;"")="LEAVE",1,0)</f>
        <v/>
      </c>
      <c r="P1130">
        <f>IF($N1130=1,$K1130,0)</f>
        <v/>
      </c>
      <c r="Q1130">
        <f>IF($N1130=0,"",IFERROR($L1130-LOOKUP(2,1/(($B$2:$B1129=$B1130)*($N$2:$N1129=1)),$M$2:$M1129),""))</f>
        <v/>
      </c>
    </row>
    <row r="1131">
      <c r="A1131" t="n">
        <v>1130</v>
      </c>
      <c r="B1131">
        <f>Schedule!$A$164</f>
        <v/>
      </c>
      <c r="C1131">
        <f>Schedule!$D$164</f>
        <v/>
      </c>
      <c r="D1131">
        <f>Schedule!$F$164</f>
        <v/>
      </c>
      <c r="E1131" t="n">
        <v>2</v>
      </c>
      <c r="F1131">
        <f>Schedule!$I$1</f>
        <v/>
      </c>
      <c r="G1131">
        <f>Schedule!$I$2</f>
        <v/>
      </c>
      <c r="H1131">
        <f>Schedule!$I$164</f>
        <v/>
      </c>
      <c r="I1131">
        <f>IF($N1131=1,VALUE(LEFT($H1131,2)),"")</f>
        <v/>
      </c>
      <c r="J1131">
        <f>IF($N1131=1,VALUE(MID($H1131,9,2)),"")</f>
        <v/>
      </c>
      <c r="K1131">
        <f>IF($N1131=1,MOD($J1131-$I1131,24),0)</f>
        <v/>
      </c>
      <c r="L1131">
        <f>IF($N1131=1,$E1131*24+$I1131,"")</f>
        <v/>
      </c>
      <c r="M1131">
        <f>IF($N1131=1,$L1131+$K1131,"")</f>
        <v/>
      </c>
      <c r="N1131">
        <f>IF(ISNUMBER(SEARCH(" - ",$H1131&amp;"")),1,0)</f>
        <v/>
      </c>
      <c r="O1131">
        <f>IF(UPPER($H1131&amp;"")="LEAVE",1,0)</f>
        <v/>
      </c>
      <c r="P1131">
        <f>IF($N1131=1,$K1131,0)</f>
        <v/>
      </c>
      <c r="Q1131">
        <f>IF($N1131=0,"",IFERROR($L1131-LOOKUP(2,1/(($B$2:$B1130=$B1131)*($N$2:$N1130=1)),$M$2:$M1130),""))</f>
        <v/>
      </c>
    </row>
    <row r="1132">
      <c r="A1132" t="n">
        <v>1131</v>
      </c>
      <c r="B1132">
        <f>Schedule!$A$164</f>
        <v/>
      </c>
      <c r="C1132">
        <f>Schedule!$D$164</f>
        <v/>
      </c>
      <c r="D1132">
        <f>Schedule!$F$164</f>
        <v/>
      </c>
      <c r="E1132" t="n">
        <v>3</v>
      </c>
      <c r="F1132">
        <f>Schedule!$J$1</f>
        <v/>
      </c>
      <c r="G1132">
        <f>Schedule!$J$2</f>
        <v/>
      </c>
      <c r="H1132">
        <f>Schedule!$J$164</f>
        <v/>
      </c>
      <c r="I1132">
        <f>IF($N1132=1,VALUE(LEFT($H1132,2)),"")</f>
        <v/>
      </c>
      <c r="J1132">
        <f>IF($N1132=1,VALUE(MID($H1132,9,2)),"")</f>
        <v/>
      </c>
      <c r="K1132">
        <f>IF($N1132=1,MOD($J1132-$I1132,24),0)</f>
        <v/>
      </c>
      <c r="L1132">
        <f>IF($N1132=1,$E1132*24+$I1132,"")</f>
        <v/>
      </c>
      <c r="M1132">
        <f>IF($N1132=1,$L1132+$K1132,"")</f>
        <v/>
      </c>
      <c r="N1132">
        <f>IF(ISNUMBER(SEARCH(" - ",$H1132&amp;"")),1,0)</f>
        <v/>
      </c>
      <c r="O1132">
        <f>IF(UPPER($H1132&amp;"")="LEAVE",1,0)</f>
        <v/>
      </c>
      <c r="P1132">
        <f>IF($N1132=1,$K1132,0)</f>
        <v/>
      </c>
      <c r="Q1132">
        <f>IF($N1132=0,"",IFERROR($L1132-LOOKUP(2,1/(($B$2:$B1131=$B1132)*($N$2:$N1131=1)),$M$2:$M1131),""))</f>
        <v/>
      </c>
    </row>
    <row r="1133">
      <c r="A1133" t="n">
        <v>1132</v>
      </c>
      <c r="B1133">
        <f>Schedule!$A$164</f>
        <v/>
      </c>
      <c r="C1133">
        <f>Schedule!$D$164</f>
        <v/>
      </c>
      <c r="D1133">
        <f>Schedule!$F$164</f>
        <v/>
      </c>
      <c r="E1133" t="n">
        <v>4</v>
      </c>
      <c r="F1133">
        <f>Schedule!$K$1</f>
        <v/>
      </c>
      <c r="G1133">
        <f>Schedule!$K$2</f>
        <v/>
      </c>
      <c r="H1133">
        <f>Schedule!$K$164</f>
        <v/>
      </c>
      <c r="I1133">
        <f>IF($N1133=1,VALUE(LEFT($H1133,2)),"")</f>
        <v/>
      </c>
      <c r="J1133">
        <f>IF($N1133=1,VALUE(MID($H1133,9,2)),"")</f>
        <v/>
      </c>
      <c r="K1133">
        <f>IF($N1133=1,MOD($J1133-$I1133,24),0)</f>
        <v/>
      </c>
      <c r="L1133">
        <f>IF($N1133=1,$E1133*24+$I1133,"")</f>
        <v/>
      </c>
      <c r="M1133">
        <f>IF($N1133=1,$L1133+$K1133,"")</f>
        <v/>
      </c>
      <c r="N1133">
        <f>IF(ISNUMBER(SEARCH(" - ",$H1133&amp;"")),1,0)</f>
        <v/>
      </c>
      <c r="O1133">
        <f>IF(UPPER($H1133&amp;"")="LEAVE",1,0)</f>
        <v/>
      </c>
      <c r="P1133">
        <f>IF($N1133=1,$K1133,0)</f>
        <v/>
      </c>
      <c r="Q1133">
        <f>IF($N1133=0,"",IFERROR($L1133-LOOKUP(2,1/(($B$2:$B1132=$B1133)*($N$2:$N1132=1)),$M$2:$M1132),""))</f>
        <v/>
      </c>
    </row>
    <row r="1134">
      <c r="A1134" t="n">
        <v>1133</v>
      </c>
      <c r="B1134">
        <f>Schedule!$A$164</f>
        <v/>
      </c>
      <c r="C1134">
        <f>Schedule!$D$164</f>
        <v/>
      </c>
      <c r="D1134">
        <f>Schedule!$F$164</f>
        <v/>
      </c>
      <c r="E1134" t="n">
        <v>5</v>
      </c>
      <c r="F1134">
        <f>Schedule!$L$1</f>
        <v/>
      </c>
      <c r="G1134">
        <f>Schedule!$L$2</f>
        <v/>
      </c>
      <c r="H1134">
        <f>Schedule!$L$164</f>
        <v/>
      </c>
      <c r="I1134">
        <f>IF($N1134=1,VALUE(LEFT($H1134,2)),"")</f>
        <v/>
      </c>
      <c r="J1134">
        <f>IF($N1134=1,VALUE(MID($H1134,9,2)),"")</f>
        <v/>
      </c>
      <c r="K1134">
        <f>IF($N1134=1,MOD($J1134-$I1134,24),0)</f>
        <v/>
      </c>
      <c r="L1134">
        <f>IF($N1134=1,$E1134*24+$I1134,"")</f>
        <v/>
      </c>
      <c r="M1134">
        <f>IF($N1134=1,$L1134+$K1134,"")</f>
        <v/>
      </c>
      <c r="N1134">
        <f>IF(ISNUMBER(SEARCH(" - ",$H1134&amp;"")),1,0)</f>
        <v/>
      </c>
      <c r="O1134">
        <f>IF(UPPER($H1134&amp;"")="LEAVE",1,0)</f>
        <v/>
      </c>
      <c r="P1134">
        <f>IF($N1134=1,$K1134,0)</f>
        <v/>
      </c>
      <c r="Q1134">
        <f>IF($N1134=0,"",IFERROR($L1134-LOOKUP(2,1/(($B$2:$B1133=$B1134)*($N$2:$N1133=1)),$M$2:$M1133),""))</f>
        <v/>
      </c>
    </row>
    <row r="1135">
      <c r="A1135" t="n">
        <v>1134</v>
      </c>
      <c r="B1135">
        <f>Schedule!$A$164</f>
        <v/>
      </c>
      <c r="C1135">
        <f>Schedule!$D$164</f>
        <v/>
      </c>
      <c r="D1135">
        <f>Schedule!$F$164</f>
        <v/>
      </c>
      <c r="E1135" t="n">
        <v>6</v>
      </c>
      <c r="F1135">
        <f>Schedule!$M$1</f>
        <v/>
      </c>
      <c r="G1135">
        <f>Schedule!$M$2</f>
        <v/>
      </c>
      <c r="H1135">
        <f>Schedule!$M$164</f>
        <v/>
      </c>
      <c r="I1135">
        <f>IF($N1135=1,VALUE(LEFT($H1135,2)),"")</f>
        <v/>
      </c>
      <c r="J1135">
        <f>IF($N1135=1,VALUE(MID($H1135,9,2)),"")</f>
        <v/>
      </c>
      <c r="K1135">
        <f>IF($N1135=1,MOD($J1135-$I1135,24),0)</f>
        <v/>
      </c>
      <c r="L1135">
        <f>IF($N1135=1,$E1135*24+$I1135,"")</f>
        <v/>
      </c>
      <c r="M1135">
        <f>IF($N1135=1,$L1135+$K1135,"")</f>
        <v/>
      </c>
      <c r="N1135">
        <f>IF(ISNUMBER(SEARCH(" - ",$H1135&amp;"")),1,0)</f>
        <v/>
      </c>
      <c r="O1135">
        <f>IF(UPPER($H1135&amp;"")="LEAVE",1,0)</f>
        <v/>
      </c>
      <c r="P1135">
        <f>IF($N1135=1,$K1135,0)</f>
        <v/>
      </c>
      <c r="Q1135">
        <f>IF($N1135=0,"",IFERROR($L1135-LOOKUP(2,1/(($B$2:$B1134=$B1135)*($N$2:$N1134=1)),$M$2:$M1134),""))</f>
        <v/>
      </c>
    </row>
    <row r="1136">
      <c r="A1136" t="n">
        <v>1135</v>
      </c>
      <c r="B1136">
        <f>Schedule!$A$165</f>
        <v/>
      </c>
      <c r="C1136">
        <f>Schedule!$D$165</f>
        <v/>
      </c>
      <c r="D1136">
        <f>Schedule!$F$165</f>
        <v/>
      </c>
      <c r="E1136" t="n">
        <v>0</v>
      </c>
      <c r="F1136">
        <f>Schedule!$G$1</f>
        <v/>
      </c>
      <c r="G1136">
        <f>Schedule!$G$2</f>
        <v/>
      </c>
      <c r="H1136">
        <f>Schedule!$G$165</f>
        <v/>
      </c>
      <c r="I1136">
        <f>IF($N1136=1,VALUE(LEFT($H1136,2)),"")</f>
        <v/>
      </c>
      <c r="J1136">
        <f>IF($N1136=1,VALUE(MID($H1136,9,2)),"")</f>
        <v/>
      </c>
      <c r="K1136">
        <f>IF($N1136=1,MOD($J1136-$I1136,24),0)</f>
        <v/>
      </c>
      <c r="L1136">
        <f>IF($N1136=1,$E1136*24+$I1136,"")</f>
        <v/>
      </c>
      <c r="M1136">
        <f>IF($N1136=1,$L1136+$K1136,"")</f>
        <v/>
      </c>
      <c r="N1136">
        <f>IF(ISNUMBER(SEARCH(" - ",$H1136&amp;"")),1,0)</f>
        <v/>
      </c>
      <c r="O1136">
        <f>IF(UPPER($H1136&amp;"")="LEAVE",1,0)</f>
        <v/>
      </c>
      <c r="P1136">
        <f>IF($N1136=1,$K1136,0)</f>
        <v/>
      </c>
      <c r="Q1136">
        <f>IF($N1136=0,"",IFERROR($L1136-'Previous Engine'!$M$164,""))</f>
        <v/>
      </c>
    </row>
    <row r="1137">
      <c r="A1137" t="n">
        <v>1136</v>
      </c>
      <c r="B1137">
        <f>Schedule!$A$165</f>
        <v/>
      </c>
      <c r="C1137">
        <f>Schedule!$D$165</f>
        <v/>
      </c>
      <c r="D1137">
        <f>Schedule!$F$165</f>
        <v/>
      </c>
      <c r="E1137" t="n">
        <v>1</v>
      </c>
      <c r="F1137">
        <f>Schedule!$H$1</f>
        <v/>
      </c>
      <c r="G1137">
        <f>Schedule!$H$2</f>
        <v/>
      </c>
      <c r="H1137">
        <f>Schedule!$H$165</f>
        <v/>
      </c>
      <c r="I1137">
        <f>IF($N1137=1,VALUE(LEFT($H1137,2)),"")</f>
        <v/>
      </c>
      <c r="J1137">
        <f>IF($N1137=1,VALUE(MID($H1137,9,2)),"")</f>
        <v/>
      </c>
      <c r="K1137">
        <f>IF($N1137=1,MOD($J1137-$I1137,24),0)</f>
        <v/>
      </c>
      <c r="L1137">
        <f>IF($N1137=1,$E1137*24+$I1137,"")</f>
        <v/>
      </c>
      <c r="M1137">
        <f>IF($N1137=1,$L1137+$K1137,"")</f>
        <v/>
      </c>
      <c r="N1137">
        <f>IF(ISNUMBER(SEARCH(" - ",$H1137&amp;"")),1,0)</f>
        <v/>
      </c>
      <c r="O1137">
        <f>IF(UPPER($H1137&amp;"")="LEAVE",1,0)</f>
        <v/>
      </c>
      <c r="P1137">
        <f>IF($N1137=1,$K1137,0)</f>
        <v/>
      </c>
      <c r="Q1137">
        <f>IF($N1137=0,"",IFERROR($L1137-LOOKUP(2,1/(($B$2:$B1136=$B1137)*($N$2:$N1136=1)),$M$2:$M1136),""))</f>
        <v/>
      </c>
    </row>
    <row r="1138">
      <c r="A1138" t="n">
        <v>1137</v>
      </c>
      <c r="B1138">
        <f>Schedule!$A$165</f>
        <v/>
      </c>
      <c r="C1138">
        <f>Schedule!$D$165</f>
        <v/>
      </c>
      <c r="D1138">
        <f>Schedule!$F$165</f>
        <v/>
      </c>
      <c r="E1138" t="n">
        <v>2</v>
      </c>
      <c r="F1138">
        <f>Schedule!$I$1</f>
        <v/>
      </c>
      <c r="G1138">
        <f>Schedule!$I$2</f>
        <v/>
      </c>
      <c r="H1138">
        <f>Schedule!$I$165</f>
        <v/>
      </c>
      <c r="I1138">
        <f>IF($N1138=1,VALUE(LEFT($H1138,2)),"")</f>
        <v/>
      </c>
      <c r="J1138">
        <f>IF($N1138=1,VALUE(MID($H1138,9,2)),"")</f>
        <v/>
      </c>
      <c r="K1138">
        <f>IF($N1138=1,MOD($J1138-$I1138,24),0)</f>
        <v/>
      </c>
      <c r="L1138">
        <f>IF($N1138=1,$E1138*24+$I1138,"")</f>
        <v/>
      </c>
      <c r="M1138">
        <f>IF($N1138=1,$L1138+$K1138,"")</f>
        <v/>
      </c>
      <c r="N1138">
        <f>IF(ISNUMBER(SEARCH(" - ",$H1138&amp;"")),1,0)</f>
        <v/>
      </c>
      <c r="O1138">
        <f>IF(UPPER($H1138&amp;"")="LEAVE",1,0)</f>
        <v/>
      </c>
      <c r="P1138">
        <f>IF($N1138=1,$K1138,0)</f>
        <v/>
      </c>
      <c r="Q1138">
        <f>IF($N1138=0,"",IFERROR($L1138-LOOKUP(2,1/(($B$2:$B1137=$B1138)*($N$2:$N1137=1)),$M$2:$M1137),""))</f>
        <v/>
      </c>
    </row>
    <row r="1139">
      <c r="A1139" t="n">
        <v>1138</v>
      </c>
      <c r="B1139">
        <f>Schedule!$A$165</f>
        <v/>
      </c>
      <c r="C1139">
        <f>Schedule!$D$165</f>
        <v/>
      </c>
      <c r="D1139">
        <f>Schedule!$F$165</f>
        <v/>
      </c>
      <c r="E1139" t="n">
        <v>3</v>
      </c>
      <c r="F1139">
        <f>Schedule!$J$1</f>
        <v/>
      </c>
      <c r="G1139">
        <f>Schedule!$J$2</f>
        <v/>
      </c>
      <c r="H1139">
        <f>Schedule!$J$165</f>
        <v/>
      </c>
      <c r="I1139">
        <f>IF($N1139=1,VALUE(LEFT($H1139,2)),"")</f>
        <v/>
      </c>
      <c r="J1139">
        <f>IF($N1139=1,VALUE(MID($H1139,9,2)),"")</f>
        <v/>
      </c>
      <c r="K1139">
        <f>IF($N1139=1,MOD($J1139-$I1139,24),0)</f>
        <v/>
      </c>
      <c r="L1139">
        <f>IF($N1139=1,$E1139*24+$I1139,"")</f>
        <v/>
      </c>
      <c r="M1139">
        <f>IF($N1139=1,$L1139+$K1139,"")</f>
        <v/>
      </c>
      <c r="N1139">
        <f>IF(ISNUMBER(SEARCH(" - ",$H1139&amp;"")),1,0)</f>
        <v/>
      </c>
      <c r="O1139">
        <f>IF(UPPER($H1139&amp;"")="LEAVE",1,0)</f>
        <v/>
      </c>
      <c r="P1139">
        <f>IF($N1139=1,$K1139,0)</f>
        <v/>
      </c>
      <c r="Q1139">
        <f>IF($N1139=0,"",IFERROR($L1139-LOOKUP(2,1/(($B$2:$B1138=$B1139)*($N$2:$N1138=1)),$M$2:$M1138),""))</f>
        <v/>
      </c>
    </row>
    <row r="1140">
      <c r="A1140" t="n">
        <v>1139</v>
      </c>
      <c r="B1140">
        <f>Schedule!$A$165</f>
        <v/>
      </c>
      <c r="C1140">
        <f>Schedule!$D$165</f>
        <v/>
      </c>
      <c r="D1140">
        <f>Schedule!$F$165</f>
        <v/>
      </c>
      <c r="E1140" t="n">
        <v>4</v>
      </c>
      <c r="F1140">
        <f>Schedule!$K$1</f>
        <v/>
      </c>
      <c r="G1140">
        <f>Schedule!$K$2</f>
        <v/>
      </c>
      <c r="H1140">
        <f>Schedule!$K$165</f>
        <v/>
      </c>
      <c r="I1140">
        <f>IF($N1140=1,VALUE(LEFT($H1140,2)),"")</f>
        <v/>
      </c>
      <c r="J1140">
        <f>IF($N1140=1,VALUE(MID($H1140,9,2)),"")</f>
        <v/>
      </c>
      <c r="K1140">
        <f>IF($N1140=1,MOD($J1140-$I1140,24),0)</f>
        <v/>
      </c>
      <c r="L1140">
        <f>IF($N1140=1,$E1140*24+$I1140,"")</f>
        <v/>
      </c>
      <c r="M1140">
        <f>IF($N1140=1,$L1140+$K1140,"")</f>
        <v/>
      </c>
      <c r="N1140">
        <f>IF(ISNUMBER(SEARCH(" - ",$H1140&amp;"")),1,0)</f>
        <v/>
      </c>
      <c r="O1140">
        <f>IF(UPPER($H1140&amp;"")="LEAVE",1,0)</f>
        <v/>
      </c>
      <c r="P1140">
        <f>IF($N1140=1,$K1140,0)</f>
        <v/>
      </c>
      <c r="Q1140">
        <f>IF($N1140=0,"",IFERROR($L1140-LOOKUP(2,1/(($B$2:$B1139=$B1140)*($N$2:$N1139=1)),$M$2:$M1139),""))</f>
        <v/>
      </c>
    </row>
    <row r="1141">
      <c r="A1141" t="n">
        <v>1140</v>
      </c>
      <c r="B1141">
        <f>Schedule!$A$165</f>
        <v/>
      </c>
      <c r="C1141">
        <f>Schedule!$D$165</f>
        <v/>
      </c>
      <c r="D1141">
        <f>Schedule!$F$165</f>
        <v/>
      </c>
      <c r="E1141" t="n">
        <v>5</v>
      </c>
      <c r="F1141">
        <f>Schedule!$L$1</f>
        <v/>
      </c>
      <c r="G1141">
        <f>Schedule!$L$2</f>
        <v/>
      </c>
      <c r="H1141">
        <f>Schedule!$L$165</f>
        <v/>
      </c>
      <c r="I1141">
        <f>IF($N1141=1,VALUE(LEFT($H1141,2)),"")</f>
        <v/>
      </c>
      <c r="J1141">
        <f>IF($N1141=1,VALUE(MID($H1141,9,2)),"")</f>
        <v/>
      </c>
      <c r="K1141">
        <f>IF($N1141=1,MOD($J1141-$I1141,24),0)</f>
        <v/>
      </c>
      <c r="L1141">
        <f>IF($N1141=1,$E1141*24+$I1141,"")</f>
        <v/>
      </c>
      <c r="M1141">
        <f>IF($N1141=1,$L1141+$K1141,"")</f>
        <v/>
      </c>
      <c r="N1141">
        <f>IF(ISNUMBER(SEARCH(" - ",$H1141&amp;"")),1,0)</f>
        <v/>
      </c>
      <c r="O1141">
        <f>IF(UPPER($H1141&amp;"")="LEAVE",1,0)</f>
        <v/>
      </c>
      <c r="P1141">
        <f>IF($N1141=1,$K1141,0)</f>
        <v/>
      </c>
      <c r="Q1141">
        <f>IF($N1141=0,"",IFERROR($L1141-LOOKUP(2,1/(($B$2:$B1140=$B1141)*($N$2:$N1140=1)),$M$2:$M1140),""))</f>
        <v/>
      </c>
    </row>
    <row r="1142">
      <c r="A1142" t="n">
        <v>1141</v>
      </c>
      <c r="B1142">
        <f>Schedule!$A$165</f>
        <v/>
      </c>
      <c r="C1142">
        <f>Schedule!$D$165</f>
        <v/>
      </c>
      <c r="D1142">
        <f>Schedule!$F$165</f>
        <v/>
      </c>
      <c r="E1142" t="n">
        <v>6</v>
      </c>
      <c r="F1142">
        <f>Schedule!$M$1</f>
        <v/>
      </c>
      <c r="G1142">
        <f>Schedule!$M$2</f>
        <v/>
      </c>
      <c r="H1142">
        <f>Schedule!$M$165</f>
        <v/>
      </c>
      <c r="I1142">
        <f>IF($N1142=1,VALUE(LEFT($H1142,2)),"")</f>
        <v/>
      </c>
      <c r="J1142">
        <f>IF($N1142=1,VALUE(MID($H1142,9,2)),"")</f>
        <v/>
      </c>
      <c r="K1142">
        <f>IF($N1142=1,MOD($J1142-$I1142,24),0)</f>
        <v/>
      </c>
      <c r="L1142">
        <f>IF($N1142=1,$E1142*24+$I1142,"")</f>
        <v/>
      </c>
      <c r="M1142">
        <f>IF($N1142=1,$L1142+$K1142,"")</f>
        <v/>
      </c>
      <c r="N1142">
        <f>IF(ISNUMBER(SEARCH(" - ",$H1142&amp;"")),1,0)</f>
        <v/>
      </c>
      <c r="O1142">
        <f>IF(UPPER($H1142&amp;"")="LEAVE",1,0)</f>
        <v/>
      </c>
      <c r="P1142">
        <f>IF($N1142=1,$K1142,0)</f>
        <v/>
      </c>
      <c r="Q1142">
        <f>IF($N1142=0,"",IFERROR($L1142-LOOKUP(2,1/(($B$2:$B1141=$B1142)*($N$2:$N1141=1)),$M$2:$M1141),""))</f>
        <v/>
      </c>
    </row>
    <row r="1143">
      <c r="A1143" t="n">
        <v>1142</v>
      </c>
      <c r="B1143">
        <f>Schedule!$A$166</f>
        <v/>
      </c>
      <c r="C1143">
        <f>Schedule!$D$166</f>
        <v/>
      </c>
      <c r="D1143">
        <f>Schedule!$F$166</f>
        <v/>
      </c>
      <c r="E1143" t="n">
        <v>0</v>
      </c>
      <c r="F1143">
        <f>Schedule!$G$1</f>
        <v/>
      </c>
      <c r="G1143">
        <f>Schedule!$G$2</f>
        <v/>
      </c>
      <c r="H1143">
        <f>Schedule!$G$166</f>
        <v/>
      </c>
      <c r="I1143">
        <f>IF($N1143=1,VALUE(LEFT($H1143,2)),"")</f>
        <v/>
      </c>
      <c r="J1143">
        <f>IF($N1143=1,VALUE(MID($H1143,9,2)),"")</f>
        <v/>
      </c>
      <c r="K1143">
        <f>IF($N1143=1,MOD($J1143-$I1143,24),0)</f>
        <v/>
      </c>
      <c r="L1143">
        <f>IF($N1143=1,$E1143*24+$I1143,"")</f>
        <v/>
      </c>
      <c r="M1143">
        <f>IF($N1143=1,$L1143+$K1143,"")</f>
        <v/>
      </c>
      <c r="N1143">
        <f>IF(ISNUMBER(SEARCH(" - ",$H1143&amp;"")),1,0)</f>
        <v/>
      </c>
      <c r="O1143">
        <f>IF(UPPER($H1143&amp;"")="LEAVE",1,0)</f>
        <v/>
      </c>
      <c r="P1143">
        <f>IF($N1143=1,$K1143,0)</f>
        <v/>
      </c>
      <c r="Q1143">
        <f>IF($N1143=0,"",IFERROR($L1143-'Previous Engine'!$M$165,""))</f>
        <v/>
      </c>
    </row>
    <row r="1144">
      <c r="A1144" t="n">
        <v>1143</v>
      </c>
      <c r="B1144">
        <f>Schedule!$A$166</f>
        <v/>
      </c>
      <c r="C1144">
        <f>Schedule!$D$166</f>
        <v/>
      </c>
      <c r="D1144">
        <f>Schedule!$F$166</f>
        <v/>
      </c>
      <c r="E1144" t="n">
        <v>1</v>
      </c>
      <c r="F1144">
        <f>Schedule!$H$1</f>
        <v/>
      </c>
      <c r="G1144">
        <f>Schedule!$H$2</f>
        <v/>
      </c>
      <c r="H1144">
        <f>Schedule!$H$166</f>
        <v/>
      </c>
      <c r="I1144">
        <f>IF($N1144=1,VALUE(LEFT($H1144,2)),"")</f>
        <v/>
      </c>
      <c r="J1144">
        <f>IF($N1144=1,VALUE(MID($H1144,9,2)),"")</f>
        <v/>
      </c>
      <c r="K1144">
        <f>IF($N1144=1,MOD($J1144-$I1144,24),0)</f>
        <v/>
      </c>
      <c r="L1144">
        <f>IF($N1144=1,$E1144*24+$I1144,"")</f>
        <v/>
      </c>
      <c r="M1144">
        <f>IF($N1144=1,$L1144+$K1144,"")</f>
        <v/>
      </c>
      <c r="N1144">
        <f>IF(ISNUMBER(SEARCH(" - ",$H1144&amp;"")),1,0)</f>
        <v/>
      </c>
      <c r="O1144">
        <f>IF(UPPER($H1144&amp;"")="LEAVE",1,0)</f>
        <v/>
      </c>
      <c r="P1144">
        <f>IF($N1144=1,$K1144,0)</f>
        <v/>
      </c>
      <c r="Q1144">
        <f>IF($N1144=0,"",IFERROR($L1144-LOOKUP(2,1/(($B$2:$B1143=$B1144)*($N$2:$N1143=1)),$M$2:$M1143),""))</f>
        <v/>
      </c>
    </row>
    <row r="1145">
      <c r="A1145" t="n">
        <v>1144</v>
      </c>
      <c r="B1145">
        <f>Schedule!$A$166</f>
        <v/>
      </c>
      <c r="C1145">
        <f>Schedule!$D$166</f>
        <v/>
      </c>
      <c r="D1145">
        <f>Schedule!$F$166</f>
        <v/>
      </c>
      <c r="E1145" t="n">
        <v>2</v>
      </c>
      <c r="F1145">
        <f>Schedule!$I$1</f>
        <v/>
      </c>
      <c r="G1145">
        <f>Schedule!$I$2</f>
        <v/>
      </c>
      <c r="H1145">
        <f>Schedule!$I$166</f>
        <v/>
      </c>
      <c r="I1145">
        <f>IF($N1145=1,VALUE(LEFT($H1145,2)),"")</f>
        <v/>
      </c>
      <c r="J1145">
        <f>IF($N1145=1,VALUE(MID($H1145,9,2)),"")</f>
        <v/>
      </c>
      <c r="K1145">
        <f>IF($N1145=1,MOD($J1145-$I1145,24),0)</f>
        <v/>
      </c>
      <c r="L1145">
        <f>IF($N1145=1,$E1145*24+$I1145,"")</f>
        <v/>
      </c>
      <c r="M1145">
        <f>IF($N1145=1,$L1145+$K1145,"")</f>
        <v/>
      </c>
      <c r="N1145">
        <f>IF(ISNUMBER(SEARCH(" - ",$H1145&amp;"")),1,0)</f>
        <v/>
      </c>
      <c r="O1145">
        <f>IF(UPPER($H1145&amp;"")="LEAVE",1,0)</f>
        <v/>
      </c>
      <c r="P1145">
        <f>IF($N1145=1,$K1145,0)</f>
        <v/>
      </c>
      <c r="Q1145">
        <f>IF($N1145=0,"",IFERROR($L1145-LOOKUP(2,1/(($B$2:$B1144=$B1145)*($N$2:$N1144=1)),$M$2:$M1144),""))</f>
        <v/>
      </c>
    </row>
    <row r="1146">
      <c r="A1146" t="n">
        <v>1145</v>
      </c>
      <c r="B1146">
        <f>Schedule!$A$166</f>
        <v/>
      </c>
      <c r="C1146">
        <f>Schedule!$D$166</f>
        <v/>
      </c>
      <c r="D1146">
        <f>Schedule!$F$166</f>
        <v/>
      </c>
      <c r="E1146" t="n">
        <v>3</v>
      </c>
      <c r="F1146">
        <f>Schedule!$J$1</f>
        <v/>
      </c>
      <c r="G1146">
        <f>Schedule!$J$2</f>
        <v/>
      </c>
      <c r="H1146">
        <f>Schedule!$J$166</f>
        <v/>
      </c>
      <c r="I1146">
        <f>IF($N1146=1,VALUE(LEFT($H1146,2)),"")</f>
        <v/>
      </c>
      <c r="J1146">
        <f>IF($N1146=1,VALUE(MID($H1146,9,2)),"")</f>
        <v/>
      </c>
      <c r="K1146">
        <f>IF($N1146=1,MOD($J1146-$I1146,24),0)</f>
        <v/>
      </c>
      <c r="L1146">
        <f>IF($N1146=1,$E1146*24+$I1146,"")</f>
        <v/>
      </c>
      <c r="M1146">
        <f>IF($N1146=1,$L1146+$K1146,"")</f>
        <v/>
      </c>
      <c r="N1146">
        <f>IF(ISNUMBER(SEARCH(" - ",$H1146&amp;"")),1,0)</f>
        <v/>
      </c>
      <c r="O1146">
        <f>IF(UPPER($H1146&amp;"")="LEAVE",1,0)</f>
        <v/>
      </c>
      <c r="P1146">
        <f>IF($N1146=1,$K1146,0)</f>
        <v/>
      </c>
      <c r="Q1146">
        <f>IF($N1146=0,"",IFERROR($L1146-LOOKUP(2,1/(($B$2:$B1145=$B1146)*($N$2:$N1145=1)),$M$2:$M1145),""))</f>
        <v/>
      </c>
    </row>
    <row r="1147">
      <c r="A1147" t="n">
        <v>1146</v>
      </c>
      <c r="B1147">
        <f>Schedule!$A$166</f>
        <v/>
      </c>
      <c r="C1147">
        <f>Schedule!$D$166</f>
        <v/>
      </c>
      <c r="D1147">
        <f>Schedule!$F$166</f>
        <v/>
      </c>
      <c r="E1147" t="n">
        <v>4</v>
      </c>
      <c r="F1147">
        <f>Schedule!$K$1</f>
        <v/>
      </c>
      <c r="G1147">
        <f>Schedule!$K$2</f>
        <v/>
      </c>
      <c r="H1147">
        <f>Schedule!$K$166</f>
        <v/>
      </c>
      <c r="I1147">
        <f>IF($N1147=1,VALUE(LEFT($H1147,2)),"")</f>
        <v/>
      </c>
      <c r="J1147">
        <f>IF($N1147=1,VALUE(MID($H1147,9,2)),"")</f>
        <v/>
      </c>
      <c r="K1147">
        <f>IF($N1147=1,MOD($J1147-$I1147,24),0)</f>
        <v/>
      </c>
      <c r="L1147">
        <f>IF($N1147=1,$E1147*24+$I1147,"")</f>
        <v/>
      </c>
      <c r="M1147">
        <f>IF($N1147=1,$L1147+$K1147,"")</f>
        <v/>
      </c>
      <c r="N1147">
        <f>IF(ISNUMBER(SEARCH(" - ",$H1147&amp;"")),1,0)</f>
        <v/>
      </c>
      <c r="O1147">
        <f>IF(UPPER($H1147&amp;"")="LEAVE",1,0)</f>
        <v/>
      </c>
      <c r="P1147">
        <f>IF($N1147=1,$K1147,0)</f>
        <v/>
      </c>
      <c r="Q1147">
        <f>IF($N1147=0,"",IFERROR($L1147-LOOKUP(2,1/(($B$2:$B1146=$B1147)*($N$2:$N1146=1)),$M$2:$M1146),""))</f>
        <v/>
      </c>
    </row>
    <row r="1148">
      <c r="A1148" t="n">
        <v>1147</v>
      </c>
      <c r="B1148">
        <f>Schedule!$A$166</f>
        <v/>
      </c>
      <c r="C1148">
        <f>Schedule!$D$166</f>
        <v/>
      </c>
      <c r="D1148">
        <f>Schedule!$F$166</f>
        <v/>
      </c>
      <c r="E1148" t="n">
        <v>5</v>
      </c>
      <c r="F1148">
        <f>Schedule!$L$1</f>
        <v/>
      </c>
      <c r="G1148">
        <f>Schedule!$L$2</f>
        <v/>
      </c>
      <c r="H1148">
        <f>Schedule!$L$166</f>
        <v/>
      </c>
      <c r="I1148">
        <f>IF($N1148=1,VALUE(LEFT($H1148,2)),"")</f>
        <v/>
      </c>
      <c r="J1148">
        <f>IF($N1148=1,VALUE(MID($H1148,9,2)),"")</f>
        <v/>
      </c>
      <c r="K1148">
        <f>IF($N1148=1,MOD($J1148-$I1148,24),0)</f>
        <v/>
      </c>
      <c r="L1148">
        <f>IF($N1148=1,$E1148*24+$I1148,"")</f>
        <v/>
      </c>
      <c r="M1148">
        <f>IF($N1148=1,$L1148+$K1148,"")</f>
        <v/>
      </c>
      <c r="N1148">
        <f>IF(ISNUMBER(SEARCH(" - ",$H1148&amp;"")),1,0)</f>
        <v/>
      </c>
      <c r="O1148">
        <f>IF(UPPER($H1148&amp;"")="LEAVE",1,0)</f>
        <v/>
      </c>
      <c r="P1148">
        <f>IF($N1148=1,$K1148,0)</f>
        <v/>
      </c>
      <c r="Q1148">
        <f>IF($N1148=0,"",IFERROR($L1148-LOOKUP(2,1/(($B$2:$B1147=$B1148)*($N$2:$N1147=1)),$M$2:$M1147),""))</f>
        <v/>
      </c>
    </row>
    <row r="1149">
      <c r="A1149" t="n">
        <v>1148</v>
      </c>
      <c r="B1149">
        <f>Schedule!$A$166</f>
        <v/>
      </c>
      <c r="C1149">
        <f>Schedule!$D$166</f>
        <v/>
      </c>
      <c r="D1149">
        <f>Schedule!$F$166</f>
        <v/>
      </c>
      <c r="E1149" t="n">
        <v>6</v>
      </c>
      <c r="F1149">
        <f>Schedule!$M$1</f>
        <v/>
      </c>
      <c r="G1149">
        <f>Schedule!$M$2</f>
        <v/>
      </c>
      <c r="H1149">
        <f>Schedule!$M$166</f>
        <v/>
      </c>
      <c r="I1149">
        <f>IF($N1149=1,VALUE(LEFT($H1149,2)),"")</f>
        <v/>
      </c>
      <c r="J1149">
        <f>IF($N1149=1,VALUE(MID($H1149,9,2)),"")</f>
        <v/>
      </c>
      <c r="K1149">
        <f>IF($N1149=1,MOD($J1149-$I1149,24),0)</f>
        <v/>
      </c>
      <c r="L1149">
        <f>IF($N1149=1,$E1149*24+$I1149,"")</f>
        <v/>
      </c>
      <c r="M1149">
        <f>IF($N1149=1,$L1149+$K1149,"")</f>
        <v/>
      </c>
      <c r="N1149">
        <f>IF(ISNUMBER(SEARCH(" - ",$H1149&amp;"")),1,0)</f>
        <v/>
      </c>
      <c r="O1149">
        <f>IF(UPPER($H1149&amp;"")="LEAVE",1,0)</f>
        <v/>
      </c>
      <c r="P1149">
        <f>IF($N1149=1,$K1149,0)</f>
        <v/>
      </c>
      <c r="Q1149">
        <f>IF($N1149=0,"",IFERROR($L1149-LOOKUP(2,1/(($B$2:$B1148=$B1149)*($N$2:$N1148=1)),$M$2:$M1148),""))</f>
        <v/>
      </c>
    </row>
    <row r="1150">
      <c r="A1150" t="n">
        <v>1149</v>
      </c>
      <c r="B1150">
        <f>Schedule!$A$167</f>
        <v/>
      </c>
      <c r="C1150">
        <f>Schedule!$D$167</f>
        <v/>
      </c>
      <c r="D1150">
        <f>Schedule!$F$167</f>
        <v/>
      </c>
      <c r="E1150" t="n">
        <v>0</v>
      </c>
      <c r="F1150">
        <f>Schedule!$G$1</f>
        <v/>
      </c>
      <c r="G1150">
        <f>Schedule!$G$2</f>
        <v/>
      </c>
      <c r="H1150">
        <f>Schedule!$G$167</f>
        <v/>
      </c>
      <c r="I1150">
        <f>IF($N1150=1,VALUE(LEFT($H1150,2)),"")</f>
        <v/>
      </c>
      <c r="J1150">
        <f>IF($N1150=1,VALUE(MID($H1150,9,2)),"")</f>
        <v/>
      </c>
      <c r="K1150">
        <f>IF($N1150=1,MOD($J1150-$I1150,24),0)</f>
        <v/>
      </c>
      <c r="L1150">
        <f>IF($N1150=1,$E1150*24+$I1150,"")</f>
        <v/>
      </c>
      <c r="M1150">
        <f>IF($N1150=1,$L1150+$K1150,"")</f>
        <v/>
      </c>
      <c r="N1150">
        <f>IF(ISNUMBER(SEARCH(" - ",$H1150&amp;"")),1,0)</f>
        <v/>
      </c>
      <c r="O1150">
        <f>IF(UPPER($H1150&amp;"")="LEAVE",1,0)</f>
        <v/>
      </c>
      <c r="P1150">
        <f>IF($N1150=1,$K1150,0)</f>
        <v/>
      </c>
      <c r="Q1150">
        <f>IF($N1150=0,"",IFERROR($L1150-'Previous Engine'!$M$166,""))</f>
        <v/>
      </c>
    </row>
    <row r="1151">
      <c r="A1151" t="n">
        <v>1150</v>
      </c>
      <c r="B1151">
        <f>Schedule!$A$167</f>
        <v/>
      </c>
      <c r="C1151">
        <f>Schedule!$D$167</f>
        <v/>
      </c>
      <c r="D1151">
        <f>Schedule!$F$167</f>
        <v/>
      </c>
      <c r="E1151" t="n">
        <v>1</v>
      </c>
      <c r="F1151">
        <f>Schedule!$H$1</f>
        <v/>
      </c>
      <c r="G1151">
        <f>Schedule!$H$2</f>
        <v/>
      </c>
      <c r="H1151">
        <f>Schedule!$H$167</f>
        <v/>
      </c>
      <c r="I1151">
        <f>IF($N1151=1,VALUE(LEFT($H1151,2)),"")</f>
        <v/>
      </c>
      <c r="J1151">
        <f>IF($N1151=1,VALUE(MID($H1151,9,2)),"")</f>
        <v/>
      </c>
      <c r="K1151">
        <f>IF($N1151=1,MOD($J1151-$I1151,24),0)</f>
        <v/>
      </c>
      <c r="L1151">
        <f>IF($N1151=1,$E1151*24+$I1151,"")</f>
        <v/>
      </c>
      <c r="M1151">
        <f>IF($N1151=1,$L1151+$K1151,"")</f>
        <v/>
      </c>
      <c r="N1151">
        <f>IF(ISNUMBER(SEARCH(" - ",$H1151&amp;"")),1,0)</f>
        <v/>
      </c>
      <c r="O1151">
        <f>IF(UPPER($H1151&amp;"")="LEAVE",1,0)</f>
        <v/>
      </c>
      <c r="P1151">
        <f>IF($N1151=1,$K1151,0)</f>
        <v/>
      </c>
      <c r="Q1151">
        <f>IF($N1151=0,"",IFERROR($L1151-LOOKUP(2,1/(($B$2:$B1150=$B1151)*($N$2:$N1150=1)),$M$2:$M1150),""))</f>
        <v/>
      </c>
    </row>
    <row r="1152">
      <c r="A1152" t="n">
        <v>1151</v>
      </c>
      <c r="B1152">
        <f>Schedule!$A$167</f>
        <v/>
      </c>
      <c r="C1152">
        <f>Schedule!$D$167</f>
        <v/>
      </c>
      <c r="D1152">
        <f>Schedule!$F$167</f>
        <v/>
      </c>
      <c r="E1152" t="n">
        <v>2</v>
      </c>
      <c r="F1152">
        <f>Schedule!$I$1</f>
        <v/>
      </c>
      <c r="G1152">
        <f>Schedule!$I$2</f>
        <v/>
      </c>
      <c r="H1152">
        <f>Schedule!$I$167</f>
        <v/>
      </c>
      <c r="I1152">
        <f>IF($N1152=1,VALUE(LEFT($H1152,2)),"")</f>
        <v/>
      </c>
      <c r="J1152">
        <f>IF($N1152=1,VALUE(MID($H1152,9,2)),"")</f>
        <v/>
      </c>
      <c r="K1152">
        <f>IF($N1152=1,MOD($J1152-$I1152,24),0)</f>
        <v/>
      </c>
      <c r="L1152">
        <f>IF($N1152=1,$E1152*24+$I1152,"")</f>
        <v/>
      </c>
      <c r="M1152">
        <f>IF($N1152=1,$L1152+$K1152,"")</f>
        <v/>
      </c>
      <c r="N1152">
        <f>IF(ISNUMBER(SEARCH(" - ",$H1152&amp;"")),1,0)</f>
        <v/>
      </c>
      <c r="O1152">
        <f>IF(UPPER($H1152&amp;"")="LEAVE",1,0)</f>
        <v/>
      </c>
      <c r="P1152">
        <f>IF($N1152=1,$K1152,0)</f>
        <v/>
      </c>
      <c r="Q1152">
        <f>IF($N1152=0,"",IFERROR($L1152-LOOKUP(2,1/(($B$2:$B1151=$B1152)*($N$2:$N1151=1)),$M$2:$M1151),""))</f>
        <v/>
      </c>
    </row>
    <row r="1153">
      <c r="A1153" t="n">
        <v>1152</v>
      </c>
      <c r="B1153">
        <f>Schedule!$A$167</f>
        <v/>
      </c>
      <c r="C1153">
        <f>Schedule!$D$167</f>
        <v/>
      </c>
      <c r="D1153">
        <f>Schedule!$F$167</f>
        <v/>
      </c>
      <c r="E1153" t="n">
        <v>3</v>
      </c>
      <c r="F1153">
        <f>Schedule!$J$1</f>
        <v/>
      </c>
      <c r="G1153">
        <f>Schedule!$J$2</f>
        <v/>
      </c>
      <c r="H1153">
        <f>Schedule!$J$167</f>
        <v/>
      </c>
      <c r="I1153">
        <f>IF($N1153=1,VALUE(LEFT($H1153,2)),"")</f>
        <v/>
      </c>
      <c r="J1153">
        <f>IF($N1153=1,VALUE(MID($H1153,9,2)),"")</f>
        <v/>
      </c>
      <c r="K1153">
        <f>IF($N1153=1,MOD($J1153-$I1153,24),0)</f>
        <v/>
      </c>
      <c r="L1153">
        <f>IF($N1153=1,$E1153*24+$I1153,"")</f>
        <v/>
      </c>
      <c r="M1153">
        <f>IF($N1153=1,$L1153+$K1153,"")</f>
        <v/>
      </c>
      <c r="N1153">
        <f>IF(ISNUMBER(SEARCH(" - ",$H1153&amp;"")),1,0)</f>
        <v/>
      </c>
      <c r="O1153">
        <f>IF(UPPER($H1153&amp;"")="LEAVE",1,0)</f>
        <v/>
      </c>
      <c r="P1153">
        <f>IF($N1153=1,$K1153,0)</f>
        <v/>
      </c>
      <c r="Q1153">
        <f>IF($N1153=0,"",IFERROR($L1153-LOOKUP(2,1/(($B$2:$B1152=$B1153)*($N$2:$N1152=1)),$M$2:$M1152),""))</f>
        <v/>
      </c>
    </row>
    <row r="1154">
      <c r="A1154" t="n">
        <v>1153</v>
      </c>
      <c r="B1154">
        <f>Schedule!$A$167</f>
        <v/>
      </c>
      <c r="C1154">
        <f>Schedule!$D$167</f>
        <v/>
      </c>
      <c r="D1154">
        <f>Schedule!$F$167</f>
        <v/>
      </c>
      <c r="E1154" t="n">
        <v>4</v>
      </c>
      <c r="F1154">
        <f>Schedule!$K$1</f>
        <v/>
      </c>
      <c r="G1154">
        <f>Schedule!$K$2</f>
        <v/>
      </c>
      <c r="H1154">
        <f>Schedule!$K$167</f>
        <v/>
      </c>
      <c r="I1154">
        <f>IF($N1154=1,VALUE(LEFT($H1154,2)),"")</f>
        <v/>
      </c>
      <c r="J1154">
        <f>IF($N1154=1,VALUE(MID($H1154,9,2)),"")</f>
        <v/>
      </c>
      <c r="K1154">
        <f>IF($N1154=1,MOD($J1154-$I1154,24),0)</f>
        <v/>
      </c>
      <c r="L1154">
        <f>IF($N1154=1,$E1154*24+$I1154,"")</f>
        <v/>
      </c>
      <c r="M1154">
        <f>IF($N1154=1,$L1154+$K1154,"")</f>
        <v/>
      </c>
      <c r="N1154">
        <f>IF(ISNUMBER(SEARCH(" - ",$H1154&amp;"")),1,0)</f>
        <v/>
      </c>
      <c r="O1154">
        <f>IF(UPPER($H1154&amp;"")="LEAVE",1,0)</f>
        <v/>
      </c>
      <c r="P1154">
        <f>IF($N1154=1,$K1154,0)</f>
        <v/>
      </c>
      <c r="Q1154">
        <f>IF($N1154=0,"",IFERROR($L1154-LOOKUP(2,1/(($B$2:$B1153=$B1154)*($N$2:$N1153=1)),$M$2:$M1153),""))</f>
        <v/>
      </c>
    </row>
    <row r="1155">
      <c r="A1155" t="n">
        <v>1154</v>
      </c>
      <c r="B1155">
        <f>Schedule!$A$167</f>
        <v/>
      </c>
      <c r="C1155">
        <f>Schedule!$D$167</f>
        <v/>
      </c>
      <c r="D1155">
        <f>Schedule!$F$167</f>
        <v/>
      </c>
      <c r="E1155" t="n">
        <v>5</v>
      </c>
      <c r="F1155">
        <f>Schedule!$L$1</f>
        <v/>
      </c>
      <c r="G1155">
        <f>Schedule!$L$2</f>
        <v/>
      </c>
      <c r="H1155">
        <f>Schedule!$L$167</f>
        <v/>
      </c>
      <c r="I1155">
        <f>IF($N1155=1,VALUE(LEFT($H1155,2)),"")</f>
        <v/>
      </c>
      <c r="J1155">
        <f>IF($N1155=1,VALUE(MID($H1155,9,2)),"")</f>
        <v/>
      </c>
      <c r="K1155">
        <f>IF($N1155=1,MOD($J1155-$I1155,24),0)</f>
        <v/>
      </c>
      <c r="L1155">
        <f>IF($N1155=1,$E1155*24+$I1155,"")</f>
        <v/>
      </c>
      <c r="M1155">
        <f>IF($N1155=1,$L1155+$K1155,"")</f>
        <v/>
      </c>
      <c r="N1155">
        <f>IF(ISNUMBER(SEARCH(" - ",$H1155&amp;"")),1,0)</f>
        <v/>
      </c>
      <c r="O1155">
        <f>IF(UPPER($H1155&amp;"")="LEAVE",1,0)</f>
        <v/>
      </c>
      <c r="P1155">
        <f>IF($N1155=1,$K1155,0)</f>
        <v/>
      </c>
      <c r="Q1155">
        <f>IF($N1155=0,"",IFERROR($L1155-LOOKUP(2,1/(($B$2:$B1154=$B1155)*($N$2:$N1154=1)),$M$2:$M1154),""))</f>
        <v/>
      </c>
    </row>
    <row r="1156">
      <c r="A1156" t="n">
        <v>1155</v>
      </c>
      <c r="B1156">
        <f>Schedule!$A$167</f>
        <v/>
      </c>
      <c r="C1156">
        <f>Schedule!$D$167</f>
        <v/>
      </c>
      <c r="D1156">
        <f>Schedule!$F$167</f>
        <v/>
      </c>
      <c r="E1156" t="n">
        <v>6</v>
      </c>
      <c r="F1156">
        <f>Schedule!$M$1</f>
        <v/>
      </c>
      <c r="G1156">
        <f>Schedule!$M$2</f>
        <v/>
      </c>
      <c r="H1156">
        <f>Schedule!$M$167</f>
        <v/>
      </c>
      <c r="I1156">
        <f>IF($N1156=1,VALUE(LEFT($H1156,2)),"")</f>
        <v/>
      </c>
      <c r="J1156">
        <f>IF($N1156=1,VALUE(MID($H1156,9,2)),"")</f>
        <v/>
      </c>
      <c r="K1156">
        <f>IF($N1156=1,MOD($J1156-$I1156,24),0)</f>
        <v/>
      </c>
      <c r="L1156">
        <f>IF($N1156=1,$E1156*24+$I1156,"")</f>
        <v/>
      </c>
      <c r="M1156">
        <f>IF($N1156=1,$L1156+$K1156,"")</f>
        <v/>
      </c>
      <c r="N1156">
        <f>IF(ISNUMBER(SEARCH(" - ",$H1156&amp;"")),1,0)</f>
        <v/>
      </c>
      <c r="O1156">
        <f>IF(UPPER($H1156&amp;"")="LEAVE",1,0)</f>
        <v/>
      </c>
      <c r="P1156">
        <f>IF($N1156=1,$K1156,0)</f>
        <v/>
      </c>
      <c r="Q1156">
        <f>IF($N1156=0,"",IFERROR($L1156-LOOKUP(2,1/(($B$2:$B1155=$B1156)*($N$2:$N1155=1)),$M$2:$M1155),""))</f>
        <v/>
      </c>
    </row>
    <row r="1157">
      <c r="A1157" t="n">
        <v>1156</v>
      </c>
      <c r="B1157">
        <f>Schedule!$A$168</f>
        <v/>
      </c>
      <c r="C1157">
        <f>Schedule!$D$168</f>
        <v/>
      </c>
      <c r="D1157">
        <f>Schedule!$F$168</f>
        <v/>
      </c>
      <c r="E1157" t="n">
        <v>0</v>
      </c>
      <c r="F1157">
        <f>Schedule!$G$1</f>
        <v/>
      </c>
      <c r="G1157">
        <f>Schedule!$G$2</f>
        <v/>
      </c>
      <c r="H1157">
        <f>Schedule!$G$168</f>
        <v/>
      </c>
      <c r="I1157">
        <f>IF($N1157=1,VALUE(LEFT($H1157,2)),"")</f>
        <v/>
      </c>
      <c r="J1157">
        <f>IF($N1157=1,VALUE(MID($H1157,9,2)),"")</f>
        <v/>
      </c>
      <c r="K1157">
        <f>IF($N1157=1,MOD($J1157-$I1157,24),0)</f>
        <v/>
      </c>
      <c r="L1157">
        <f>IF($N1157=1,$E1157*24+$I1157,"")</f>
        <v/>
      </c>
      <c r="M1157">
        <f>IF($N1157=1,$L1157+$K1157,"")</f>
        <v/>
      </c>
      <c r="N1157">
        <f>IF(ISNUMBER(SEARCH(" - ",$H1157&amp;"")),1,0)</f>
        <v/>
      </c>
      <c r="O1157">
        <f>IF(UPPER($H1157&amp;"")="LEAVE",1,0)</f>
        <v/>
      </c>
      <c r="P1157">
        <f>IF($N1157=1,$K1157,0)</f>
        <v/>
      </c>
      <c r="Q1157">
        <f>IF($N1157=0,"",IFERROR($L1157-'Previous Engine'!$M$167,""))</f>
        <v/>
      </c>
    </row>
    <row r="1158">
      <c r="A1158" t="n">
        <v>1157</v>
      </c>
      <c r="B1158">
        <f>Schedule!$A$168</f>
        <v/>
      </c>
      <c r="C1158">
        <f>Schedule!$D$168</f>
        <v/>
      </c>
      <c r="D1158">
        <f>Schedule!$F$168</f>
        <v/>
      </c>
      <c r="E1158" t="n">
        <v>1</v>
      </c>
      <c r="F1158">
        <f>Schedule!$H$1</f>
        <v/>
      </c>
      <c r="G1158">
        <f>Schedule!$H$2</f>
        <v/>
      </c>
      <c r="H1158">
        <f>Schedule!$H$168</f>
        <v/>
      </c>
      <c r="I1158">
        <f>IF($N1158=1,VALUE(LEFT($H1158,2)),"")</f>
        <v/>
      </c>
      <c r="J1158">
        <f>IF($N1158=1,VALUE(MID($H1158,9,2)),"")</f>
        <v/>
      </c>
      <c r="K1158">
        <f>IF($N1158=1,MOD($J1158-$I1158,24),0)</f>
        <v/>
      </c>
      <c r="L1158">
        <f>IF($N1158=1,$E1158*24+$I1158,"")</f>
        <v/>
      </c>
      <c r="M1158">
        <f>IF($N1158=1,$L1158+$K1158,"")</f>
        <v/>
      </c>
      <c r="N1158">
        <f>IF(ISNUMBER(SEARCH(" - ",$H1158&amp;"")),1,0)</f>
        <v/>
      </c>
      <c r="O1158">
        <f>IF(UPPER($H1158&amp;"")="LEAVE",1,0)</f>
        <v/>
      </c>
      <c r="P1158">
        <f>IF($N1158=1,$K1158,0)</f>
        <v/>
      </c>
      <c r="Q1158">
        <f>IF($N1158=0,"",IFERROR($L1158-LOOKUP(2,1/(($B$2:$B1157=$B1158)*($N$2:$N1157=1)),$M$2:$M1157),""))</f>
        <v/>
      </c>
    </row>
    <row r="1159">
      <c r="A1159" t="n">
        <v>1158</v>
      </c>
      <c r="B1159">
        <f>Schedule!$A$168</f>
        <v/>
      </c>
      <c r="C1159">
        <f>Schedule!$D$168</f>
        <v/>
      </c>
      <c r="D1159">
        <f>Schedule!$F$168</f>
        <v/>
      </c>
      <c r="E1159" t="n">
        <v>2</v>
      </c>
      <c r="F1159">
        <f>Schedule!$I$1</f>
        <v/>
      </c>
      <c r="G1159">
        <f>Schedule!$I$2</f>
        <v/>
      </c>
      <c r="H1159">
        <f>Schedule!$I$168</f>
        <v/>
      </c>
      <c r="I1159">
        <f>IF($N1159=1,VALUE(LEFT($H1159,2)),"")</f>
        <v/>
      </c>
      <c r="J1159">
        <f>IF($N1159=1,VALUE(MID($H1159,9,2)),"")</f>
        <v/>
      </c>
      <c r="K1159">
        <f>IF($N1159=1,MOD($J1159-$I1159,24),0)</f>
        <v/>
      </c>
      <c r="L1159">
        <f>IF($N1159=1,$E1159*24+$I1159,"")</f>
        <v/>
      </c>
      <c r="M1159">
        <f>IF($N1159=1,$L1159+$K1159,"")</f>
        <v/>
      </c>
      <c r="N1159">
        <f>IF(ISNUMBER(SEARCH(" - ",$H1159&amp;"")),1,0)</f>
        <v/>
      </c>
      <c r="O1159">
        <f>IF(UPPER($H1159&amp;"")="LEAVE",1,0)</f>
        <v/>
      </c>
      <c r="P1159">
        <f>IF($N1159=1,$K1159,0)</f>
        <v/>
      </c>
      <c r="Q1159">
        <f>IF($N1159=0,"",IFERROR($L1159-LOOKUP(2,1/(($B$2:$B1158=$B1159)*($N$2:$N1158=1)),$M$2:$M1158),""))</f>
        <v/>
      </c>
    </row>
    <row r="1160">
      <c r="A1160" t="n">
        <v>1159</v>
      </c>
      <c r="B1160">
        <f>Schedule!$A$168</f>
        <v/>
      </c>
      <c r="C1160">
        <f>Schedule!$D$168</f>
        <v/>
      </c>
      <c r="D1160">
        <f>Schedule!$F$168</f>
        <v/>
      </c>
      <c r="E1160" t="n">
        <v>3</v>
      </c>
      <c r="F1160">
        <f>Schedule!$J$1</f>
        <v/>
      </c>
      <c r="G1160">
        <f>Schedule!$J$2</f>
        <v/>
      </c>
      <c r="H1160">
        <f>Schedule!$J$168</f>
        <v/>
      </c>
      <c r="I1160">
        <f>IF($N1160=1,VALUE(LEFT($H1160,2)),"")</f>
        <v/>
      </c>
      <c r="J1160">
        <f>IF($N1160=1,VALUE(MID($H1160,9,2)),"")</f>
        <v/>
      </c>
      <c r="K1160">
        <f>IF($N1160=1,MOD($J1160-$I1160,24),0)</f>
        <v/>
      </c>
      <c r="L1160">
        <f>IF($N1160=1,$E1160*24+$I1160,"")</f>
        <v/>
      </c>
      <c r="M1160">
        <f>IF($N1160=1,$L1160+$K1160,"")</f>
        <v/>
      </c>
      <c r="N1160">
        <f>IF(ISNUMBER(SEARCH(" - ",$H1160&amp;"")),1,0)</f>
        <v/>
      </c>
      <c r="O1160">
        <f>IF(UPPER($H1160&amp;"")="LEAVE",1,0)</f>
        <v/>
      </c>
      <c r="P1160">
        <f>IF($N1160=1,$K1160,0)</f>
        <v/>
      </c>
      <c r="Q1160">
        <f>IF($N1160=0,"",IFERROR($L1160-LOOKUP(2,1/(($B$2:$B1159=$B1160)*($N$2:$N1159=1)),$M$2:$M1159),""))</f>
        <v/>
      </c>
    </row>
    <row r="1161">
      <c r="A1161" t="n">
        <v>1160</v>
      </c>
      <c r="B1161">
        <f>Schedule!$A$168</f>
        <v/>
      </c>
      <c r="C1161">
        <f>Schedule!$D$168</f>
        <v/>
      </c>
      <c r="D1161">
        <f>Schedule!$F$168</f>
        <v/>
      </c>
      <c r="E1161" t="n">
        <v>4</v>
      </c>
      <c r="F1161">
        <f>Schedule!$K$1</f>
        <v/>
      </c>
      <c r="G1161">
        <f>Schedule!$K$2</f>
        <v/>
      </c>
      <c r="H1161">
        <f>Schedule!$K$168</f>
        <v/>
      </c>
      <c r="I1161">
        <f>IF($N1161=1,VALUE(LEFT($H1161,2)),"")</f>
        <v/>
      </c>
      <c r="J1161">
        <f>IF($N1161=1,VALUE(MID($H1161,9,2)),"")</f>
        <v/>
      </c>
      <c r="K1161">
        <f>IF($N1161=1,MOD($J1161-$I1161,24),0)</f>
        <v/>
      </c>
      <c r="L1161">
        <f>IF($N1161=1,$E1161*24+$I1161,"")</f>
        <v/>
      </c>
      <c r="M1161">
        <f>IF($N1161=1,$L1161+$K1161,"")</f>
        <v/>
      </c>
      <c r="N1161">
        <f>IF(ISNUMBER(SEARCH(" - ",$H1161&amp;"")),1,0)</f>
        <v/>
      </c>
      <c r="O1161">
        <f>IF(UPPER($H1161&amp;"")="LEAVE",1,0)</f>
        <v/>
      </c>
      <c r="P1161">
        <f>IF($N1161=1,$K1161,0)</f>
        <v/>
      </c>
      <c r="Q1161">
        <f>IF($N1161=0,"",IFERROR($L1161-LOOKUP(2,1/(($B$2:$B1160=$B1161)*($N$2:$N1160=1)),$M$2:$M1160),""))</f>
        <v/>
      </c>
    </row>
    <row r="1162">
      <c r="A1162" t="n">
        <v>1161</v>
      </c>
      <c r="B1162">
        <f>Schedule!$A$168</f>
        <v/>
      </c>
      <c r="C1162">
        <f>Schedule!$D$168</f>
        <v/>
      </c>
      <c r="D1162">
        <f>Schedule!$F$168</f>
        <v/>
      </c>
      <c r="E1162" t="n">
        <v>5</v>
      </c>
      <c r="F1162">
        <f>Schedule!$L$1</f>
        <v/>
      </c>
      <c r="G1162">
        <f>Schedule!$L$2</f>
        <v/>
      </c>
      <c r="H1162">
        <f>Schedule!$L$168</f>
        <v/>
      </c>
      <c r="I1162">
        <f>IF($N1162=1,VALUE(LEFT($H1162,2)),"")</f>
        <v/>
      </c>
      <c r="J1162">
        <f>IF($N1162=1,VALUE(MID($H1162,9,2)),"")</f>
        <v/>
      </c>
      <c r="K1162">
        <f>IF($N1162=1,MOD($J1162-$I1162,24),0)</f>
        <v/>
      </c>
      <c r="L1162">
        <f>IF($N1162=1,$E1162*24+$I1162,"")</f>
        <v/>
      </c>
      <c r="M1162">
        <f>IF($N1162=1,$L1162+$K1162,"")</f>
        <v/>
      </c>
      <c r="N1162">
        <f>IF(ISNUMBER(SEARCH(" - ",$H1162&amp;"")),1,0)</f>
        <v/>
      </c>
      <c r="O1162">
        <f>IF(UPPER($H1162&amp;"")="LEAVE",1,0)</f>
        <v/>
      </c>
      <c r="P1162">
        <f>IF($N1162=1,$K1162,0)</f>
        <v/>
      </c>
      <c r="Q1162">
        <f>IF($N1162=0,"",IFERROR($L1162-LOOKUP(2,1/(($B$2:$B1161=$B1162)*($N$2:$N1161=1)),$M$2:$M1161),""))</f>
        <v/>
      </c>
    </row>
    <row r="1163">
      <c r="A1163" t="n">
        <v>1162</v>
      </c>
      <c r="B1163">
        <f>Schedule!$A$168</f>
        <v/>
      </c>
      <c r="C1163">
        <f>Schedule!$D$168</f>
        <v/>
      </c>
      <c r="D1163">
        <f>Schedule!$F$168</f>
        <v/>
      </c>
      <c r="E1163" t="n">
        <v>6</v>
      </c>
      <c r="F1163">
        <f>Schedule!$M$1</f>
        <v/>
      </c>
      <c r="G1163">
        <f>Schedule!$M$2</f>
        <v/>
      </c>
      <c r="H1163">
        <f>Schedule!$M$168</f>
        <v/>
      </c>
      <c r="I1163">
        <f>IF($N1163=1,VALUE(LEFT($H1163,2)),"")</f>
        <v/>
      </c>
      <c r="J1163">
        <f>IF($N1163=1,VALUE(MID($H1163,9,2)),"")</f>
        <v/>
      </c>
      <c r="K1163">
        <f>IF($N1163=1,MOD($J1163-$I1163,24),0)</f>
        <v/>
      </c>
      <c r="L1163">
        <f>IF($N1163=1,$E1163*24+$I1163,"")</f>
        <v/>
      </c>
      <c r="M1163">
        <f>IF($N1163=1,$L1163+$K1163,"")</f>
        <v/>
      </c>
      <c r="N1163">
        <f>IF(ISNUMBER(SEARCH(" - ",$H1163&amp;"")),1,0)</f>
        <v/>
      </c>
      <c r="O1163">
        <f>IF(UPPER($H1163&amp;"")="LEAVE",1,0)</f>
        <v/>
      </c>
      <c r="P1163">
        <f>IF($N1163=1,$K1163,0)</f>
        <v/>
      </c>
      <c r="Q1163">
        <f>IF($N1163=0,"",IFERROR($L1163-LOOKUP(2,1/(($B$2:$B1162=$B1163)*($N$2:$N1162=1)),$M$2:$M1162),""))</f>
        <v/>
      </c>
    </row>
    <row r="1164">
      <c r="A1164" t="n">
        <v>1163</v>
      </c>
      <c r="B1164">
        <f>Schedule!$A$169</f>
        <v/>
      </c>
      <c r="C1164">
        <f>Schedule!$D$169</f>
        <v/>
      </c>
      <c r="D1164">
        <f>Schedule!$F$169</f>
        <v/>
      </c>
      <c r="E1164" t="n">
        <v>0</v>
      </c>
      <c r="F1164">
        <f>Schedule!$G$1</f>
        <v/>
      </c>
      <c r="G1164">
        <f>Schedule!$G$2</f>
        <v/>
      </c>
      <c r="H1164">
        <f>Schedule!$G$169</f>
        <v/>
      </c>
      <c r="I1164">
        <f>IF($N1164=1,VALUE(LEFT($H1164,2)),"")</f>
        <v/>
      </c>
      <c r="J1164">
        <f>IF($N1164=1,VALUE(MID($H1164,9,2)),"")</f>
        <v/>
      </c>
      <c r="K1164">
        <f>IF($N1164=1,MOD($J1164-$I1164,24),0)</f>
        <v/>
      </c>
      <c r="L1164">
        <f>IF($N1164=1,$E1164*24+$I1164,"")</f>
        <v/>
      </c>
      <c r="M1164">
        <f>IF($N1164=1,$L1164+$K1164,"")</f>
        <v/>
      </c>
      <c r="N1164">
        <f>IF(ISNUMBER(SEARCH(" - ",$H1164&amp;"")),1,0)</f>
        <v/>
      </c>
      <c r="O1164">
        <f>IF(UPPER($H1164&amp;"")="LEAVE",1,0)</f>
        <v/>
      </c>
      <c r="P1164">
        <f>IF($N1164=1,$K1164,0)</f>
        <v/>
      </c>
      <c r="Q1164">
        <f>IF($N1164=0,"",IFERROR($L1164-'Previous Engine'!$M$168,""))</f>
        <v/>
      </c>
    </row>
    <row r="1165">
      <c r="A1165" t="n">
        <v>1164</v>
      </c>
      <c r="B1165">
        <f>Schedule!$A$169</f>
        <v/>
      </c>
      <c r="C1165">
        <f>Schedule!$D$169</f>
        <v/>
      </c>
      <c r="D1165">
        <f>Schedule!$F$169</f>
        <v/>
      </c>
      <c r="E1165" t="n">
        <v>1</v>
      </c>
      <c r="F1165">
        <f>Schedule!$H$1</f>
        <v/>
      </c>
      <c r="G1165">
        <f>Schedule!$H$2</f>
        <v/>
      </c>
      <c r="H1165">
        <f>Schedule!$H$169</f>
        <v/>
      </c>
      <c r="I1165">
        <f>IF($N1165=1,VALUE(LEFT($H1165,2)),"")</f>
        <v/>
      </c>
      <c r="J1165">
        <f>IF($N1165=1,VALUE(MID($H1165,9,2)),"")</f>
        <v/>
      </c>
      <c r="K1165">
        <f>IF($N1165=1,MOD($J1165-$I1165,24),0)</f>
        <v/>
      </c>
      <c r="L1165">
        <f>IF($N1165=1,$E1165*24+$I1165,"")</f>
        <v/>
      </c>
      <c r="M1165">
        <f>IF($N1165=1,$L1165+$K1165,"")</f>
        <v/>
      </c>
      <c r="N1165">
        <f>IF(ISNUMBER(SEARCH(" - ",$H1165&amp;"")),1,0)</f>
        <v/>
      </c>
      <c r="O1165">
        <f>IF(UPPER($H1165&amp;"")="LEAVE",1,0)</f>
        <v/>
      </c>
      <c r="P1165">
        <f>IF($N1165=1,$K1165,0)</f>
        <v/>
      </c>
      <c r="Q1165">
        <f>IF($N1165=0,"",IFERROR($L1165-LOOKUP(2,1/(($B$2:$B1164=$B1165)*($N$2:$N1164=1)),$M$2:$M1164),""))</f>
        <v/>
      </c>
    </row>
    <row r="1166">
      <c r="A1166" t="n">
        <v>1165</v>
      </c>
      <c r="B1166">
        <f>Schedule!$A$169</f>
        <v/>
      </c>
      <c r="C1166">
        <f>Schedule!$D$169</f>
        <v/>
      </c>
      <c r="D1166">
        <f>Schedule!$F$169</f>
        <v/>
      </c>
      <c r="E1166" t="n">
        <v>2</v>
      </c>
      <c r="F1166">
        <f>Schedule!$I$1</f>
        <v/>
      </c>
      <c r="G1166">
        <f>Schedule!$I$2</f>
        <v/>
      </c>
      <c r="H1166">
        <f>Schedule!$I$169</f>
        <v/>
      </c>
      <c r="I1166">
        <f>IF($N1166=1,VALUE(LEFT($H1166,2)),"")</f>
        <v/>
      </c>
      <c r="J1166">
        <f>IF($N1166=1,VALUE(MID($H1166,9,2)),"")</f>
        <v/>
      </c>
      <c r="K1166">
        <f>IF($N1166=1,MOD($J1166-$I1166,24),0)</f>
        <v/>
      </c>
      <c r="L1166">
        <f>IF($N1166=1,$E1166*24+$I1166,"")</f>
        <v/>
      </c>
      <c r="M1166">
        <f>IF($N1166=1,$L1166+$K1166,"")</f>
        <v/>
      </c>
      <c r="N1166">
        <f>IF(ISNUMBER(SEARCH(" - ",$H1166&amp;"")),1,0)</f>
        <v/>
      </c>
      <c r="O1166">
        <f>IF(UPPER($H1166&amp;"")="LEAVE",1,0)</f>
        <v/>
      </c>
      <c r="P1166">
        <f>IF($N1166=1,$K1166,0)</f>
        <v/>
      </c>
      <c r="Q1166">
        <f>IF($N1166=0,"",IFERROR($L1166-LOOKUP(2,1/(($B$2:$B1165=$B1166)*($N$2:$N1165=1)),$M$2:$M1165),""))</f>
        <v/>
      </c>
    </row>
    <row r="1167">
      <c r="A1167" t="n">
        <v>1166</v>
      </c>
      <c r="B1167">
        <f>Schedule!$A$169</f>
        <v/>
      </c>
      <c r="C1167">
        <f>Schedule!$D$169</f>
        <v/>
      </c>
      <c r="D1167">
        <f>Schedule!$F$169</f>
        <v/>
      </c>
      <c r="E1167" t="n">
        <v>3</v>
      </c>
      <c r="F1167">
        <f>Schedule!$J$1</f>
        <v/>
      </c>
      <c r="G1167">
        <f>Schedule!$J$2</f>
        <v/>
      </c>
      <c r="H1167">
        <f>Schedule!$J$169</f>
        <v/>
      </c>
      <c r="I1167">
        <f>IF($N1167=1,VALUE(LEFT($H1167,2)),"")</f>
        <v/>
      </c>
      <c r="J1167">
        <f>IF($N1167=1,VALUE(MID($H1167,9,2)),"")</f>
        <v/>
      </c>
      <c r="K1167">
        <f>IF($N1167=1,MOD($J1167-$I1167,24),0)</f>
        <v/>
      </c>
      <c r="L1167">
        <f>IF($N1167=1,$E1167*24+$I1167,"")</f>
        <v/>
      </c>
      <c r="M1167">
        <f>IF($N1167=1,$L1167+$K1167,"")</f>
        <v/>
      </c>
      <c r="N1167">
        <f>IF(ISNUMBER(SEARCH(" - ",$H1167&amp;"")),1,0)</f>
        <v/>
      </c>
      <c r="O1167">
        <f>IF(UPPER($H1167&amp;"")="LEAVE",1,0)</f>
        <v/>
      </c>
      <c r="P1167">
        <f>IF($N1167=1,$K1167,0)</f>
        <v/>
      </c>
      <c r="Q1167">
        <f>IF($N1167=0,"",IFERROR($L1167-LOOKUP(2,1/(($B$2:$B1166=$B1167)*($N$2:$N1166=1)),$M$2:$M1166),""))</f>
        <v/>
      </c>
    </row>
    <row r="1168">
      <c r="A1168" t="n">
        <v>1167</v>
      </c>
      <c r="B1168">
        <f>Schedule!$A$169</f>
        <v/>
      </c>
      <c r="C1168">
        <f>Schedule!$D$169</f>
        <v/>
      </c>
      <c r="D1168">
        <f>Schedule!$F$169</f>
        <v/>
      </c>
      <c r="E1168" t="n">
        <v>4</v>
      </c>
      <c r="F1168">
        <f>Schedule!$K$1</f>
        <v/>
      </c>
      <c r="G1168">
        <f>Schedule!$K$2</f>
        <v/>
      </c>
      <c r="H1168">
        <f>Schedule!$K$169</f>
        <v/>
      </c>
      <c r="I1168">
        <f>IF($N1168=1,VALUE(LEFT($H1168,2)),"")</f>
        <v/>
      </c>
      <c r="J1168">
        <f>IF($N1168=1,VALUE(MID($H1168,9,2)),"")</f>
        <v/>
      </c>
      <c r="K1168">
        <f>IF($N1168=1,MOD($J1168-$I1168,24),0)</f>
        <v/>
      </c>
      <c r="L1168">
        <f>IF($N1168=1,$E1168*24+$I1168,"")</f>
        <v/>
      </c>
      <c r="M1168">
        <f>IF($N1168=1,$L1168+$K1168,"")</f>
        <v/>
      </c>
      <c r="N1168">
        <f>IF(ISNUMBER(SEARCH(" - ",$H1168&amp;"")),1,0)</f>
        <v/>
      </c>
      <c r="O1168">
        <f>IF(UPPER($H1168&amp;"")="LEAVE",1,0)</f>
        <v/>
      </c>
      <c r="P1168">
        <f>IF($N1168=1,$K1168,0)</f>
        <v/>
      </c>
      <c r="Q1168">
        <f>IF($N1168=0,"",IFERROR($L1168-LOOKUP(2,1/(($B$2:$B1167=$B1168)*($N$2:$N1167=1)),$M$2:$M1167),""))</f>
        <v/>
      </c>
    </row>
    <row r="1169">
      <c r="A1169" t="n">
        <v>1168</v>
      </c>
      <c r="B1169">
        <f>Schedule!$A$169</f>
        <v/>
      </c>
      <c r="C1169">
        <f>Schedule!$D$169</f>
        <v/>
      </c>
      <c r="D1169">
        <f>Schedule!$F$169</f>
        <v/>
      </c>
      <c r="E1169" t="n">
        <v>5</v>
      </c>
      <c r="F1169">
        <f>Schedule!$L$1</f>
        <v/>
      </c>
      <c r="G1169">
        <f>Schedule!$L$2</f>
        <v/>
      </c>
      <c r="H1169">
        <f>Schedule!$L$169</f>
        <v/>
      </c>
      <c r="I1169">
        <f>IF($N1169=1,VALUE(LEFT($H1169,2)),"")</f>
        <v/>
      </c>
      <c r="J1169">
        <f>IF($N1169=1,VALUE(MID($H1169,9,2)),"")</f>
        <v/>
      </c>
      <c r="K1169">
        <f>IF($N1169=1,MOD($J1169-$I1169,24),0)</f>
        <v/>
      </c>
      <c r="L1169">
        <f>IF($N1169=1,$E1169*24+$I1169,"")</f>
        <v/>
      </c>
      <c r="M1169">
        <f>IF($N1169=1,$L1169+$K1169,"")</f>
        <v/>
      </c>
      <c r="N1169">
        <f>IF(ISNUMBER(SEARCH(" - ",$H1169&amp;"")),1,0)</f>
        <v/>
      </c>
      <c r="O1169">
        <f>IF(UPPER($H1169&amp;"")="LEAVE",1,0)</f>
        <v/>
      </c>
      <c r="P1169">
        <f>IF($N1169=1,$K1169,0)</f>
        <v/>
      </c>
      <c r="Q1169">
        <f>IF($N1169=0,"",IFERROR($L1169-LOOKUP(2,1/(($B$2:$B1168=$B1169)*($N$2:$N1168=1)),$M$2:$M1168),""))</f>
        <v/>
      </c>
    </row>
    <row r="1170">
      <c r="A1170" t="n">
        <v>1169</v>
      </c>
      <c r="B1170">
        <f>Schedule!$A$169</f>
        <v/>
      </c>
      <c r="C1170">
        <f>Schedule!$D$169</f>
        <v/>
      </c>
      <c r="D1170">
        <f>Schedule!$F$169</f>
        <v/>
      </c>
      <c r="E1170" t="n">
        <v>6</v>
      </c>
      <c r="F1170">
        <f>Schedule!$M$1</f>
        <v/>
      </c>
      <c r="G1170">
        <f>Schedule!$M$2</f>
        <v/>
      </c>
      <c r="H1170">
        <f>Schedule!$M$169</f>
        <v/>
      </c>
      <c r="I1170">
        <f>IF($N1170=1,VALUE(LEFT($H1170,2)),"")</f>
        <v/>
      </c>
      <c r="J1170">
        <f>IF($N1170=1,VALUE(MID($H1170,9,2)),"")</f>
        <v/>
      </c>
      <c r="K1170">
        <f>IF($N1170=1,MOD($J1170-$I1170,24),0)</f>
        <v/>
      </c>
      <c r="L1170">
        <f>IF($N1170=1,$E1170*24+$I1170,"")</f>
        <v/>
      </c>
      <c r="M1170">
        <f>IF($N1170=1,$L1170+$K1170,"")</f>
        <v/>
      </c>
      <c r="N1170">
        <f>IF(ISNUMBER(SEARCH(" - ",$H1170&amp;"")),1,0)</f>
        <v/>
      </c>
      <c r="O1170">
        <f>IF(UPPER($H1170&amp;"")="LEAVE",1,0)</f>
        <v/>
      </c>
      <c r="P1170">
        <f>IF($N1170=1,$K1170,0)</f>
        <v/>
      </c>
      <c r="Q1170">
        <f>IF($N1170=0,"",IFERROR($L1170-LOOKUP(2,1/(($B$2:$B1169=$B1170)*($N$2:$N1169=1)),$M$2:$M1169),""))</f>
        <v/>
      </c>
    </row>
    <row r="1171">
      <c r="A1171" t="n">
        <v>1170</v>
      </c>
      <c r="B1171">
        <f>Schedule!$A$170</f>
        <v/>
      </c>
      <c r="C1171">
        <f>Schedule!$D$170</f>
        <v/>
      </c>
      <c r="D1171">
        <f>Schedule!$F$170</f>
        <v/>
      </c>
      <c r="E1171" t="n">
        <v>0</v>
      </c>
      <c r="F1171">
        <f>Schedule!$G$1</f>
        <v/>
      </c>
      <c r="G1171">
        <f>Schedule!$G$2</f>
        <v/>
      </c>
      <c r="H1171">
        <f>Schedule!$G$170</f>
        <v/>
      </c>
      <c r="I1171">
        <f>IF($N1171=1,VALUE(LEFT($H1171,2)),"")</f>
        <v/>
      </c>
      <c r="J1171">
        <f>IF($N1171=1,VALUE(MID($H1171,9,2)),"")</f>
        <v/>
      </c>
      <c r="K1171">
        <f>IF($N1171=1,MOD($J1171-$I1171,24),0)</f>
        <v/>
      </c>
      <c r="L1171">
        <f>IF($N1171=1,$E1171*24+$I1171,"")</f>
        <v/>
      </c>
      <c r="M1171">
        <f>IF($N1171=1,$L1171+$K1171,"")</f>
        <v/>
      </c>
      <c r="N1171">
        <f>IF(ISNUMBER(SEARCH(" - ",$H1171&amp;"")),1,0)</f>
        <v/>
      </c>
      <c r="O1171">
        <f>IF(UPPER($H1171&amp;"")="LEAVE",1,0)</f>
        <v/>
      </c>
      <c r="P1171">
        <f>IF($N1171=1,$K1171,0)</f>
        <v/>
      </c>
      <c r="Q1171">
        <f>IF($N1171=0,"",IFERROR($L1171-'Previous Engine'!$M$169,""))</f>
        <v/>
      </c>
    </row>
    <row r="1172">
      <c r="A1172" t="n">
        <v>1171</v>
      </c>
      <c r="B1172">
        <f>Schedule!$A$170</f>
        <v/>
      </c>
      <c r="C1172">
        <f>Schedule!$D$170</f>
        <v/>
      </c>
      <c r="D1172">
        <f>Schedule!$F$170</f>
        <v/>
      </c>
      <c r="E1172" t="n">
        <v>1</v>
      </c>
      <c r="F1172">
        <f>Schedule!$H$1</f>
        <v/>
      </c>
      <c r="G1172">
        <f>Schedule!$H$2</f>
        <v/>
      </c>
      <c r="H1172">
        <f>Schedule!$H$170</f>
        <v/>
      </c>
      <c r="I1172">
        <f>IF($N1172=1,VALUE(LEFT($H1172,2)),"")</f>
        <v/>
      </c>
      <c r="J1172">
        <f>IF($N1172=1,VALUE(MID($H1172,9,2)),"")</f>
        <v/>
      </c>
      <c r="K1172">
        <f>IF($N1172=1,MOD($J1172-$I1172,24),0)</f>
        <v/>
      </c>
      <c r="L1172">
        <f>IF($N1172=1,$E1172*24+$I1172,"")</f>
        <v/>
      </c>
      <c r="M1172">
        <f>IF($N1172=1,$L1172+$K1172,"")</f>
        <v/>
      </c>
      <c r="N1172">
        <f>IF(ISNUMBER(SEARCH(" - ",$H1172&amp;"")),1,0)</f>
        <v/>
      </c>
      <c r="O1172">
        <f>IF(UPPER($H1172&amp;"")="LEAVE",1,0)</f>
        <v/>
      </c>
      <c r="P1172">
        <f>IF($N1172=1,$K1172,0)</f>
        <v/>
      </c>
      <c r="Q1172">
        <f>IF($N1172=0,"",IFERROR($L1172-LOOKUP(2,1/(($B$2:$B1171=$B1172)*($N$2:$N1171=1)),$M$2:$M1171),""))</f>
        <v/>
      </c>
    </row>
    <row r="1173">
      <c r="A1173" t="n">
        <v>1172</v>
      </c>
      <c r="B1173">
        <f>Schedule!$A$170</f>
        <v/>
      </c>
      <c r="C1173">
        <f>Schedule!$D$170</f>
        <v/>
      </c>
      <c r="D1173">
        <f>Schedule!$F$170</f>
        <v/>
      </c>
      <c r="E1173" t="n">
        <v>2</v>
      </c>
      <c r="F1173">
        <f>Schedule!$I$1</f>
        <v/>
      </c>
      <c r="G1173">
        <f>Schedule!$I$2</f>
        <v/>
      </c>
      <c r="H1173">
        <f>Schedule!$I$170</f>
        <v/>
      </c>
      <c r="I1173">
        <f>IF($N1173=1,VALUE(LEFT($H1173,2)),"")</f>
        <v/>
      </c>
      <c r="J1173">
        <f>IF($N1173=1,VALUE(MID($H1173,9,2)),"")</f>
        <v/>
      </c>
      <c r="K1173">
        <f>IF($N1173=1,MOD($J1173-$I1173,24),0)</f>
        <v/>
      </c>
      <c r="L1173">
        <f>IF($N1173=1,$E1173*24+$I1173,"")</f>
        <v/>
      </c>
      <c r="M1173">
        <f>IF($N1173=1,$L1173+$K1173,"")</f>
        <v/>
      </c>
      <c r="N1173">
        <f>IF(ISNUMBER(SEARCH(" - ",$H1173&amp;"")),1,0)</f>
        <v/>
      </c>
      <c r="O1173">
        <f>IF(UPPER($H1173&amp;"")="LEAVE",1,0)</f>
        <v/>
      </c>
      <c r="P1173">
        <f>IF($N1173=1,$K1173,0)</f>
        <v/>
      </c>
      <c r="Q1173">
        <f>IF($N1173=0,"",IFERROR($L1173-LOOKUP(2,1/(($B$2:$B1172=$B1173)*($N$2:$N1172=1)),$M$2:$M1172),""))</f>
        <v/>
      </c>
    </row>
    <row r="1174">
      <c r="A1174" t="n">
        <v>1173</v>
      </c>
      <c r="B1174">
        <f>Schedule!$A$170</f>
        <v/>
      </c>
      <c r="C1174">
        <f>Schedule!$D$170</f>
        <v/>
      </c>
      <c r="D1174">
        <f>Schedule!$F$170</f>
        <v/>
      </c>
      <c r="E1174" t="n">
        <v>3</v>
      </c>
      <c r="F1174">
        <f>Schedule!$J$1</f>
        <v/>
      </c>
      <c r="G1174">
        <f>Schedule!$J$2</f>
        <v/>
      </c>
      <c r="H1174">
        <f>Schedule!$J$170</f>
        <v/>
      </c>
      <c r="I1174">
        <f>IF($N1174=1,VALUE(LEFT($H1174,2)),"")</f>
        <v/>
      </c>
      <c r="J1174">
        <f>IF($N1174=1,VALUE(MID($H1174,9,2)),"")</f>
        <v/>
      </c>
      <c r="K1174">
        <f>IF($N1174=1,MOD($J1174-$I1174,24),0)</f>
        <v/>
      </c>
      <c r="L1174">
        <f>IF($N1174=1,$E1174*24+$I1174,"")</f>
        <v/>
      </c>
      <c r="M1174">
        <f>IF($N1174=1,$L1174+$K1174,"")</f>
        <v/>
      </c>
      <c r="N1174">
        <f>IF(ISNUMBER(SEARCH(" - ",$H1174&amp;"")),1,0)</f>
        <v/>
      </c>
      <c r="O1174">
        <f>IF(UPPER($H1174&amp;"")="LEAVE",1,0)</f>
        <v/>
      </c>
      <c r="P1174">
        <f>IF($N1174=1,$K1174,0)</f>
        <v/>
      </c>
      <c r="Q1174">
        <f>IF($N1174=0,"",IFERROR($L1174-LOOKUP(2,1/(($B$2:$B1173=$B1174)*($N$2:$N1173=1)),$M$2:$M1173),""))</f>
        <v/>
      </c>
    </row>
    <row r="1175">
      <c r="A1175" t="n">
        <v>1174</v>
      </c>
      <c r="B1175">
        <f>Schedule!$A$170</f>
        <v/>
      </c>
      <c r="C1175">
        <f>Schedule!$D$170</f>
        <v/>
      </c>
      <c r="D1175">
        <f>Schedule!$F$170</f>
        <v/>
      </c>
      <c r="E1175" t="n">
        <v>4</v>
      </c>
      <c r="F1175">
        <f>Schedule!$K$1</f>
        <v/>
      </c>
      <c r="G1175">
        <f>Schedule!$K$2</f>
        <v/>
      </c>
      <c r="H1175">
        <f>Schedule!$K$170</f>
        <v/>
      </c>
      <c r="I1175">
        <f>IF($N1175=1,VALUE(LEFT($H1175,2)),"")</f>
        <v/>
      </c>
      <c r="J1175">
        <f>IF($N1175=1,VALUE(MID($H1175,9,2)),"")</f>
        <v/>
      </c>
      <c r="K1175">
        <f>IF($N1175=1,MOD($J1175-$I1175,24),0)</f>
        <v/>
      </c>
      <c r="L1175">
        <f>IF($N1175=1,$E1175*24+$I1175,"")</f>
        <v/>
      </c>
      <c r="M1175">
        <f>IF($N1175=1,$L1175+$K1175,"")</f>
        <v/>
      </c>
      <c r="N1175">
        <f>IF(ISNUMBER(SEARCH(" - ",$H1175&amp;"")),1,0)</f>
        <v/>
      </c>
      <c r="O1175">
        <f>IF(UPPER($H1175&amp;"")="LEAVE",1,0)</f>
        <v/>
      </c>
      <c r="P1175">
        <f>IF($N1175=1,$K1175,0)</f>
        <v/>
      </c>
      <c r="Q1175">
        <f>IF($N1175=0,"",IFERROR($L1175-LOOKUP(2,1/(($B$2:$B1174=$B1175)*($N$2:$N1174=1)),$M$2:$M1174),""))</f>
        <v/>
      </c>
    </row>
    <row r="1176">
      <c r="A1176" t="n">
        <v>1175</v>
      </c>
      <c r="B1176">
        <f>Schedule!$A$170</f>
        <v/>
      </c>
      <c r="C1176">
        <f>Schedule!$D$170</f>
        <v/>
      </c>
      <c r="D1176">
        <f>Schedule!$F$170</f>
        <v/>
      </c>
      <c r="E1176" t="n">
        <v>5</v>
      </c>
      <c r="F1176">
        <f>Schedule!$L$1</f>
        <v/>
      </c>
      <c r="G1176">
        <f>Schedule!$L$2</f>
        <v/>
      </c>
      <c r="H1176">
        <f>Schedule!$L$170</f>
        <v/>
      </c>
      <c r="I1176">
        <f>IF($N1176=1,VALUE(LEFT($H1176,2)),"")</f>
        <v/>
      </c>
      <c r="J1176">
        <f>IF($N1176=1,VALUE(MID($H1176,9,2)),"")</f>
        <v/>
      </c>
      <c r="K1176">
        <f>IF($N1176=1,MOD($J1176-$I1176,24),0)</f>
        <v/>
      </c>
      <c r="L1176">
        <f>IF($N1176=1,$E1176*24+$I1176,"")</f>
        <v/>
      </c>
      <c r="M1176">
        <f>IF($N1176=1,$L1176+$K1176,"")</f>
        <v/>
      </c>
      <c r="N1176">
        <f>IF(ISNUMBER(SEARCH(" - ",$H1176&amp;"")),1,0)</f>
        <v/>
      </c>
      <c r="O1176">
        <f>IF(UPPER($H1176&amp;"")="LEAVE",1,0)</f>
        <v/>
      </c>
      <c r="P1176">
        <f>IF($N1176=1,$K1176,0)</f>
        <v/>
      </c>
      <c r="Q1176">
        <f>IF($N1176=0,"",IFERROR($L1176-LOOKUP(2,1/(($B$2:$B1175=$B1176)*($N$2:$N1175=1)),$M$2:$M1175),""))</f>
        <v/>
      </c>
    </row>
    <row r="1177">
      <c r="A1177" t="n">
        <v>1176</v>
      </c>
      <c r="B1177">
        <f>Schedule!$A$170</f>
        <v/>
      </c>
      <c r="C1177">
        <f>Schedule!$D$170</f>
        <v/>
      </c>
      <c r="D1177">
        <f>Schedule!$F$170</f>
        <v/>
      </c>
      <c r="E1177" t="n">
        <v>6</v>
      </c>
      <c r="F1177">
        <f>Schedule!$M$1</f>
        <v/>
      </c>
      <c r="G1177">
        <f>Schedule!$M$2</f>
        <v/>
      </c>
      <c r="H1177">
        <f>Schedule!$M$170</f>
        <v/>
      </c>
      <c r="I1177">
        <f>IF($N1177=1,VALUE(LEFT($H1177,2)),"")</f>
        <v/>
      </c>
      <c r="J1177">
        <f>IF($N1177=1,VALUE(MID($H1177,9,2)),"")</f>
        <v/>
      </c>
      <c r="K1177">
        <f>IF($N1177=1,MOD($J1177-$I1177,24),0)</f>
        <v/>
      </c>
      <c r="L1177">
        <f>IF($N1177=1,$E1177*24+$I1177,"")</f>
        <v/>
      </c>
      <c r="M1177">
        <f>IF($N1177=1,$L1177+$K1177,"")</f>
        <v/>
      </c>
      <c r="N1177">
        <f>IF(ISNUMBER(SEARCH(" - ",$H1177&amp;"")),1,0)</f>
        <v/>
      </c>
      <c r="O1177">
        <f>IF(UPPER($H1177&amp;"")="LEAVE",1,0)</f>
        <v/>
      </c>
      <c r="P1177">
        <f>IF($N1177=1,$K1177,0)</f>
        <v/>
      </c>
      <c r="Q1177">
        <f>IF($N1177=0,"",IFERROR($L1177-LOOKUP(2,1/(($B$2:$B1176=$B1177)*($N$2:$N1176=1)),$M$2:$M1176),""))</f>
        <v/>
      </c>
    </row>
    <row r="1178">
      <c r="A1178" t="n">
        <v>1177</v>
      </c>
      <c r="B1178">
        <f>Schedule!$A$171</f>
        <v/>
      </c>
      <c r="C1178">
        <f>Schedule!$D$171</f>
        <v/>
      </c>
      <c r="D1178">
        <f>Schedule!$F$171</f>
        <v/>
      </c>
      <c r="E1178" t="n">
        <v>0</v>
      </c>
      <c r="F1178">
        <f>Schedule!$G$1</f>
        <v/>
      </c>
      <c r="G1178">
        <f>Schedule!$G$2</f>
        <v/>
      </c>
      <c r="H1178">
        <f>Schedule!$G$171</f>
        <v/>
      </c>
      <c r="I1178">
        <f>IF($N1178=1,VALUE(LEFT($H1178,2)),"")</f>
        <v/>
      </c>
      <c r="J1178">
        <f>IF($N1178=1,VALUE(MID($H1178,9,2)),"")</f>
        <v/>
      </c>
      <c r="K1178">
        <f>IF($N1178=1,MOD($J1178-$I1178,24),0)</f>
        <v/>
      </c>
      <c r="L1178">
        <f>IF($N1178=1,$E1178*24+$I1178,"")</f>
        <v/>
      </c>
      <c r="M1178">
        <f>IF($N1178=1,$L1178+$K1178,"")</f>
        <v/>
      </c>
      <c r="N1178">
        <f>IF(ISNUMBER(SEARCH(" - ",$H1178&amp;"")),1,0)</f>
        <v/>
      </c>
      <c r="O1178">
        <f>IF(UPPER($H1178&amp;"")="LEAVE",1,0)</f>
        <v/>
      </c>
      <c r="P1178">
        <f>IF($N1178=1,$K1178,0)</f>
        <v/>
      </c>
      <c r="Q1178">
        <f>IF($N1178=0,"",IFERROR($L1178-'Previous Engine'!$M$170,""))</f>
        <v/>
      </c>
    </row>
    <row r="1179">
      <c r="A1179" t="n">
        <v>1178</v>
      </c>
      <c r="B1179">
        <f>Schedule!$A$171</f>
        <v/>
      </c>
      <c r="C1179">
        <f>Schedule!$D$171</f>
        <v/>
      </c>
      <c r="D1179">
        <f>Schedule!$F$171</f>
        <v/>
      </c>
      <c r="E1179" t="n">
        <v>1</v>
      </c>
      <c r="F1179">
        <f>Schedule!$H$1</f>
        <v/>
      </c>
      <c r="G1179">
        <f>Schedule!$H$2</f>
        <v/>
      </c>
      <c r="H1179">
        <f>Schedule!$H$171</f>
        <v/>
      </c>
      <c r="I1179">
        <f>IF($N1179=1,VALUE(LEFT($H1179,2)),"")</f>
        <v/>
      </c>
      <c r="J1179">
        <f>IF($N1179=1,VALUE(MID($H1179,9,2)),"")</f>
        <v/>
      </c>
      <c r="K1179">
        <f>IF($N1179=1,MOD($J1179-$I1179,24),0)</f>
        <v/>
      </c>
      <c r="L1179">
        <f>IF($N1179=1,$E1179*24+$I1179,"")</f>
        <v/>
      </c>
      <c r="M1179">
        <f>IF($N1179=1,$L1179+$K1179,"")</f>
        <v/>
      </c>
      <c r="N1179">
        <f>IF(ISNUMBER(SEARCH(" - ",$H1179&amp;"")),1,0)</f>
        <v/>
      </c>
      <c r="O1179">
        <f>IF(UPPER($H1179&amp;"")="LEAVE",1,0)</f>
        <v/>
      </c>
      <c r="P1179">
        <f>IF($N1179=1,$K1179,0)</f>
        <v/>
      </c>
      <c r="Q1179">
        <f>IF($N1179=0,"",IFERROR($L1179-LOOKUP(2,1/(($B$2:$B1178=$B1179)*($N$2:$N1178=1)),$M$2:$M1178),""))</f>
        <v/>
      </c>
    </row>
    <row r="1180">
      <c r="A1180" t="n">
        <v>1179</v>
      </c>
      <c r="B1180">
        <f>Schedule!$A$171</f>
        <v/>
      </c>
      <c r="C1180">
        <f>Schedule!$D$171</f>
        <v/>
      </c>
      <c r="D1180">
        <f>Schedule!$F$171</f>
        <v/>
      </c>
      <c r="E1180" t="n">
        <v>2</v>
      </c>
      <c r="F1180">
        <f>Schedule!$I$1</f>
        <v/>
      </c>
      <c r="G1180">
        <f>Schedule!$I$2</f>
        <v/>
      </c>
      <c r="H1180">
        <f>Schedule!$I$171</f>
        <v/>
      </c>
      <c r="I1180">
        <f>IF($N1180=1,VALUE(LEFT($H1180,2)),"")</f>
        <v/>
      </c>
      <c r="J1180">
        <f>IF($N1180=1,VALUE(MID($H1180,9,2)),"")</f>
        <v/>
      </c>
      <c r="K1180">
        <f>IF($N1180=1,MOD($J1180-$I1180,24),0)</f>
        <v/>
      </c>
      <c r="L1180">
        <f>IF($N1180=1,$E1180*24+$I1180,"")</f>
        <v/>
      </c>
      <c r="M1180">
        <f>IF($N1180=1,$L1180+$K1180,"")</f>
        <v/>
      </c>
      <c r="N1180">
        <f>IF(ISNUMBER(SEARCH(" - ",$H1180&amp;"")),1,0)</f>
        <v/>
      </c>
      <c r="O1180">
        <f>IF(UPPER($H1180&amp;"")="LEAVE",1,0)</f>
        <v/>
      </c>
      <c r="P1180">
        <f>IF($N1180=1,$K1180,0)</f>
        <v/>
      </c>
      <c r="Q1180">
        <f>IF($N1180=0,"",IFERROR($L1180-LOOKUP(2,1/(($B$2:$B1179=$B1180)*($N$2:$N1179=1)),$M$2:$M1179),""))</f>
        <v/>
      </c>
    </row>
    <row r="1181">
      <c r="A1181" t="n">
        <v>1180</v>
      </c>
      <c r="B1181">
        <f>Schedule!$A$171</f>
        <v/>
      </c>
      <c r="C1181">
        <f>Schedule!$D$171</f>
        <v/>
      </c>
      <c r="D1181">
        <f>Schedule!$F$171</f>
        <v/>
      </c>
      <c r="E1181" t="n">
        <v>3</v>
      </c>
      <c r="F1181">
        <f>Schedule!$J$1</f>
        <v/>
      </c>
      <c r="G1181">
        <f>Schedule!$J$2</f>
        <v/>
      </c>
      <c r="H1181">
        <f>Schedule!$J$171</f>
        <v/>
      </c>
      <c r="I1181">
        <f>IF($N1181=1,VALUE(LEFT($H1181,2)),"")</f>
        <v/>
      </c>
      <c r="J1181">
        <f>IF($N1181=1,VALUE(MID($H1181,9,2)),"")</f>
        <v/>
      </c>
      <c r="K1181">
        <f>IF($N1181=1,MOD($J1181-$I1181,24),0)</f>
        <v/>
      </c>
      <c r="L1181">
        <f>IF($N1181=1,$E1181*24+$I1181,"")</f>
        <v/>
      </c>
      <c r="M1181">
        <f>IF($N1181=1,$L1181+$K1181,"")</f>
        <v/>
      </c>
      <c r="N1181">
        <f>IF(ISNUMBER(SEARCH(" - ",$H1181&amp;"")),1,0)</f>
        <v/>
      </c>
      <c r="O1181">
        <f>IF(UPPER($H1181&amp;"")="LEAVE",1,0)</f>
        <v/>
      </c>
      <c r="P1181">
        <f>IF($N1181=1,$K1181,0)</f>
        <v/>
      </c>
      <c r="Q1181">
        <f>IF($N1181=0,"",IFERROR($L1181-LOOKUP(2,1/(($B$2:$B1180=$B1181)*($N$2:$N1180=1)),$M$2:$M1180),""))</f>
        <v/>
      </c>
    </row>
    <row r="1182">
      <c r="A1182" t="n">
        <v>1181</v>
      </c>
      <c r="B1182">
        <f>Schedule!$A$171</f>
        <v/>
      </c>
      <c r="C1182">
        <f>Schedule!$D$171</f>
        <v/>
      </c>
      <c r="D1182">
        <f>Schedule!$F$171</f>
        <v/>
      </c>
      <c r="E1182" t="n">
        <v>4</v>
      </c>
      <c r="F1182">
        <f>Schedule!$K$1</f>
        <v/>
      </c>
      <c r="G1182">
        <f>Schedule!$K$2</f>
        <v/>
      </c>
      <c r="H1182">
        <f>Schedule!$K$171</f>
        <v/>
      </c>
      <c r="I1182">
        <f>IF($N1182=1,VALUE(LEFT($H1182,2)),"")</f>
        <v/>
      </c>
      <c r="J1182">
        <f>IF($N1182=1,VALUE(MID($H1182,9,2)),"")</f>
        <v/>
      </c>
      <c r="K1182">
        <f>IF($N1182=1,MOD($J1182-$I1182,24),0)</f>
        <v/>
      </c>
      <c r="L1182">
        <f>IF($N1182=1,$E1182*24+$I1182,"")</f>
        <v/>
      </c>
      <c r="M1182">
        <f>IF($N1182=1,$L1182+$K1182,"")</f>
        <v/>
      </c>
      <c r="N1182">
        <f>IF(ISNUMBER(SEARCH(" - ",$H1182&amp;"")),1,0)</f>
        <v/>
      </c>
      <c r="O1182">
        <f>IF(UPPER($H1182&amp;"")="LEAVE",1,0)</f>
        <v/>
      </c>
      <c r="P1182">
        <f>IF($N1182=1,$K1182,0)</f>
        <v/>
      </c>
      <c r="Q1182">
        <f>IF($N1182=0,"",IFERROR($L1182-LOOKUP(2,1/(($B$2:$B1181=$B1182)*($N$2:$N1181=1)),$M$2:$M1181),""))</f>
        <v/>
      </c>
    </row>
    <row r="1183">
      <c r="A1183" t="n">
        <v>1182</v>
      </c>
      <c r="B1183">
        <f>Schedule!$A$171</f>
        <v/>
      </c>
      <c r="C1183">
        <f>Schedule!$D$171</f>
        <v/>
      </c>
      <c r="D1183">
        <f>Schedule!$F$171</f>
        <v/>
      </c>
      <c r="E1183" t="n">
        <v>5</v>
      </c>
      <c r="F1183">
        <f>Schedule!$L$1</f>
        <v/>
      </c>
      <c r="G1183">
        <f>Schedule!$L$2</f>
        <v/>
      </c>
      <c r="H1183">
        <f>Schedule!$L$171</f>
        <v/>
      </c>
      <c r="I1183">
        <f>IF($N1183=1,VALUE(LEFT($H1183,2)),"")</f>
        <v/>
      </c>
      <c r="J1183">
        <f>IF($N1183=1,VALUE(MID($H1183,9,2)),"")</f>
        <v/>
      </c>
      <c r="K1183">
        <f>IF($N1183=1,MOD($J1183-$I1183,24),0)</f>
        <v/>
      </c>
      <c r="L1183">
        <f>IF($N1183=1,$E1183*24+$I1183,"")</f>
        <v/>
      </c>
      <c r="M1183">
        <f>IF($N1183=1,$L1183+$K1183,"")</f>
        <v/>
      </c>
      <c r="N1183">
        <f>IF(ISNUMBER(SEARCH(" - ",$H1183&amp;"")),1,0)</f>
        <v/>
      </c>
      <c r="O1183">
        <f>IF(UPPER($H1183&amp;"")="LEAVE",1,0)</f>
        <v/>
      </c>
      <c r="P1183">
        <f>IF($N1183=1,$K1183,0)</f>
        <v/>
      </c>
      <c r="Q1183">
        <f>IF($N1183=0,"",IFERROR($L1183-LOOKUP(2,1/(($B$2:$B1182=$B1183)*($N$2:$N1182=1)),$M$2:$M1182),""))</f>
        <v/>
      </c>
    </row>
    <row r="1184">
      <c r="A1184" t="n">
        <v>1183</v>
      </c>
      <c r="B1184">
        <f>Schedule!$A$171</f>
        <v/>
      </c>
      <c r="C1184">
        <f>Schedule!$D$171</f>
        <v/>
      </c>
      <c r="D1184">
        <f>Schedule!$F$171</f>
        <v/>
      </c>
      <c r="E1184" t="n">
        <v>6</v>
      </c>
      <c r="F1184">
        <f>Schedule!$M$1</f>
        <v/>
      </c>
      <c r="G1184">
        <f>Schedule!$M$2</f>
        <v/>
      </c>
      <c r="H1184">
        <f>Schedule!$M$171</f>
        <v/>
      </c>
      <c r="I1184">
        <f>IF($N1184=1,VALUE(LEFT($H1184,2)),"")</f>
        <v/>
      </c>
      <c r="J1184">
        <f>IF($N1184=1,VALUE(MID($H1184,9,2)),"")</f>
        <v/>
      </c>
      <c r="K1184">
        <f>IF($N1184=1,MOD($J1184-$I1184,24),0)</f>
        <v/>
      </c>
      <c r="L1184">
        <f>IF($N1184=1,$E1184*24+$I1184,"")</f>
        <v/>
      </c>
      <c r="M1184">
        <f>IF($N1184=1,$L1184+$K1184,"")</f>
        <v/>
      </c>
      <c r="N1184">
        <f>IF(ISNUMBER(SEARCH(" - ",$H1184&amp;"")),1,0)</f>
        <v/>
      </c>
      <c r="O1184">
        <f>IF(UPPER($H1184&amp;"")="LEAVE",1,0)</f>
        <v/>
      </c>
      <c r="P1184">
        <f>IF($N1184=1,$K1184,0)</f>
        <v/>
      </c>
      <c r="Q1184">
        <f>IF($N1184=0,"",IFERROR($L1184-LOOKUP(2,1/(($B$2:$B1183=$B1184)*($N$2:$N1183=1)),$M$2:$M1183),""))</f>
        <v/>
      </c>
    </row>
    <row r="1185">
      <c r="A1185" t="n">
        <v>1184</v>
      </c>
      <c r="B1185">
        <f>Schedule!$A$172</f>
        <v/>
      </c>
      <c r="C1185">
        <f>Schedule!$D$172</f>
        <v/>
      </c>
      <c r="D1185">
        <f>Schedule!$F$172</f>
        <v/>
      </c>
      <c r="E1185" t="n">
        <v>0</v>
      </c>
      <c r="F1185">
        <f>Schedule!$G$1</f>
        <v/>
      </c>
      <c r="G1185">
        <f>Schedule!$G$2</f>
        <v/>
      </c>
      <c r="H1185">
        <f>Schedule!$G$172</f>
        <v/>
      </c>
      <c r="I1185">
        <f>IF($N1185=1,VALUE(LEFT($H1185,2)),"")</f>
        <v/>
      </c>
      <c r="J1185">
        <f>IF($N1185=1,VALUE(MID($H1185,9,2)),"")</f>
        <v/>
      </c>
      <c r="K1185">
        <f>IF($N1185=1,MOD($J1185-$I1185,24),0)</f>
        <v/>
      </c>
      <c r="L1185">
        <f>IF($N1185=1,$E1185*24+$I1185,"")</f>
        <v/>
      </c>
      <c r="M1185">
        <f>IF($N1185=1,$L1185+$K1185,"")</f>
        <v/>
      </c>
      <c r="N1185">
        <f>IF(ISNUMBER(SEARCH(" - ",$H1185&amp;"")),1,0)</f>
        <v/>
      </c>
      <c r="O1185">
        <f>IF(UPPER($H1185&amp;"")="LEAVE",1,0)</f>
        <v/>
      </c>
      <c r="P1185">
        <f>IF($N1185=1,$K1185,0)</f>
        <v/>
      </c>
      <c r="Q1185">
        <f>IF($N1185=0,"",IFERROR($L1185-'Previous Engine'!$M$171,""))</f>
        <v/>
      </c>
    </row>
    <row r="1186">
      <c r="A1186" t="n">
        <v>1185</v>
      </c>
      <c r="B1186">
        <f>Schedule!$A$172</f>
        <v/>
      </c>
      <c r="C1186">
        <f>Schedule!$D$172</f>
        <v/>
      </c>
      <c r="D1186">
        <f>Schedule!$F$172</f>
        <v/>
      </c>
      <c r="E1186" t="n">
        <v>1</v>
      </c>
      <c r="F1186">
        <f>Schedule!$H$1</f>
        <v/>
      </c>
      <c r="G1186">
        <f>Schedule!$H$2</f>
        <v/>
      </c>
      <c r="H1186">
        <f>Schedule!$H$172</f>
        <v/>
      </c>
      <c r="I1186">
        <f>IF($N1186=1,VALUE(LEFT($H1186,2)),"")</f>
        <v/>
      </c>
      <c r="J1186">
        <f>IF($N1186=1,VALUE(MID($H1186,9,2)),"")</f>
        <v/>
      </c>
      <c r="K1186">
        <f>IF($N1186=1,MOD($J1186-$I1186,24),0)</f>
        <v/>
      </c>
      <c r="L1186">
        <f>IF($N1186=1,$E1186*24+$I1186,"")</f>
        <v/>
      </c>
      <c r="M1186">
        <f>IF($N1186=1,$L1186+$K1186,"")</f>
        <v/>
      </c>
      <c r="N1186">
        <f>IF(ISNUMBER(SEARCH(" - ",$H1186&amp;"")),1,0)</f>
        <v/>
      </c>
      <c r="O1186">
        <f>IF(UPPER($H1186&amp;"")="LEAVE",1,0)</f>
        <v/>
      </c>
      <c r="P1186">
        <f>IF($N1186=1,$K1186,0)</f>
        <v/>
      </c>
      <c r="Q1186">
        <f>IF($N1186=0,"",IFERROR($L1186-LOOKUP(2,1/(($B$2:$B1185=$B1186)*($N$2:$N1185=1)),$M$2:$M1185),""))</f>
        <v/>
      </c>
    </row>
    <row r="1187">
      <c r="A1187" t="n">
        <v>1186</v>
      </c>
      <c r="B1187">
        <f>Schedule!$A$172</f>
        <v/>
      </c>
      <c r="C1187">
        <f>Schedule!$D$172</f>
        <v/>
      </c>
      <c r="D1187">
        <f>Schedule!$F$172</f>
        <v/>
      </c>
      <c r="E1187" t="n">
        <v>2</v>
      </c>
      <c r="F1187">
        <f>Schedule!$I$1</f>
        <v/>
      </c>
      <c r="G1187">
        <f>Schedule!$I$2</f>
        <v/>
      </c>
      <c r="H1187">
        <f>Schedule!$I$172</f>
        <v/>
      </c>
      <c r="I1187">
        <f>IF($N1187=1,VALUE(LEFT($H1187,2)),"")</f>
        <v/>
      </c>
      <c r="J1187">
        <f>IF($N1187=1,VALUE(MID($H1187,9,2)),"")</f>
        <v/>
      </c>
      <c r="K1187">
        <f>IF($N1187=1,MOD($J1187-$I1187,24),0)</f>
        <v/>
      </c>
      <c r="L1187">
        <f>IF($N1187=1,$E1187*24+$I1187,"")</f>
        <v/>
      </c>
      <c r="M1187">
        <f>IF($N1187=1,$L1187+$K1187,"")</f>
        <v/>
      </c>
      <c r="N1187">
        <f>IF(ISNUMBER(SEARCH(" - ",$H1187&amp;"")),1,0)</f>
        <v/>
      </c>
      <c r="O1187">
        <f>IF(UPPER($H1187&amp;"")="LEAVE",1,0)</f>
        <v/>
      </c>
      <c r="P1187">
        <f>IF($N1187=1,$K1187,0)</f>
        <v/>
      </c>
      <c r="Q1187">
        <f>IF($N1187=0,"",IFERROR($L1187-LOOKUP(2,1/(($B$2:$B1186=$B1187)*($N$2:$N1186=1)),$M$2:$M1186),""))</f>
        <v/>
      </c>
    </row>
    <row r="1188">
      <c r="A1188" t="n">
        <v>1187</v>
      </c>
      <c r="B1188">
        <f>Schedule!$A$172</f>
        <v/>
      </c>
      <c r="C1188">
        <f>Schedule!$D$172</f>
        <v/>
      </c>
      <c r="D1188">
        <f>Schedule!$F$172</f>
        <v/>
      </c>
      <c r="E1188" t="n">
        <v>3</v>
      </c>
      <c r="F1188">
        <f>Schedule!$J$1</f>
        <v/>
      </c>
      <c r="G1188">
        <f>Schedule!$J$2</f>
        <v/>
      </c>
      <c r="H1188">
        <f>Schedule!$J$172</f>
        <v/>
      </c>
      <c r="I1188">
        <f>IF($N1188=1,VALUE(LEFT($H1188,2)),"")</f>
        <v/>
      </c>
      <c r="J1188">
        <f>IF($N1188=1,VALUE(MID($H1188,9,2)),"")</f>
        <v/>
      </c>
      <c r="K1188">
        <f>IF($N1188=1,MOD($J1188-$I1188,24),0)</f>
        <v/>
      </c>
      <c r="L1188">
        <f>IF($N1188=1,$E1188*24+$I1188,"")</f>
        <v/>
      </c>
      <c r="M1188">
        <f>IF($N1188=1,$L1188+$K1188,"")</f>
        <v/>
      </c>
      <c r="N1188">
        <f>IF(ISNUMBER(SEARCH(" - ",$H1188&amp;"")),1,0)</f>
        <v/>
      </c>
      <c r="O1188">
        <f>IF(UPPER($H1188&amp;"")="LEAVE",1,0)</f>
        <v/>
      </c>
      <c r="P1188">
        <f>IF($N1188=1,$K1188,0)</f>
        <v/>
      </c>
      <c r="Q1188">
        <f>IF($N1188=0,"",IFERROR($L1188-LOOKUP(2,1/(($B$2:$B1187=$B1188)*($N$2:$N1187=1)),$M$2:$M1187),""))</f>
        <v/>
      </c>
    </row>
    <row r="1189">
      <c r="A1189" t="n">
        <v>1188</v>
      </c>
      <c r="B1189">
        <f>Schedule!$A$172</f>
        <v/>
      </c>
      <c r="C1189">
        <f>Schedule!$D$172</f>
        <v/>
      </c>
      <c r="D1189">
        <f>Schedule!$F$172</f>
        <v/>
      </c>
      <c r="E1189" t="n">
        <v>4</v>
      </c>
      <c r="F1189">
        <f>Schedule!$K$1</f>
        <v/>
      </c>
      <c r="G1189">
        <f>Schedule!$K$2</f>
        <v/>
      </c>
      <c r="H1189">
        <f>Schedule!$K$172</f>
        <v/>
      </c>
      <c r="I1189">
        <f>IF($N1189=1,VALUE(LEFT($H1189,2)),"")</f>
        <v/>
      </c>
      <c r="J1189">
        <f>IF($N1189=1,VALUE(MID($H1189,9,2)),"")</f>
        <v/>
      </c>
      <c r="K1189">
        <f>IF($N1189=1,MOD($J1189-$I1189,24),0)</f>
        <v/>
      </c>
      <c r="L1189">
        <f>IF($N1189=1,$E1189*24+$I1189,"")</f>
        <v/>
      </c>
      <c r="M1189">
        <f>IF($N1189=1,$L1189+$K1189,"")</f>
        <v/>
      </c>
      <c r="N1189">
        <f>IF(ISNUMBER(SEARCH(" - ",$H1189&amp;"")),1,0)</f>
        <v/>
      </c>
      <c r="O1189">
        <f>IF(UPPER($H1189&amp;"")="LEAVE",1,0)</f>
        <v/>
      </c>
      <c r="P1189">
        <f>IF($N1189=1,$K1189,0)</f>
        <v/>
      </c>
      <c r="Q1189">
        <f>IF($N1189=0,"",IFERROR($L1189-LOOKUP(2,1/(($B$2:$B1188=$B1189)*($N$2:$N1188=1)),$M$2:$M1188),""))</f>
        <v/>
      </c>
    </row>
    <row r="1190">
      <c r="A1190" t="n">
        <v>1189</v>
      </c>
      <c r="B1190">
        <f>Schedule!$A$172</f>
        <v/>
      </c>
      <c r="C1190">
        <f>Schedule!$D$172</f>
        <v/>
      </c>
      <c r="D1190">
        <f>Schedule!$F$172</f>
        <v/>
      </c>
      <c r="E1190" t="n">
        <v>5</v>
      </c>
      <c r="F1190">
        <f>Schedule!$L$1</f>
        <v/>
      </c>
      <c r="G1190">
        <f>Schedule!$L$2</f>
        <v/>
      </c>
      <c r="H1190">
        <f>Schedule!$L$172</f>
        <v/>
      </c>
      <c r="I1190">
        <f>IF($N1190=1,VALUE(LEFT($H1190,2)),"")</f>
        <v/>
      </c>
      <c r="J1190">
        <f>IF($N1190=1,VALUE(MID($H1190,9,2)),"")</f>
        <v/>
      </c>
      <c r="K1190">
        <f>IF($N1190=1,MOD($J1190-$I1190,24),0)</f>
        <v/>
      </c>
      <c r="L1190">
        <f>IF($N1190=1,$E1190*24+$I1190,"")</f>
        <v/>
      </c>
      <c r="M1190">
        <f>IF($N1190=1,$L1190+$K1190,"")</f>
        <v/>
      </c>
      <c r="N1190">
        <f>IF(ISNUMBER(SEARCH(" - ",$H1190&amp;"")),1,0)</f>
        <v/>
      </c>
      <c r="O1190">
        <f>IF(UPPER($H1190&amp;"")="LEAVE",1,0)</f>
        <v/>
      </c>
      <c r="P1190">
        <f>IF($N1190=1,$K1190,0)</f>
        <v/>
      </c>
      <c r="Q1190">
        <f>IF($N1190=0,"",IFERROR($L1190-LOOKUP(2,1/(($B$2:$B1189=$B1190)*($N$2:$N1189=1)),$M$2:$M1189),""))</f>
        <v/>
      </c>
    </row>
    <row r="1191">
      <c r="A1191" t="n">
        <v>1190</v>
      </c>
      <c r="B1191">
        <f>Schedule!$A$172</f>
        <v/>
      </c>
      <c r="C1191">
        <f>Schedule!$D$172</f>
        <v/>
      </c>
      <c r="D1191">
        <f>Schedule!$F$172</f>
        <v/>
      </c>
      <c r="E1191" t="n">
        <v>6</v>
      </c>
      <c r="F1191">
        <f>Schedule!$M$1</f>
        <v/>
      </c>
      <c r="G1191">
        <f>Schedule!$M$2</f>
        <v/>
      </c>
      <c r="H1191">
        <f>Schedule!$M$172</f>
        <v/>
      </c>
      <c r="I1191">
        <f>IF($N1191=1,VALUE(LEFT($H1191,2)),"")</f>
        <v/>
      </c>
      <c r="J1191">
        <f>IF($N1191=1,VALUE(MID($H1191,9,2)),"")</f>
        <v/>
      </c>
      <c r="K1191">
        <f>IF($N1191=1,MOD($J1191-$I1191,24),0)</f>
        <v/>
      </c>
      <c r="L1191">
        <f>IF($N1191=1,$E1191*24+$I1191,"")</f>
        <v/>
      </c>
      <c r="M1191">
        <f>IF($N1191=1,$L1191+$K1191,"")</f>
        <v/>
      </c>
      <c r="N1191">
        <f>IF(ISNUMBER(SEARCH(" - ",$H1191&amp;"")),1,0)</f>
        <v/>
      </c>
      <c r="O1191">
        <f>IF(UPPER($H1191&amp;"")="LEAVE",1,0)</f>
        <v/>
      </c>
      <c r="P1191">
        <f>IF($N1191=1,$K1191,0)</f>
        <v/>
      </c>
      <c r="Q1191">
        <f>IF($N1191=0,"",IFERROR($L1191-LOOKUP(2,1/(($B$2:$B1190=$B1191)*($N$2:$N1190=1)),$M$2:$M1190),""))</f>
        <v/>
      </c>
    </row>
    <row r="1192">
      <c r="A1192" t="n">
        <v>1191</v>
      </c>
      <c r="B1192">
        <f>Schedule!$A$173</f>
        <v/>
      </c>
      <c r="C1192">
        <f>Schedule!$D$173</f>
        <v/>
      </c>
      <c r="D1192">
        <f>Schedule!$F$173</f>
        <v/>
      </c>
      <c r="E1192" t="n">
        <v>0</v>
      </c>
      <c r="F1192">
        <f>Schedule!$G$1</f>
        <v/>
      </c>
      <c r="G1192">
        <f>Schedule!$G$2</f>
        <v/>
      </c>
      <c r="H1192">
        <f>Schedule!$G$173</f>
        <v/>
      </c>
      <c r="I1192">
        <f>IF($N1192=1,VALUE(LEFT($H1192,2)),"")</f>
        <v/>
      </c>
      <c r="J1192">
        <f>IF($N1192=1,VALUE(MID($H1192,9,2)),"")</f>
        <v/>
      </c>
      <c r="K1192">
        <f>IF($N1192=1,MOD($J1192-$I1192,24),0)</f>
        <v/>
      </c>
      <c r="L1192">
        <f>IF($N1192=1,$E1192*24+$I1192,"")</f>
        <v/>
      </c>
      <c r="M1192">
        <f>IF($N1192=1,$L1192+$K1192,"")</f>
        <v/>
      </c>
      <c r="N1192">
        <f>IF(ISNUMBER(SEARCH(" - ",$H1192&amp;"")),1,0)</f>
        <v/>
      </c>
      <c r="O1192">
        <f>IF(UPPER($H1192&amp;"")="LEAVE",1,0)</f>
        <v/>
      </c>
      <c r="P1192">
        <f>IF($N1192=1,$K1192,0)</f>
        <v/>
      </c>
      <c r="Q1192">
        <f>IF($N1192=0,"",IFERROR($L1192-'Previous Engine'!$M$172,""))</f>
        <v/>
      </c>
    </row>
    <row r="1193">
      <c r="A1193" t="n">
        <v>1192</v>
      </c>
      <c r="B1193">
        <f>Schedule!$A$173</f>
        <v/>
      </c>
      <c r="C1193">
        <f>Schedule!$D$173</f>
        <v/>
      </c>
      <c r="D1193">
        <f>Schedule!$F$173</f>
        <v/>
      </c>
      <c r="E1193" t="n">
        <v>1</v>
      </c>
      <c r="F1193">
        <f>Schedule!$H$1</f>
        <v/>
      </c>
      <c r="G1193">
        <f>Schedule!$H$2</f>
        <v/>
      </c>
      <c r="H1193">
        <f>Schedule!$H$173</f>
        <v/>
      </c>
      <c r="I1193">
        <f>IF($N1193=1,VALUE(LEFT($H1193,2)),"")</f>
        <v/>
      </c>
      <c r="J1193">
        <f>IF($N1193=1,VALUE(MID($H1193,9,2)),"")</f>
        <v/>
      </c>
      <c r="K1193">
        <f>IF($N1193=1,MOD($J1193-$I1193,24),0)</f>
        <v/>
      </c>
      <c r="L1193">
        <f>IF($N1193=1,$E1193*24+$I1193,"")</f>
        <v/>
      </c>
      <c r="M1193">
        <f>IF($N1193=1,$L1193+$K1193,"")</f>
        <v/>
      </c>
      <c r="N1193">
        <f>IF(ISNUMBER(SEARCH(" - ",$H1193&amp;"")),1,0)</f>
        <v/>
      </c>
      <c r="O1193">
        <f>IF(UPPER($H1193&amp;"")="LEAVE",1,0)</f>
        <v/>
      </c>
      <c r="P1193">
        <f>IF($N1193=1,$K1193,0)</f>
        <v/>
      </c>
      <c r="Q1193">
        <f>IF($N1193=0,"",IFERROR($L1193-LOOKUP(2,1/(($B$2:$B1192=$B1193)*($N$2:$N1192=1)),$M$2:$M1192),""))</f>
        <v/>
      </c>
    </row>
    <row r="1194">
      <c r="A1194" t="n">
        <v>1193</v>
      </c>
      <c r="B1194">
        <f>Schedule!$A$173</f>
        <v/>
      </c>
      <c r="C1194">
        <f>Schedule!$D$173</f>
        <v/>
      </c>
      <c r="D1194">
        <f>Schedule!$F$173</f>
        <v/>
      </c>
      <c r="E1194" t="n">
        <v>2</v>
      </c>
      <c r="F1194">
        <f>Schedule!$I$1</f>
        <v/>
      </c>
      <c r="G1194">
        <f>Schedule!$I$2</f>
        <v/>
      </c>
      <c r="H1194">
        <f>Schedule!$I$173</f>
        <v/>
      </c>
      <c r="I1194">
        <f>IF($N1194=1,VALUE(LEFT($H1194,2)),"")</f>
        <v/>
      </c>
      <c r="J1194">
        <f>IF($N1194=1,VALUE(MID($H1194,9,2)),"")</f>
        <v/>
      </c>
      <c r="K1194">
        <f>IF($N1194=1,MOD($J1194-$I1194,24),0)</f>
        <v/>
      </c>
      <c r="L1194">
        <f>IF($N1194=1,$E1194*24+$I1194,"")</f>
        <v/>
      </c>
      <c r="M1194">
        <f>IF($N1194=1,$L1194+$K1194,"")</f>
        <v/>
      </c>
      <c r="N1194">
        <f>IF(ISNUMBER(SEARCH(" - ",$H1194&amp;"")),1,0)</f>
        <v/>
      </c>
      <c r="O1194">
        <f>IF(UPPER($H1194&amp;"")="LEAVE",1,0)</f>
        <v/>
      </c>
      <c r="P1194">
        <f>IF($N1194=1,$K1194,0)</f>
        <v/>
      </c>
      <c r="Q1194">
        <f>IF($N1194=0,"",IFERROR($L1194-LOOKUP(2,1/(($B$2:$B1193=$B1194)*($N$2:$N1193=1)),$M$2:$M1193),""))</f>
        <v/>
      </c>
    </row>
    <row r="1195">
      <c r="A1195" t="n">
        <v>1194</v>
      </c>
      <c r="B1195">
        <f>Schedule!$A$173</f>
        <v/>
      </c>
      <c r="C1195">
        <f>Schedule!$D$173</f>
        <v/>
      </c>
      <c r="D1195">
        <f>Schedule!$F$173</f>
        <v/>
      </c>
      <c r="E1195" t="n">
        <v>3</v>
      </c>
      <c r="F1195">
        <f>Schedule!$J$1</f>
        <v/>
      </c>
      <c r="G1195">
        <f>Schedule!$J$2</f>
        <v/>
      </c>
      <c r="H1195">
        <f>Schedule!$J$173</f>
        <v/>
      </c>
      <c r="I1195">
        <f>IF($N1195=1,VALUE(LEFT($H1195,2)),"")</f>
        <v/>
      </c>
      <c r="J1195">
        <f>IF($N1195=1,VALUE(MID($H1195,9,2)),"")</f>
        <v/>
      </c>
      <c r="K1195">
        <f>IF($N1195=1,MOD($J1195-$I1195,24),0)</f>
        <v/>
      </c>
      <c r="L1195">
        <f>IF($N1195=1,$E1195*24+$I1195,"")</f>
        <v/>
      </c>
      <c r="M1195">
        <f>IF($N1195=1,$L1195+$K1195,"")</f>
        <v/>
      </c>
      <c r="N1195">
        <f>IF(ISNUMBER(SEARCH(" - ",$H1195&amp;"")),1,0)</f>
        <v/>
      </c>
      <c r="O1195">
        <f>IF(UPPER($H1195&amp;"")="LEAVE",1,0)</f>
        <v/>
      </c>
      <c r="P1195">
        <f>IF($N1195=1,$K1195,0)</f>
        <v/>
      </c>
      <c r="Q1195">
        <f>IF($N1195=0,"",IFERROR($L1195-LOOKUP(2,1/(($B$2:$B1194=$B1195)*($N$2:$N1194=1)),$M$2:$M1194),""))</f>
        <v/>
      </c>
    </row>
    <row r="1196">
      <c r="A1196" t="n">
        <v>1195</v>
      </c>
      <c r="B1196">
        <f>Schedule!$A$173</f>
        <v/>
      </c>
      <c r="C1196">
        <f>Schedule!$D$173</f>
        <v/>
      </c>
      <c r="D1196">
        <f>Schedule!$F$173</f>
        <v/>
      </c>
      <c r="E1196" t="n">
        <v>4</v>
      </c>
      <c r="F1196">
        <f>Schedule!$K$1</f>
        <v/>
      </c>
      <c r="G1196">
        <f>Schedule!$K$2</f>
        <v/>
      </c>
      <c r="H1196">
        <f>Schedule!$K$173</f>
        <v/>
      </c>
      <c r="I1196">
        <f>IF($N1196=1,VALUE(LEFT($H1196,2)),"")</f>
        <v/>
      </c>
      <c r="J1196">
        <f>IF($N1196=1,VALUE(MID($H1196,9,2)),"")</f>
        <v/>
      </c>
      <c r="K1196">
        <f>IF($N1196=1,MOD($J1196-$I1196,24),0)</f>
        <v/>
      </c>
      <c r="L1196">
        <f>IF($N1196=1,$E1196*24+$I1196,"")</f>
        <v/>
      </c>
      <c r="M1196">
        <f>IF($N1196=1,$L1196+$K1196,"")</f>
        <v/>
      </c>
      <c r="N1196">
        <f>IF(ISNUMBER(SEARCH(" - ",$H1196&amp;"")),1,0)</f>
        <v/>
      </c>
      <c r="O1196">
        <f>IF(UPPER($H1196&amp;"")="LEAVE",1,0)</f>
        <v/>
      </c>
      <c r="P1196">
        <f>IF($N1196=1,$K1196,0)</f>
        <v/>
      </c>
      <c r="Q1196">
        <f>IF($N1196=0,"",IFERROR($L1196-LOOKUP(2,1/(($B$2:$B1195=$B1196)*($N$2:$N1195=1)),$M$2:$M1195),""))</f>
        <v/>
      </c>
    </row>
    <row r="1197">
      <c r="A1197" t="n">
        <v>1196</v>
      </c>
      <c r="B1197">
        <f>Schedule!$A$173</f>
        <v/>
      </c>
      <c r="C1197">
        <f>Schedule!$D$173</f>
        <v/>
      </c>
      <c r="D1197">
        <f>Schedule!$F$173</f>
        <v/>
      </c>
      <c r="E1197" t="n">
        <v>5</v>
      </c>
      <c r="F1197">
        <f>Schedule!$L$1</f>
        <v/>
      </c>
      <c r="G1197">
        <f>Schedule!$L$2</f>
        <v/>
      </c>
      <c r="H1197">
        <f>Schedule!$L$173</f>
        <v/>
      </c>
      <c r="I1197">
        <f>IF($N1197=1,VALUE(LEFT($H1197,2)),"")</f>
        <v/>
      </c>
      <c r="J1197">
        <f>IF($N1197=1,VALUE(MID($H1197,9,2)),"")</f>
        <v/>
      </c>
      <c r="K1197">
        <f>IF($N1197=1,MOD($J1197-$I1197,24),0)</f>
        <v/>
      </c>
      <c r="L1197">
        <f>IF($N1197=1,$E1197*24+$I1197,"")</f>
        <v/>
      </c>
      <c r="M1197">
        <f>IF($N1197=1,$L1197+$K1197,"")</f>
        <v/>
      </c>
      <c r="N1197">
        <f>IF(ISNUMBER(SEARCH(" - ",$H1197&amp;"")),1,0)</f>
        <v/>
      </c>
      <c r="O1197">
        <f>IF(UPPER($H1197&amp;"")="LEAVE",1,0)</f>
        <v/>
      </c>
      <c r="P1197">
        <f>IF($N1197=1,$K1197,0)</f>
        <v/>
      </c>
      <c r="Q1197">
        <f>IF($N1197=0,"",IFERROR($L1197-LOOKUP(2,1/(($B$2:$B1196=$B1197)*($N$2:$N1196=1)),$M$2:$M1196),""))</f>
        <v/>
      </c>
    </row>
    <row r="1198">
      <c r="A1198" t="n">
        <v>1197</v>
      </c>
      <c r="B1198">
        <f>Schedule!$A$173</f>
        <v/>
      </c>
      <c r="C1198">
        <f>Schedule!$D$173</f>
        <v/>
      </c>
      <c r="D1198">
        <f>Schedule!$F$173</f>
        <v/>
      </c>
      <c r="E1198" t="n">
        <v>6</v>
      </c>
      <c r="F1198">
        <f>Schedule!$M$1</f>
        <v/>
      </c>
      <c r="G1198">
        <f>Schedule!$M$2</f>
        <v/>
      </c>
      <c r="H1198">
        <f>Schedule!$M$173</f>
        <v/>
      </c>
      <c r="I1198">
        <f>IF($N1198=1,VALUE(LEFT($H1198,2)),"")</f>
        <v/>
      </c>
      <c r="J1198">
        <f>IF($N1198=1,VALUE(MID($H1198,9,2)),"")</f>
        <v/>
      </c>
      <c r="K1198">
        <f>IF($N1198=1,MOD($J1198-$I1198,24),0)</f>
        <v/>
      </c>
      <c r="L1198">
        <f>IF($N1198=1,$E1198*24+$I1198,"")</f>
        <v/>
      </c>
      <c r="M1198">
        <f>IF($N1198=1,$L1198+$K1198,"")</f>
        <v/>
      </c>
      <c r="N1198">
        <f>IF(ISNUMBER(SEARCH(" - ",$H1198&amp;"")),1,0)</f>
        <v/>
      </c>
      <c r="O1198">
        <f>IF(UPPER($H1198&amp;"")="LEAVE",1,0)</f>
        <v/>
      </c>
      <c r="P1198">
        <f>IF($N1198=1,$K1198,0)</f>
        <v/>
      </c>
      <c r="Q1198">
        <f>IF($N1198=0,"",IFERROR($L1198-LOOKUP(2,1/(($B$2:$B1197=$B1198)*($N$2:$N1197=1)),$M$2:$M1197),""))</f>
        <v/>
      </c>
    </row>
    <row r="1199">
      <c r="A1199" t="n">
        <v>1198</v>
      </c>
      <c r="B1199">
        <f>Schedule!$A$174</f>
        <v/>
      </c>
      <c r="C1199">
        <f>Schedule!$D$174</f>
        <v/>
      </c>
      <c r="D1199">
        <f>Schedule!$F$174</f>
        <v/>
      </c>
      <c r="E1199" t="n">
        <v>0</v>
      </c>
      <c r="F1199">
        <f>Schedule!$G$1</f>
        <v/>
      </c>
      <c r="G1199">
        <f>Schedule!$G$2</f>
        <v/>
      </c>
      <c r="H1199">
        <f>Schedule!$G$174</f>
        <v/>
      </c>
      <c r="I1199">
        <f>IF($N1199=1,VALUE(LEFT($H1199,2)),"")</f>
        <v/>
      </c>
      <c r="J1199">
        <f>IF($N1199=1,VALUE(MID($H1199,9,2)),"")</f>
        <v/>
      </c>
      <c r="K1199">
        <f>IF($N1199=1,MOD($J1199-$I1199,24),0)</f>
        <v/>
      </c>
      <c r="L1199">
        <f>IF($N1199=1,$E1199*24+$I1199,"")</f>
        <v/>
      </c>
      <c r="M1199">
        <f>IF($N1199=1,$L1199+$K1199,"")</f>
        <v/>
      </c>
      <c r="N1199">
        <f>IF(ISNUMBER(SEARCH(" - ",$H1199&amp;"")),1,0)</f>
        <v/>
      </c>
      <c r="O1199">
        <f>IF(UPPER($H1199&amp;"")="LEAVE",1,0)</f>
        <v/>
      </c>
      <c r="P1199">
        <f>IF($N1199=1,$K1199,0)</f>
        <v/>
      </c>
      <c r="Q1199">
        <f>IF($N1199=0,"",IFERROR($L1199-'Previous Engine'!$M$173,""))</f>
        <v/>
      </c>
    </row>
    <row r="1200">
      <c r="A1200" t="n">
        <v>1199</v>
      </c>
      <c r="B1200">
        <f>Schedule!$A$174</f>
        <v/>
      </c>
      <c r="C1200">
        <f>Schedule!$D$174</f>
        <v/>
      </c>
      <c r="D1200">
        <f>Schedule!$F$174</f>
        <v/>
      </c>
      <c r="E1200" t="n">
        <v>1</v>
      </c>
      <c r="F1200">
        <f>Schedule!$H$1</f>
        <v/>
      </c>
      <c r="G1200">
        <f>Schedule!$H$2</f>
        <v/>
      </c>
      <c r="H1200">
        <f>Schedule!$H$174</f>
        <v/>
      </c>
      <c r="I1200">
        <f>IF($N1200=1,VALUE(LEFT($H1200,2)),"")</f>
        <v/>
      </c>
      <c r="J1200">
        <f>IF($N1200=1,VALUE(MID($H1200,9,2)),"")</f>
        <v/>
      </c>
      <c r="K1200">
        <f>IF($N1200=1,MOD($J1200-$I1200,24),0)</f>
        <v/>
      </c>
      <c r="L1200">
        <f>IF($N1200=1,$E1200*24+$I1200,"")</f>
        <v/>
      </c>
      <c r="M1200">
        <f>IF($N1200=1,$L1200+$K1200,"")</f>
        <v/>
      </c>
      <c r="N1200">
        <f>IF(ISNUMBER(SEARCH(" - ",$H1200&amp;"")),1,0)</f>
        <v/>
      </c>
      <c r="O1200">
        <f>IF(UPPER($H1200&amp;"")="LEAVE",1,0)</f>
        <v/>
      </c>
      <c r="P1200">
        <f>IF($N1200=1,$K1200,0)</f>
        <v/>
      </c>
      <c r="Q1200">
        <f>IF($N1200=0,"",IFERROR($L1200-LOOKUP(2,1/(($B$2:$B1199=$B1200)*($N$2:$N1199=1)),$M$2:$M1199),""))</f>
        <v/>
      </c>
    </row>
    <row r="1201">
      <c r="A1201" t="n">
        <v>1200</v>
      </c>
      <c r="B1201">
        <f>Schedule!$A$174</f>
        <v/>
      </c>
      <c r="C1201">
        <f>Schedule!$D$174</f>
        <v/>
      </c>
      <c r="D1201">
        <f>Schedule!$F$174</f>
        <v/>
      </c>
      <c r="E1201" t="n">
        <v>2</v>
      </c>
      <c r="F1201">
        <f>Schedule!$I$1</f>
        <v/>
      </c>
      <c r="G1201">
        <f>Schedule!$I$2</f>
        <v/>
      </c>
      <c r="H1201">
        <f>Schedule!$I$174</f>
        <v/>
      </c>
      <c r="I1201">
        <f>IF($N1201=1,VALUE(LEFT($H1201,2)),"")</f>
        <v/>
      </c>
      <c r="J1201">
        <f>IF($N1201=1,VALUE(MID($H1201,9,2)),"")</f>
        <v/>
      </c>
      <c r="K1201">
        <f>IF($N1201=1,MOD($J1201-$I1201,24),0)</f>
        <v/>
      </c>
      <c r="L1201">
        <f>IF($N1201=1,$E1201*24+$I1201,"")</f>
        <v/>
      </c>
      <c r="M1201">
        <f>IF($N1201=1,$L1201+$K1201,"")</f>
        <v/>
      </c>
      <c r="N1201">
        <f>IF(ISNUMBER(SEARCH(" - ",$H1201&amp;"")),1,0)</f>
        <v/>
      </c>
      <c r="O1201">
        <f>IF(UPPER($H1201&amp;"")="LEAVE",1,0)</f>
        <v/>
      </c>
      <c r="P1201">
        <f>IF($N1201=1,$K1201,0)</f>
        <v/>
      </c>
      <c r="Q1201">
        <f>IF($N1201=0,"",IFERROR($L1201-LOOKUP(2,1/(($B$2:$B1200=$B1201)*($N$2:$N1200=1)),$M$2:$M1200),""))</f>
        <v/>
      </c>
    </row>
    <row r="1202">
      <c r="A1202" t="n">
        <v>1201</v>
      </c>
      <c r="B1202">
        <f>Schedule!$A$174</f>
        <v/>
      </c>
      <c r="C1202">
        <f>Schedule!$D$174</f>
        <v/>
      </c>
      <c r="D1202">
        <f>Schedule!$F$174</f>
        <v/>
      </c>
      <c r="E1202" t="n">
        <v>3</v>
      </c>
      <c r="F1202">
        <f>Schedule!$J$1</f>
        <v/>
      </c>
      <c r="G1202">
        <f>Schedule!$J$2</f>
        <v/>
      </c>
      <c r="H1202">
        <f>Schedule!$J$174</f>
        <v/>
      </c>
      <c r="I1202">
        <f>IF($N1202=1,VALUE(LEFT($H1202,2)),"")</f>
        <v/>
      </c>
      <c r="J1202">
        <f>IF($N1202=1,VALUE(MID($H1202,9,2)),"")</f>
        <v/>
      </c>
      <c r="K1202">
        <f>IF($N1202=1,MOD($J1202-$I1202,24),0)</f>
        <v/>
      </c>
      <c r="L1202">
        <f>IF($N1202=1,$E1202*24+$I1202,"")</f>
        <v/>
      </c>
      <c r="M1202">
        <f>IF($N1202=1,$L1202+$K1202,"")</f>
        <v/>
      </c>
      <c r="N1202">
        <f>IF(ISNUMBER(SEARCH(" - ",$H1202&amp;"")),1,0)</f>
        <v/>
      </c>
      <c r="O1202">
        <f>IF(UPPER($H1202&amp;"")="LEAVE",1,0)</f>
        <v/>
      </c>
      <c r="P1202">
        <f>IF($N1202=1,$K1202,0)</f>
        <v/>
      </c>
      <c r="Q1202">
        <f>IF($N1202=0,"",IFERROR($L1202-LOOKUP(2,1/(($B$2:$B1201=$B1202)*($N$2:$N1201=1)),$M$2:$M1201),""))</f>
        <v/>
      </c>
    </row>
    <row r="1203">
      <c r="A1203" t="n">
        <v>1202</v>
      </c>
      <c r="B1203">
        <f>Schedule!$A$174</f>
        <v/>
      </c>
      <c r="C1203">
        <f>Schedule!$D$174</f>
        <v/>
      </c>
      <c r="D1203">
        <f>Schedule!$F$174</f>
        <v/>
      </c>
      <c r="E1203" t="n">
        <v>4</v>
      </c>
      <c r="F1203">
        <f>Schedule!$K$1</f>
        <v/>
      </c>
      <c r="G1203">
        <f>Schedule!$K$2</f>
        <v/>
      </c>
      <c r="H1203">
        <f>Schedule!$K$174</f>
        <v/>
      </c>
      <c r="I1203">
        <f>IF($N1203=1,VALUE(LEFT($H1203,2)),"")</f>
        <v/>
      </c>
      <c r="J1203">
        <f>IF($N1203=1,VALUE(MID($H1203,9,2)),"")</f>
        <v/>
      </c>
      <c r="K1203">
        <f>IF($N1203=1,MOD($J1203-$I1203,24),0)</f>
        <v/>
      </c>
      <c r="L1203">
        <f>IF($N1203=1,$E1203*24+$I1203,"")</f>
        <v/>
      </c>
      <c r="M1203">
        <f>IF($N1203=1,$L1203+$K1203,"")</f>
        <v/>
      </c>
      <c r="N1203">
        <f>IF(ISNUMBER(SEARCH(" - ",$H1203&amp;"")),1,0)</f>
        <v/>
      </c>
      <c r="O1203">
        <f>IF(UPPER($H1203&amp;"")="LEAVE",1,0)</f>
        <v/>
      </c>
      <c r="P1203">
        <f>IF($N1203=1,$K1203,0)</f>
        <v/>
      </c>
      <c r="Q1203">
        <f>IF($N1203=0,"",IFERROR($L1203-LOOKUP(2,1/(($B$2:$B1202=$B1203)*($N$2:$N1202=1)),$M$2:$M1202),""))</f>
        <v/>
      </c>
    </row>
    <row r="1204">
      <c r="A1204" t="n">
        <v>1203</v>
      </c>
      <c r="B1204">
        <f>Schedule!$A$174</f>
        <v/>
      </c>
      <c r="C1204">
        <f>Schedule!$D$174</f>
        <v/>
      </c>
      <c r="D1204">
        <f>Schedule!$F$174</f>
        <v/>
      </c>
      <c r="E1204" t="n">
        <v>5</v>
      </c>
      <c r="F1204">
        <f>Schedule!$L$1</f>
        <v/>
      </c>
      <c r="G1204">
        <f>Schedule!$L$2</f>
        <v/>
      </c>
      <c r="H1204">
        <f>Schedule!$L$174</f>
        <v/>
      </c>
      <c r="I1204">
        <f>IF($N1204=1,VALUE(LEFT($H1204,2)),"")</f>
        <v/>
      </c>
      <c r="J1204">
        <f>IF($N1204=1,VALUE(MID($H1204,9,2)),"")</f>
        <v/>
      </c>
      <c r="K1204">
        <f>IF($N1204=1,MOD($J1204-$I1204,24),0)</f>
        <v/>
      </c>
      <c r="L1204">
        <f>IF($N1204=1,$E1204*24+$I1204,"")</f>
        <v/>
      </c>
      <c r="M1204">
        <f>IF($N1204=1,$L1204+$K1204,"")</f>
        <v/>
      </c>
      <c r="N1204">
        <f>IF(ISNUMBER(SEARCH(" - ",$H1204&amp;"")),1,0)</f>
        <v/>
      </c>
      <c r="O1204">
        <f>IF(UPPER($H1204&amp;"")="LEAVE",1,0)</f>
        <v/>
      </c>
      <c r="P1204">
        <f>IF($N1204=1,$K1204,0)</f>
        <v/>
      </c>
      <c r="Q1204">
        <f>IF($N1204=0,"",IFERROR($L1204-LOOKUP(2,1/(($B$2:$B1203=$B1204)*($N$2:$N1203=1)),$M$2:$M1203),""))</f>
        <v/>
      </c>
    </row>
    <row r="1205">
      <c r="A1205" t="n">
        <v>1204</v>
      </c>
      <c r="B1205">
        <f>Schedule!$A$174</f>
        <v/>
      </c>
      <c r="C1205">
        <f>Schedule!$D$174</f>
        <v/>
      </c>
      <c r="D1205">
        <f>Schedule!$F$174</f>
        <v/>
      </c>
      <c r="E1205" t="n">
        <v>6</v>
      </c>
      <c r="F1205">
        <f>Schedule!$M$1</f>
        <v/>
      </c>
      <c r="G1205">
        <f>Schedule!$M$2</f>
        <v/>
      </c>
      <c r="H1205">
        <f>Schedule!$M$174</f>
        <v/>
      </c>
      <c r="I1205">
        <f>IF($N1205=1,VALUE(LEFT($H1205,2)),"")</f>
        <v/>
      </c>
      <c r="J1205">
        <f>IF($N1205=1,VALUE(MID($H1205,9,2)),"")</f>
        <v/>
      </c>
      <c r="K1205">
        <f>IF($N1205=1,MOD($J1205-$I1205,24),0)</f>
        <v/>
      </c>
      <c r="L1205">
        <f>IF($N1205=1,$E1205*24+$I1205,"")</f>
        <v/>
      </c>
      <c r="M1205">
        <f>IF($N1205=1,$L1205+$K1205,"")</f>
        <v/>
      </c>
      <c r="N1205">
        <f>IF(ISNUMBER(SEARCH(" - ",$H1205&amp;"")),1,0)</f>
        <v/>
      </c>
      <c r="O1205">
        <f>IF(UPPER($H1205&amp;"")="LEAVE",1,0)</f>
        <v/>
      </c>
      <c r="P1205">
        <f>IF($N1205=1,$K1205,0)</f>
        <v/>
      </c>
      <c r="Q1205">
        <f>IF($N1205=0,"",IFERROR($L1205-LOOKUP(2,1/(($B$2:$B1204=$B1205)*($N$2:$N1204=1)),$M$2:$M1204),""))</f>
        <v/>
      </c>
    </row>
    <row r="1206">
      <c r="A1206" t="n">
        <v>1205</v>
      </c>
      <c r="B1206">
        <f>Schedule!$A$175</f>
        <v/>
      </c>
      <c r="C1206">
        <f>Schedule!$D$175</f>
        <v/>
      </c>
      <c r="D1206">
        <f>Schedule!$F$175</f>
        <v/>
      </c>
      <c r="E1206" t="n">
        <v>0</v>
      </c>
      <c r="F1206">
        <f>Schedule!$G$1</f>
        <v/>
      </c>
      <c r="G1206">
        <f>Schedule!$G$2</f>
        <v/>
      </c>
      <c r="H1206">
        <f>Schedule!$G$175</f>
        <v/>
      </c>
      <c r="I1206">
        <f>IF($N1206=1,VALUE(LEFT($H1206,2)),"")</f>
        <v/>
      </c>
      <c r="J1206">
        <f>IF($N1206=1,VALUE(MID($H1206,9,2)),"")</f>
        <v/>
      </c>
      <c r="K1206">
        <f>IF($N1206=1,MOD($J1206-$I1206,24),0)</f>
        <v/>
      </c>
      <c r="L1206">
        <f>IF($N1206=1,$E1206*24+$I1206,"")</f>
        <v/>
      </c>
      <c r="M1206">
        <f>IF($N1206=1,$L1206+$K1206,"")</f>
        <v/>
      </c>
      <c r="N1206">
        <f>IF(ISNUMBER(SEARCH(" - ",$H1206&amp;"")),1,0)</f>
        <v/>
      </c>
      <c r="O1206">
        <f>IF(UPPER($H1206&amp;"")="LEAVE",1,0)</f>
        <v/>
      </c>
      <c r="P1206">
        <f>IF($N1206=1,$K1206,0)</f>
        <v/>
      </c>
      <c r="Q1206">
        <f>IF($N1206=0,"",IFERROR($L1206-'Previous Engine'!$M$174,""))</f>
        <v/>
      </c>
    </row>
    <row r="1207">
      <c r="A1207" t="n">
        <v>1206</v>
      </c>
      <c r="B1207">
        <f>Schedule!$A$175</f>
        <v/>
      </c>
      <c r="C1207">
        <f>Schedule!$D$175</f>
        <v/>
      </c>
      <c r="D1207">
        <f>Schedule!$F$175</f>
        <v/>
      </c>
      <c r="E1207" t="n">
        <v>1</v>
      </c>
      <c r="F1207">
        <f>Schedule!$H$1</f>
        <v/>
      </c>
      <c r="G1207">
        <f>Schedule!$H$2</f>
        <v/>
      </c>
      <c r="H1207">
        <f>Schedule!$H$175</f>
        <v/>
      </c>
      <c r="I1207">
        <f>IF($N1207=1,VALUE(LEFT($H1207,2)),"")</f>
        <v/>
      </c>
      <c r="J1207">
        <f>IF($N1207=1,VALUE(MID($H1207,9,2)),"")</f>
        <v/>
      </c>
      <c r="K1207">
        <f>IF($N1207=1,MOD($J1207-$I1207,24),0)</f>
        <v/>
      </c>
      <c r="L1207">
        <f>IF($N1207=1,$E1207*24+$I1207,"")</f>
        <v/>
      </c>
      <c r="M1207">
        <f>IF($N1207=1,$L1207+$K1207,"")</f>
        <v/>
      </c>
      <c r="N1207">
        <f>IF(ISNUMBER(SEARCH(" - ",$H1207&amp;"")),1,0)</f>
        <v/>
      </c>
      <c r="O1207">
        <f>IF(UPPER($H1207&amp;"")="LEAVE",1,0)</f>
        <v/>
      </c>
      <c r="P1207">
        <f>IF($N1207=1,$K1207,0)</f>
        <v/>
      </c>
      <c r="Q1207">
        <f>IF($N1207=0,"",IFERROR($L1207-LOOKUP(2,1/(($B$2:$B1206=$B1207)*($N$2:$N1206=1)),$M$2:$M1206),""))</f>
        <v/>
      </c>
    </row>
    <row r="1208">
      <c r="A1208" t="n">
        <v>1207</v>
      </c>
      <c r="B1208">
        <f>Schedule!$A$175</f>
        <v/>
      </c>
      <c r="C1208">
        <f>Schedule!$D$175</f>
        <v/>
      </c>
      <c r="D1208">
        <f>Schedule!$F$175</f>
        <v/>
      </c>
      <c r="E1208" t="n">
        <v>2</v>
      </c>
      <c r="F1208">
        <f>Schedule!$I$1</f>
        <v/>
      </c>
      <c r="G1208">
        <f>Schedule!$I$2</f>
        <v/>
      </c>
      <c r="H1208">
        <f>Schedule!$I$175</f>
        <v/>
      </c>
      <c r="I1208">
        <f>IF($N1208=1,VALUE(LEFT($H1208,2)),"")</f>
        <v/>
      </c>
      <c r="J1208">
        <f>IF($N1208=1,VALUE(MID($H1208,9,2)),"")</f>
        <v/>
      </c>
      <c r="K1208">
        <f>IF($N1208=1,MOD($J1208-$I1208,24),0)</f>
        <v/>
      </c>
      <c r="L1208">
        <f>IF($N1208=1,$E1208*24+$I1208,"")</f>
        <v/>
      </c>
      <c r="M1208">
        <f>IF($N1208=1,$L1208+$K1208,"")</f>
        <v/>
      </c>
      <c r="N1208">
        <f>IF(ISNUMBER(SEARCH(" - ",$H1208&amp;"")),1,0)</f>
        <v/>
      </c>
      <c r="O1208">
        <f>IF(UPPER($H1208&amp;"")="LEAVE",1,0)</f>
        <v/>
      </c>
      <c r="P1208">
        <f>IF($N1208=1,$K1208,0)</f>
        <v/>
      </c>
      <c r="Q1208">
        <f>IF($N1208=0,"",IFERROR($L1208-LOOKUP(2,1/(($B$2:$B1207=$B1208)*($N$2:$N1207=1)),$M$2:$M1207),""))</f>
        <v/>
      </c>
    </row>
    <row r="1209">
      <c r="A1209" t="n">
        <v>1208</v>
      </c>
      <c r="B1209">
        <f>Schedule!$A$175</f>
        <v/>
      </c>
      <c r="C1209">
        <f>Schedule!$D$175</f>
        <v/>
      </c>
      <c r="D1209">
        <f>Schedule!$F$175</f>
        <v/>
      </c>
      <c r="E1209" t="n">
        <v>3</v>
      </c>
      <c r="F1209">
        <f>Schedule!$J$1</f>
        <v/>
      </c>
      <c r="G1209">
        <f>Schedule!$J$2</f>
        <v/>
      </c>
      <c r="H1209">
        <f>Schedule!$J$175</f>
        <v/>
      </c>
      <c r="I1209">
        <f>IF($N1209=1,VALUE(LEFT($H1209,2)),"")</f>
        <v/>
      </c>
      <c r="J1209">
        <f>IF($N1209=1,VALUE(MID($H1209,9,2)),"")</f>
        <v/>
      </c>
      <c r="K1209">
        <f>IF($N1209=1,MOD($J1209-$I1209,24),0)</f>
        <v/>
      </c>
      <c r="L1209">
        <f>IF($N1209=1,$E1209*24+$I1209,"")</f>
        <v/>
      </c>
      <c r="M1209">
        <f>IF($N1209=1,$L1209+$K1209,"")</f>
        <v/>
      </c>
      <c r="N1209">
        <f>IF(ISNUMBER(SEARCH(" - ",$H1209&amp;"")),1,0)</f>
        <v/>
      </c>
      <c r="O1209">
        <f>IF(UPPER($H1209&amp;"")="LEAVE",1,0)</f>
        <v/>
      </c>
      <c r="P1209">
        <f>IF($N1209=1,$K1209,0)</f>
        <v/>
      </c>
      <c r="Q1209">
        <f>IF($N1209=0,"",IFERROR($L1209-LOOKUP(2,1/(($B$2:$B1208=$B1209)*($N$2:$N1208=1)),$M$2:$M1208),""))</f>
        <v/>
      </c>
    </row>
    <row r="1210">
      <c r="A1210" t="n">
        <v>1209</v>
      </c>
      <c r="B1210">
        <f>Schedule!$A$175</f>
        <v/>
      </c>
      <c r="C1210">
        <f>Schedule!$D$175</f>
        <v/>
      </c>
      <c r="D1210">
        <f>Schedule!$F$175</f>
        <v/>
      </c>
      <c r="E1210" t="n">
        <v>4</v>
      </c>
      <c r="F1210">
        <f>Schedule!$K$1</f>
        <v/>
      </c>
      <c r="G1210">
        <f>Schedule!$K$2</f>
        <v/>
      </c>
      <c r="H1210">
        <f>Schedule!$K$175</f>
        <v/>
      </c>
      <c r="I1210">
        <f>IF($N1210=1,VALUE(LEFT($H1210,2)),"")</f>
        <v/>
      </c>
      <c r="J1210">
        <f>IF($N1210=1,VALUE(MID($H1210,9,2)),"")</f>
        <v/>
      </c>
      <c r="K1210">
        <f>IF($N1210=1,MOD($J1210-$I1210,24),0)</f>
        <v/>
      </c>
      <c r="L1210">
        <f>IF($N1210=1,$E1210*24+$I1210,"")</f>
        <v/>
      </c>
      <c r="M1210">
        <f>IF($N1210=1,$L1210+$K1210,"")</f>
        <v/>
      </c>
      <c r="N1210">
        <f>IF(ISNUMBER(SEARCH(" - ",$H1210&amp;"")),1,0)</f>
        <v/>
      </c>
      <c r="O1210">
        <f>IF(UPPER($H1210&amp;"")="LEAVE",1,0)</f>
        <v/>
      </c>
      <c r="P1210">
        <f>IF($N1210=1,$K1210,0)</f>
        <v/>
      </c>
      <c r="Q1210">
        <f>IF($N1210=0,"",IFERROR($L1210-LOOKUP(2,1/(($B$2:$B1209=$B1210)*($N$2:$N1209=1)),$M$2:$M1209),""))</f>
        <v/>
      </c>
    </row>
    <row r="1211">
      <c r="A1211" t="n">
        <v>1210</v>
      </c>
      <c r="B1211">
        <f>Schedule!$A$175</f>
        <v/>
      </c>
      <c r="C1211">
        <f>Schedule!$D$175</f>
        <v/>
      </c>
      <c r="D1211">
        <f>Schedule!$F$175</f>
        <v/>
      </c>
      <c r="E1211" t="n">
        <v>5</v>
      </c>
      <c r="F1211">
        <f>Schedule!$L$1</f>
        <v/>
      </c>
      <c r="G1211">
        <f>Schedule!$L$2</f>
        <v/>
      </c>
      <c r="H1211">
        <f>Schedule!$L$175</f>
        <v/>
      </c>
      <c r="I1211">
        <f>IF($N1211=1,VALUE(LEFT($H1211,2)),"")</f>
        <v/>
      </c>
      <c r="J1211">
        <f>IF($N1211=1,VALUE(MID($H1211,9,2)),"")</f>
        <v/>
      </c>
      <c r="K1211">
        <f>IF($N1211=1,MOD($J1211-$I1211,24),0)</f>
        <v/>
      </c>
      <c r="L1211">
        <f>IF($N1211=1,$E1211*24+$I1211,"")</f>
        <v/>
      </c>
      <c r="M1211">
        <f>IF($N1211=1,$L1211+$K1211,"")</f>
        <v/>
      </c>
      <c r="N1211">
        <f>IF(ISNUMBER(SEARCH(" - ",$H1211&amp;"")),1,0)</f>
        <v/>
      </c>
      <c r="O1211">
        <f>IF(UPPER($H1211&amp;"")="LEAVE",1,0)</f>
        <v/>
      </c>
      <c r="P1211">
        <f>IF($N1211=1,$K1211,0)</f>
        <v/>
      </c>
      <c r="Q1211">
        <f>IF($N1211=0,"",IFERROR($L1211-LOOKUP(2,1/(($B$2:$B1210=$B1211)*($N$2:$N1210=1)),$M$2:$M1210),""))</f>
        <v/>
      </c>
    </row>
    <row r="1212">
      <c r="A1212" t="n">
        <v>1211</v>
      </c>
      <c r="B1212">
        <f>Schedule!$A$175</f>
        <v/>
      </c>
      <c r="C1212">
        <f>Schedule!$D$175</f>
        <v/>
      </c>
      <c r="D1212">
        <f>Schedule!$F$175</f>
        <v/>
      </c>
      <c r="E1212" t="n">
        <v>6</v>
      </c>
      <c r="F1212">
        <f>Schedule!$M$1</f>
        <v/>
      </c>
      <c r="G1212">
        <f>Schedule!$M$2</f>
        <v/>
      </c>
      <c r="H1212">
        <f>Schedule!$M$175</f>
        <v/>
      </c>
      <c r="I1212">
        <f>IF($N1212=1,VALUE(LEFT($H1212,2)),"")</f>
        <v/>
      </c>
      <c r="J1212">
        <f>IF($N1212=1,VALUE(MID($H1212,9,2)),"")</f>
        <v/>
      </c>
      <c r="K1212">
        <f>IF($N1212=1,MOD($J1212-$I1212,24),0)</f>
        <v/>
      </c>
      <c r="L1212">
        <f>IF($N1212=1,$E1212*24+$I1212,"")</f>
        <v/>
      </c>
      <c r="M1212">
        <f>IF($N1212=1,$L1212+$K1212,"")</f>
        <v/>
      </c>
      <c r="N1212">
        <f>IF(ISNUMBER(SEARCH(" - ",$H1212&amp;"")),1,0)</f>
        <v/>
      </c>
      <c r="O1212">
        <f>IF(UPPER($H1212&amp;"")="LEAVE",1,0)</f>
        <v/>
      </c>
      <c r="P1212">
        <f>IF($N1212=1,$K1212,0)</f>
        <v/>
      </c>
      <c r="Q1212">
        <f>IF($N1212=0,"",IFERROR($L1212-LOOKUP(2,1/(($B$2:$B1211=$B1212)*($N$2:$N1211=1)),$M$2:$M1211),""))</f>
        <v/>
      </c>
    </row>
    <row r="1213">
      <c r="A1213" t="n">
        <v>1212</v>
      </c>
      <c r="B1213">
        <f>Schedule!$A$176</f>
        <v/>
      </c>
      <c r="C1213">
        <f>Schedule!$D$176</f>
        <v/>
      </c>
      <c r="D1213">
        <f>Schedule!$F$176</f>
        <v/>
      </c>
      <c r="E1213" t="n">
        <v>0</v>
      </c>
      <c r="F1213">
        <f>Schedule!$G$1</f>
        <v/>
      </c>
      <c r="G1213">
        <f>Schedule!$G$2</f>
        <v/>
      </c>
      <c r="H1213">
        <f>Schedule!$G$176</f>
        <v/>
      </c>
      <c r="I1213">
        <f>IF($N1213=1,VALUE(LEFT($H1213,2)),"")</f>
        <v/>
      </c>
      <c r="J1213">
        <f>IF($N1213=1,VALUE(MID($H1213,9,2)),"")</f>
        <v/>
      </c>
      <c r="K1213">
        <f>IF($N1213=1,MOD($J1213-$I1213,24),0)</f>
        <v/>
      </c>
      <c r="L1213">
        <f>IF($N1213=1,$E1213*24+$I1213,"")</f>
        <v/>
      </c>
      <c r="M1213">
        <f>IF($N1213=1,$L1213+$K1213,"")</f>
        <v/>
      </c>
      <c r="N1213">
        <f>IF(ISNUMBER(SEARCH(" - ",$H1213&amp;"")),1,0)</f>
        <v/>
      </c>
      <c r="O1213">
        <f>IF(UPPER($H1213&amp;"")="LEAVE",1,0)</f>
        <v/>
      </c>
      <c r="P1213">
        <f>IF($N1213=1,$K1213,0)</f>
        <v/>
      </c>
      <c r="Q1213">
        <f>IF($N1213=0,"",IFERROR($L1213-'Previous Engine'!$M$175,""))</f>
        <v/>
      </c>
    </row>
    <row r="1214">
      <c r="A1214" t="n">
        <v>1213</v>
      </c>
      <c r="B1214">
        <f>Schedule!$A$176</f>
        <v/>
      </c>
      <c r="C1214">
        <f>Schedule!$D$176</f>
        <v/>
      </c>
      <c r="D1214">
        <f>Schedule!$F$176</f>
        <v/>
      </c>
      <c r="E1214" t="n">
        <v>1</v>
      </c>
      <c r="F1214">
        <f>Schedule!$H$1</f>
        <v/>
      </c>
      <c r="G1214">
        <f>Schedule!$H$2</f>
        <v/>
      </c>
      <c r="H1214">
        <f>Schedule!$H$176</f>
        <v/>
      </c>
      <c r="I1214">
        <f>IF($N1214=1,VALUE(LEFT($H1214,2)),"")</f>
        <v/>
      </c>
      <c r="J1214">
        <f>IF($N1214=1,VALUE(MID($H1214,9,2)),"")</f>
        <v/>
      </c>
      <c r="K1214">
        <f>IF($N1214=1,MOD($J1214-$I1214,24),0)</f>
        <v/>
      </c>
      <c r="L1214">
        <f>IF($N1214=1,$E1214*24+$I1214,"")</f>
        <v/>
      </c>
      <c r="M1214">
        <f>IF($N1214=1,$L1214+$K1214,"")</f>
        <v/>
      </c>
      <c r="N1214">
        <f>IF(ISNUMBER(SEARCH(" - ",$H1214&amp;"")),1,0)</f>
        <v/>
      </c>
      <c r="O1214">
        <f>IF(UPPER($H1214&amp;"")="LEAVE",1,0)</f>
        <v/>
      </c>
      <c r="P1214">
        <f>IF($N1214=1,$K1214,0)</f>
        <v/>
      </c>
      <c r="Q1214">
        <f>IF($N1214=0,"",IFERROR($L1214-LOOKUP(2,1/(($B$2:$B1213=$B1214)*($N$2:$N1213=1)),$M$2:$M1213),""))</f>
        <v/>
      </c>
    </row>
    <row r="1215">
      <c r="A1215" t="n">
        <v>1214</v>
      </c>
      <c r="B1215">
        <f>Schedule!$A$176</f>
        <v/>
      </c>
      <c r="C1215">
        <f>Schedule!$D$176</f>
        <v/>
      </c>
      <c r="D1215">
        <f>Schedule!$F$176</f>
        <v/>
      </c>
      <c r="E1215" t="n">
        <v>2</v>
      </c>
      <c r="F1215">
        <f>Schedule!$I$1</f>
        <v/>
      </c>
      <c r="G1215">
        <f>Schedule!$I$2</f>
        <v/>
      </c>
      <c r="H1215">
        <f>Schedule!$I$176</f>
        <v/>
      </c>
      <c r="I1215">
        <f>IF($N1215=1,VALUE(LEFT($H1215,2)),"")</f>
        <v/>
      </c>
      <c r="J1215">
        <f>IF($N1215=1,VALUE(MID($H1215,9,2)),"")</f>
        <v/>
      </c>
      <c r="K1215">
        <f>IF($N1215=1,MOD($J1215-$I1215,24),0)</f>
        <v/>
      </c>
      <c r="L1215">
        <f>IF($N1215=1,$E1215*24+$I1215,"")</f>
        <v/>
      </c>
      <c r="M1215">
        <f>IF($N1215=1,$L1215+$K1215,"")</f>
        <v/>
      </c>
      <c r="N1215">
        <f>IF(ISNUMBER(SEARCH(" - ",$H1215&amp;"")),1,0)</f>
        <v/>
      </c>
      <c r="O1215">
        <f>IF(UPPER($H1215&amp;"")="LEAVE",1,0)</f>
        <v/>
      </c>
      <c r="P1215">
        <f>IF($N1215=1,$K1215,0)</f>
        <v/>
      </c>
      <c r="Q1215">
        <f>IF($N1215=0,"",IFERROR($L1215-LOOKUP(2,1/(($B$2:$B1214=$B1215)*($N$2:$N1214=1)),$M$2:$M1214),""))</f>
        <v/>
      </c>
    </row>
    <row r="1216">
      <c r="A1216" t="n">
        <v>1215</v>
      </c>
      <c r="B1216">
        <f>Schedule!$A$176</f>
        <v/>
      </c>
      <c r="C1216">
        <f>Schedule!$D$176</f>
        <v/>
      </c>
      <c r="D1216">
        <f>Schedule!$F$176</f>
        <v/>
      </c>
      <c r="E1216" t="n">
        <v>3</v>
      </c>
      <c r="F1216">
        <f>Schedule!$J$1</f>
        <v/>
      </c>
      <c r="G1216">
        <f>Schedule!$J$2</f>
        <v/>
      </c>
      <c r="H1216">
        <f>Schedule!$J$176</f>
        <v/>
      </c>
      <c r="I1216">
        <f>IF($N1216=1,VALUE(LEFT($H1216,2)),"")</f>
        <v/>
      </c>
      <c r="J1216">
        <f>IF($N1216=1,VALUE(MID($H1216,9,2)),"")</f>
        <v/>
      </c>
      <c r="K1216">
        <f>IF($N1216=1,MOD($J1216-$I1216,24),0)</f>
        <v/>
      </c>
      <c r="L1216">
        <f>IF($N1216=1,$E1216*24+$I1216,"")</f>
        <v/>
      </c>
      <c r="M1216">
        <f>IF($N1216=1,$L1216+$K1216,"")</f>
        <v/>
      </c>
      <c r="N1216">
        <f>IF(ISNUMBER(SEARCH(" - ",$H1216&amp;"")),1,0)</f>
        <v/>
      </c>
      <c r="O1216">
        <f>IF(UPPER($H1216&amp;"")="LEAVE",1,0)</f>
        <v/>
      </c>
      <c r="P1216">
        <f>IF($N1216=1,$K1216,0)</f>
        <v/>
      </c>
      <c r="Q1216">
        <f>IF($N1216=0,"",IFERROR($L1216-LOOKUP(2,1/(($B$2:$B1215=$B1216)*($N$2:$N1215=1)),$M$2:$M1215),""))</f>
        <v/>
      </c>
    </row>
    <row r="1217">
      <c r="A1217" t="n">
        <v>1216</v>
      </c>
      <c r="B1217">
        <f>Schedule!$A$176</f>
        <v/>
      </c>
      <c r="C1217">
        <f>Schedule!$D$176</f>
        <v/>
      </c>
      <c r="D1217">
        <f>Schedule!$F$176</f>
        <v/>
      </c>
      <c r="E1217" t="n">
        <v>4</v>
      </c>
      <c r="F1217">
        <f>Schedule!$K$1</f>
        <v/>
      </c>
      <c r="G1217">
        <f>Schedule!$K$2</f>
        <v/>
      </c>
      <c r="H1217">
        <f>Schedule!$K$176</f>
        <v/>
      </c>
      <c r="I1217">
        <f>IF($N1217=1,VALUE(LEFT($H1217,2)),"")</f>
        <v/>
      </c>
      <c r="J1217">
        <f>IF($N1217=1,VALUE(MID($H1217,9,2)),"")</f>
        <v/>
      </c>
      <c r="K1217">
        <f>IF($N1217=1,MOD($J1217-$I1217,24),0)</f>
        <v/>
      </c>
      <c r="L1217">
        <f>IF($N1217=1,$E1217*24+$I1217,"")</f>
        <v/>
      </c>
      <c r="M1217">
        <f>IF($N1217=1,$L1217+$K1217,"")</f>
        <v/>
      </c>
      <c r="N1217">
        <f>IF(ISNUMBER(SEARCH(" - ",$H1217&amp;"")),1,0)</f>
        <v/>
      </c>
      <c r="O1217">
        <f>IF(UPPER($H1217&amp;"")="LEAVE",1,0)</f>
        <v/>
      </c>
      <c r="P1217">
        <f>IF($N1217=1,$K1217,0)</f>
        <v/>
      </c>
      <c r="Q1217">
        <f>IF($N1217=0,"",IFERROR($L1217-LOOKUP(2,1/(($B$2:$B1216=$B1217)*($N$2:$N1216=1)),$M$2:$M1216),""))</f>
        <v/>
      </c>
    </row>
    <row r="1218">
      <c r="A1218" t="n">
        <v>1217</v>
      </c>
      <c r="B1218">
        <f>Schedule!$A$176</f>
        <v/>
      </c>
      <c r="C1218">
        <f>Schedule!$D$176</f>
        <v/>
      </c>
      <c r="D1218">
        <f>Schedule!$F$176</f>
        <v/>
      </c>
      <c r="E1218" t="n">
        <v>5</v>
      </c>
      <c r="F1218">
        <f>Schedule!$L$1</f>
        <v/>
      </c>
      <c r="G1218">
        <f>Schedule!$L$2</f>
        <v/>
      </c>
      <c r="H1218">
        <f>Schedule!$L$176</f>
        <v/>
      </c>
      <c r="I1218">
        <f>IF($N1218=1,VALUE(LEFT($H1218,2)),"")</f>
        <v/>
      </c>
      <c r="J1218">
        <f>IF($N1218=1,VALUE(MID($H1218,9,2)),"")</f>
        <v/>
      </c>
      <c r="K1218">
        <f>IF($N1218=1,MOD($J1218-$I1218,24),0)</f>
        <v/>
      </c>
      <c r="L1218">
        <f>IF($N1218=1,$E1218*24+$I1218,"")</f>
        <v/>
      </c>
      <c r="M1218">
        <f>IF($N1218=1,$L1218+$K1218,"")</f>
        <v/>
      </c>
      <c r="N1218">
        <f>IF(ISNUMBER(SEARCH(" - ",$H1218&amp;"")),1,0)</f>
        <v/>
      </c>
      <c r="O1218">
        <f>IF(UPPER($H1218&amp;"")="LEAVE",1,0)</f>
        <v/>
      </c>
      <c r="P1218">
        <f>IF($N1218=1,$K1218,0)</f>
        <v/>
      </c>
      <c r="Q1218">
        <f>IF($N1218=0,"",IFERROR($L1218-LOOKUP(2,1/(($B$2:$B1217=$B1218)*($N$2:$N1217=1)),$M$2:$M1217),""))</f>
        <v/>
      </c>
    </row>
    <row r="1219">
      <c r="A1219" t="n">
        <v>1218</v>
      </c>
      <c r="B1219">
        <f>Schedule!$A$176</f>
        <v/>
      </c>
      <c r="C1219">
        <f>Schedule!$D$176</f>
        <v/>
      </c>
      <c r="D1219">
        <f>Schedule!$F$176</f>
        <v/>
      </c>
      <c r="E1219" t="n">
        <v>6</v>
      </c>
      <c r="F1219">
        <f>Schedule!$M$1</f>
        <v/>
      </c>
      <c r="G1219">
        <f>Schedule!$M$2</f>
        <v/>
      </c>
      <c r="H1219">
        <f>Schedule!$M$176</f>
        <v/>
      </c>
      <c r="I1219">
        <f>IF($N1219=1,VALUE(LEFT($H1219,2)),"")</f>
        <v/>
      </c>
      <c r="J1219">
        <f>IF($N1219=1,VALUE(MID($H1219,9,2)),"")</f>
        <v/>
      </c>
      <c r="K1219">
        <f>IF($N1219=1,MOD($J1219-$I1219,24),0)</f>
        <v/>
      </c>
      <c r="L1219">
        <f>IF($N1219=1,$E1219*24+$I1219,"")</f>
        <v/>
      </c>
      <c r="M1219">
        <f>IF($N1219=1,$L1219+$K1219,"")</f>
        <v/>
      </c>
      <c r="N1219">
        <f>IF(ISNUMBER(SEARCH(" - ",$H1219&amp;"")),1,0)</f>
        <v/>
      </c>
      <c r="O1219">
        <f>IF(UPPER($H1219&amp;"")="LEAVE",1,0)</f>
        <v/>
      </c>
      <c r="P1219">
        <f>IF($N1219=1,$K1219,0)</f>
        <v/>
      </c>
      <c r="Q1219">
        <f>IF($N1219=0,"",IFERROR($L1219-LOOKUP(2,1/(($B$2:$B1218=$B1219)*($N$2:$N1218=1)),$M$2:$M1218),""))</f>
        <v/>
      </c>
    </row>
    <row r="1220">
      <c r="A1220" t="n">
        <v>1219</v>
      </c>
      <c r="B1220">
        <f>Schedule!$A$177</f>
        <v/>
      </c>
      <c r="C1220">
        <f>Schedule!$D$177</f>
        <v/>
      </c>
      <c r="D1220">
        <f>Schedule!$F$177</f>
        <v/>
      </c>
      <c r="E1220" t="n">
        <v>0</v>
      </c>
      <c r="F1220">
        <f>Schedule!$G$1</f>
        <v/>
      </c>
      <c r="G1220">
        <f>Schedule!$G$2</f>
        <v/>
      </c>
      <c r="H1220">
        <f>Schedule!$G$177</f>
        <v/>
      </c>
      <c r="I1220">
        <f>IF($N1220=1,VALUE(LEFT($H1220,2)),"")</f>
        <v/>
      </c>
      <c r="J1220">
        <f>IF($N1220=1,VALUE(MID($H1220,9,2)),"")</f>
        <v/>
      </c>
      <c r="K1220">
        <f>IF($N1220=1,MOD($J1220-$I1220,24),0)</f>
        <v/>
      </c>
      <c r="L1220">
        <f>IF($N1220=1,$E1220*24+$I1220,"")</f>
        <v/>
      </c>
      <c r="M1220">
        <f>IF($N1220=1,$L1220+$K1220,"")</f>
        <v/>
      </c>
      <c r="N1220">
        <f>IF(ISNUMBER(SEARCH(" - ",$H1220&amp;"")),1,0)</f>
        <v/>
      </c>
      <c r="O1220">
        <f>IF(UPPER($H1220&amp;"")="LEAVE",1,0)</f>
        <v/>
      </c>
      <c r="P1220">
        <f>IF($N1220=1,$K1220,0)</f>
        <v/>
      </c>
      <c r="Q1220">
        <f>IF($N1220=0,"",IFERROR($L1220-'Previous Engine'!$M$176,""))</f>
        <v/>
      </c>
    </row>
    <row r="1221">
      <c r="A1221" t="n">
        <v>1220</v>
      </c>
      <c r="B1221">
        <f>Schedule!$A$177</f>
        <v/>
      </c>
      <c r="C1221">
        <f>Schedule!$D$177</f>
        <v/>
      </c>
      <c r="D1221">
        <f>Schedule!$F$177</f>
        <v/>
      </c>
      <c r="E1221" t="n">
        <v>1</v>
      </c>
      <c r="F1221">
        <f>Schedule!$H$1</f>
        <v/>
      </c>
      <c r="G1221">
        <f>Schedule!$H$2</f>
        <v/>
      </c>
      <c r="H1221">
        <f>Schedule!$H$177</f>
        <v/>
      </c>
      <c r="I1221">
        <f>IF($N1221=1,VALUE(LEFT($H1221,2)),"")</f>
        <v/>
      </c>
      <c r="J1221">
        <f>IF($N1221=1,VALUE(MID($H1221,9,2)),"")</f>
        <v/>
      </c>
      <c r="K1221">
        <f>IF($N1221=1,MOD($J1221-$I1221,24),0)</f>
        <v/>
      </c>
      <c r="L1221">
        <f>IF($N1221=1,$E1221*24+$I1221,"")</f>
        <v/>
      </c>
      <c r="M1221">
        <f>IF($N1221=1,$L1221+$K1221,"")</f>
        <v/>
      </c>
      <c r="N1221">
        <f>IF(ISNUMBER(SEARCH(" - ",$H1221&amp;"")),1,0)</f>
        <v/>
      </c>
      <c r="O1221">
        <f>IF(UPPER($H1221&amp;"")="LEAVE",1,0)</f>
        <v/>
      </c>
      <c r="P1221">
        <f>IF($N1221=1,$K1221,0)</f>
        <v/>
      </c>
      <c r="Q1221">
        <f>IF($N1221=0,"",IFERROR($L1221-LOOKUP(2,1/(($B$2:$B1220=$B1221)*($N$2:$N1220=1)),$M$2:$M1220),""))</f>
        <v/>
      </c>
    </row>
    <row r="1222">
      <c r="A1222" t="n">
        <v>1221</v>
      </c>
      <c r="B1222">
        <f>Schedule!$A$177</f>
        <v/>
      </c>
      <c r="C1222">
        <f>Schedule!$D$177</f>
        <v/>
      </c>
      <c r="D1222">
        <f>Schedule!$F$177</f>
        <v/>
      </c>
      <c r="E1222" t="n">
        <v>2</v>
      </c>
      <c r="F1222">
        <f>Schedule!$I$1</f>
        <v/>
      </c>
      <c r="G1222">
        <f>Schedule!$I$2</f>
        <v/>
      </c>
      <c r="H1222">
        <f>Schedule!$I$177</f>
        <v/>
      </c>
      <c r="I1222">
        <f>IF($N1222=1,VALUE(LEFT($H1222,2)),"")</f>
        <v/>
      </c>
      <c r="J1222">
        <f>IF($N1222=1,VALUE(MID($H1222,9,2)),"")</f>
        <v/>
      </c>
      <c r="K1222">
        <f>IF($N1222=1,MOD($J1222-$I1222,24),0)</f>
        <v/>
      </c>
      <c r="L1222">
        <f>IF($N1222=1,$E1222*24+$I1222,"")</f>
        <v/>
      </c>
      <c r="M1222">
        <f>IF($N1222=1,$L1222+$K1222,"")</f>
        <v/>
      </c>
      <c r="N1222">
        <f>IF(ISNUMBER(SEARCH(" - ",$H1222&amp;"")),1,0)</f>
        <v/>
      </c>
      <c r="O1222">
        <f>IF(UPPER($H1222&amp;"")="LEAVE",1,0)</f>
        <v/>
      </c>
      <c r="P1222">
        <f>IF($N1222=1,$K1222,0)</f>
        <v/>
      </c>
      <c r="Q1222">
        <f>IF($N1222=0,"",IFERROR($L1222-LOOKUP(2,1/(($B$2:$B1221=$B1222)*($N$2:$N1221=1)),$M$2:$M1221),""))</f>
        <v/>
      </c>
    </row>
    <row r="1223">
      <c r="A1223" t="n">
        <v>1222</v>
      </c>
      <c r="B1223">
        <f>Schedule!$A$177</f>
        <v/>
      </c>
      <c r="C1223">
        <f>Schedule!$D$177</f>
        <v/>
      </c>
      <c r="D1223">
        <f>Schedule!$F$177</f>
        <v/>
      </c>
      <c r="E1223" t="n">
        <v>3</v>
      </c>
      <c r="F1223">
        <f>Schedule!$J$1</f>
        <v/>
      </c>
      <c r="G1223">
        <f>Schedule!$J$2</f>
        <v/>
      </c>
      <c r="H1223">
        <f>Schedule!$J$177</f>
        <v/>
      </c>
      <c r="I1223">
        <f>IF($N1223=1,VALUE(LEFT($H1223,2)),"")</f>
        <v/>
      </c>
      <c r="J1223">
        <f>IF($N1223=1,VALUE(MID($H1223,9,2)),"")</f>
        <v/>
      </c>
      <c r="K1223">
        <f>IF($N1223=1,MOD($J1223-$I1223,24),0)</f>
        <v/>
      </c>
      <c r="L1223">
        <f>IF($N1223=1,$E1223*24+$I1223,"")</f>
        <v/>
      </c>
      <c r="M1223">
        <f>IF($N1223=1,$L1223+$K1223,"")</f>
        <v/>
      </c>
      <c r="N1223">
        <f>IF(ISNUMBER(SEARCH(" - ",$H1223&amp;"")),1,0)</f>
        <v/>
      </c>
      <c r="O1223">
        <f>IF(UPPER($H1223&amp;"")="LEAVE",1,0)</f>
        <v/>
      </c>
      <c r="P1223">
        <f>IF($N1223=1,$K1223,0)</f>
        <v/>
      </c>
      <c r="Q1223">
        <f>IF($N1223=0,"",IFERROR($L1223-LOOKUP(2,1/(($B$2:$B1222=$B1223)*($N$2:$N1222=1)),$M$2:$M1222),""))</f>
        <v/>
      </c>
    </row>
    <row r="1224">
      <c r="A1224" t="n">
        <v>1223</v>
      </c>
      <c r="B1224">
        <f>Schedule!$A$177</f>
        <v/>
      </c>
      <c r="C1224">
        <f>Schedule!$D$177</f>
        <v/>
      </c>
      <c r="D1224">
        <f>Schedule!$F$177</f>
        <v/>
      </c>
      <c r="E1224" t="n">
        <v>4</v>
      </c>
      <c r="F1224">
        <f>Schedule!$K$1</f>
        <v/>
      </c>
      <c r="G1224">
        <f>Schedule!$K$2</f>
        <v/>
      </c>
      <c r="H1224">
        <f>Schedule!$K$177</f>
        <v/>
      </c>
      <c r="I1224">
        <f>IF($N1224=1,VALUE(LEFT($H1224,2)),"")</f>
        <v/>
      </c>
      <c r="J1224">
        <f>IF($N1224=1,VALUE(MID($H1224,9,2)),"")</f>
        <v/>
      </c>
      <c r="K1224">
        <f>IF($N1224=1,MOD($J1224-$I1224,24),0)</f>
        <v/>
      </c>
      <c r="L1224">
        <f>IF($N1224=1,$E1224*24+$I1224,"")</f>
        <v/>
      </c>
      <c r="M1224">
        <f>IF($N1224=1,$L1224+$K1224,"")</f>
        <v/>
      </c>
      <c r="N1224">
        <f>IF(ISNUMBER(SEARCH(" - ",$H1224&amp;"")),1,0)</f>
        <v/>
      </c>
      <c r="O1224">
        <f>IF(UPPER($H1224&amp;"")="LEAVE",1,0)</f>
        <v/>
      </c>
      <c r="P1224">
        <f>IF($N1224=1,$K1224,0)</f>
        <v/>
      </c>
      <c r="Q1224">
        <f>IF($N1224=0,"",IFERROR($L1224-LOOKUP(2,1/(($B$2:$B1223=$B1224)*($N$2:$N1223=1)),$M$2:$M1223),""))</f>
        <v/>
      </c>
    </row>
    <row r="1225">
      <c r="A1225" t="n">
        <v>1224</v>
      </c>
      <c r="B1225">
        <f>Schedule!$A$177</f>
        <v/>
      </c>
      <c r="C1225">
        <f>Schedule!$D$177</f>
        <v/>
      </c>
      <c r="D1225">
        <f>Schedule!$F$177</f>
        <v/>
      </c>
      <c r="E1225" t="n">
        <v>5</v>
      </c>
      <c r="F1225">
        <f>Schedule!$L$1</f>
        <v/>
      </c>
      <c r="G1225">
        <f>Schedule!$L$2</f>
        <v/>
      </c>
      <c r="H1225">
        <f>Schedule!$L$177</f>
        <v/>
      </c>
      <c r="I1225">
        <f>IF($N1225=1,VALUE(LEFT($H1225,2)),"")</f>
        <v/>
      </c>
      <c r="J1225">
        <f>IF($N1225=1,VALUE(MID($H1225,9,2)),"")</f>
        <v/>
      </c>
      <c r="K1225">
        <f>IF($N1225=1,MOD($J1225-$I1225,24),0)</f>
        <v/>
      </c>
      <c r="L1225">
        <f>IF($N1225=1,$E1225*24+$I1225,"")</f>
        <v/>
      </c>
      <c r="M1225">
        <f>IF($N1225=1,$L1225+$K1225,"")</f>
        <v/>
      </c>
      <c r="N1225">
        <f>IF(ISNUMBER(SEARCH(" - ",$H1225&amp;"")),1,0)</f>
        <v/>
      </c>
      <c r="O1225">
        <f>IF(UPPER($H1225&amp;"")="LEAVE",1,0)</f>
        <v/>
      </c>
      <c r="P1225">
        <f>IF($N1225=1,$K1225,0)</f>
        <v/>
      </c>
      <c r="Q1225">
        <f>IF($N1225=0,"",IFERROR($L1225-LOOKUP(2,1/(($B$2:$B1224=$B1225)*($N$2:$N1224=1)),$M$2:$M1224),""))</f>
        <v/>
      </c>
    </row>
    <row r="1226">
      <c r="A1226" t="n">
        <v>1225</v>
      </c>
      <c r="B1226">
        <f>Schedule!$A$177</f>
        <v/>
      </c>
      <c r="C1226">
        <f>Schedule!$D$177</f>
        <v/>
      </c>
      <c r="D1226">
        <f>Schedule!$F$177</f>
        <v/>
      </c>
      <c r="E1226" t="n">
        <v>6</v>
      </c>
      <c r="F1226">
        <f>Schedule!$M$1</f>
        <v/>
      </c>
      <c r="G1226">
        <f>Schedule!$M$2</f>
        <v/>
      </c>
      <c r="H1226">
        <f>Schedule!$M$177</f>
        <v/>
      </c>
      <c r="I1226">
        <f>IF($N1226=1,VALUE(LEFT($H1226,2)),"")</f>
        <v/>
      </c>
      <c r="J1226">
        <f>IF($N1226=1,VALUE(MID($H1226,9,2)),"")</f>
        <v/>
      </c>
      <c r="K1226">
        <f>IF($N1226=1,MOD($J1226-$I1226,24),0)</f>
        <v/>
      </c>
      <c r="L1226">
        <f>IF($N1226=1,$E1226*24+$I1226,"")</f>
        <v/>
      </c>
      <c r="M1226">
        <f>IF($N1226=1,$L1226+$K1226,"")</f>
        <v/>
      </c>
      <c r="N1226">
        <f>IF(ISNUMBER(SEARCH(" - ",$H1226&amp;"")),1,0)</f>
        <v/>
      </c>
      <c r="O1226">
        <f>IF(UPPER($H1226&amp;"")="LEAVE",1,0)</f>
        <v/>
      </c>
      <c r="P1226">
        <f>IF($N1226=1,$K1226,0)</f>
        <v/>
      </c>
      <c r="Q1226">
        <f>IF($N1226=0,"",IFERROR($L1226-LOOKUP(2,1/(($B$2:$B1225=$B1226)*($N$2:$N1225=1)),$M$2:$M1225),""))</f>
        <v/>
      </c>
    </row>
    <row r="1227">
      <c r="A1227" t="n">
        <v>1226</v>
      </c>
      <c r="B1227">
        <f>Schedule!$A$178</f>
        <v/>
      </c>
      <c r="C1227">
        <f>Schedule!$D$178</f>
        <v/>
      </c>
      <c r="D1227">
        <f>Schedule!$F$178</f>
        <v/>
      </c>
      <c r="E1227" t="n">
        <v>0</v>
      </c>
      <c r="F1227">
        <f>Schedule!$G$1</f>
        <v/>
      </c>
      <c r="G1227">
        <f>Schedule!$G$2</f>
        <v/>
      </c>
      <c r="H1227">
        <f>Schedule!$G$178</f>
        <v/>
      </c>
      <c r="I1227">
        <f>IF($N1227=1,VALUE(LEFT($H1227,2)),"")</f>
        <v/>
      </c>
      <c r="J1227">
        <f>IF($N1227=1,VALUE(MID($H1227,9,2)),"")</f>
        <v/>
      </c>
      <c r="K1227">
        <f>IF($N1227=1,MOD($J1227-$I1227,24),0)</f>
        <v/>
      </c>
      <c r="L1227">
        <f>IF($N1227=1,$E1227*24+$I1227,"")</f>
        <v/>
      </c>
      <c r="M1227">
        <f>IF($N1227=1,$L1227+$K1227,"")</f>
        <v/>
      </c>
      <c r="N1227">
        <f>IF(ISNUMBER(SEARCH(" - ",$H1227&amp;"")),1,0)</f>
        <v/>
      </c>
      <c r="O1227">
        <f>IF(UPPER($H1227&amp;"")="LEAVE",1,0)</f>
        <v/>
      </c>
      <c r="P1227">
        <f>IF($N1227=1,$K1227,0)</f>
        <v/>
      </c>
      <c r="Q1227">
        <f>IF($N1227=0,"",IFERROR($L1227-'Previous Engine'!$M$177,""))</f>
        <v/>
      </c>
    </row>
    <row r="1228">
      <c r="A1228" t="n">
        <v>1227</v>
      </c>
      <c r="B1228">
        <f>Schedule!$A$178</f>
        <v/>
      </c>
      <c r="C1228">
        <f>Schedule!$D$178</f>
        <v/>
      </c>
      <c r="D1228">
        <f>Schedule!$F$178</f>
        <v/>
      </c>
      <c r="E1228" t="n">
        <v>1</v>
      </c>
      <c r="F1228">
        <f>Schedule!$H$1</f>
        <v/>
      </c>
      <c r="G1228">
        <f>Schedule!$H$2</f>
        <v/>
      </c>
      <c r="H1228">
        <f>Schedule!$H$178</f>
        <v/>
      </c>
      <c r="I1228">
        <f>IF($N1228=1,VALUE(LEFT($H1228,2)),"")</f>
        <v/>
      </c>
      <c r="J1228">
        <f>IF($N1228=1,VALUE(MID($H1228,9,2)),"")</f>
        <v/>
      </c>
      <c r="K1228">
        <f>IF($N1228=1,MOD($J1228-$I1228,24),0)</f>
        <v/>
      </c>
      <c r="L1228">
        <f>IF($N1228=1,$E1228*24+$I1228,"")</f>
        <v/>
      </c>
      <c r="M1228">
        <f>IF($N1228=1,$L1228+$K1228,"")</f>
        <v/>
      </c>
      <c r="N1228">
        <f>IF(ISNUMBER(SEARCH(" - ",$H1228&amp;"")),1,0)</f>
        <v/>
      </c>
      <c r="O1228">
        <f>IF(UPPER($H1228&amp;"")="LEAVE",1,0)</f>
        <v/>
      </c>
      <c r="P1228">
        <f>IF($N1228=1,$K1228,0)</f>
        <v/>
      </c>
      <c r="Q1228">
        <f>IF($N1228=0,"",IFERROR($L1228-LOOKUP(2,1/(($B$2:$B1227=$B1228)*($N$2:$N1227=1)),$M$2:$M1227),""))</f>
        <v/>
      </c>
    </row>
    <row r="1229">
      <c r="A1229" t="n">
        <v>1228</v>
      </c>
      <c r="B1229">
        <f>Schedule!$A$178</f>
        <v/>
      </c>
      <c r="C1229">
        <f>Schedule!$D$178</f>
        <v/>
      </c>
      <c r="D1229">
        <f>Schedule!$F$178</f>
        <v/>
      </c>
      <c r="E1229" t="n">
        <v>2</v>
      </c>
      <c r="F1229">
        <f>Schedule!$I$1</f>
        <v/>
      </c>
      <c r="G1229">
        <f>Schedule!$I$2</f>
        <v/>
      </c>
      <c r="H1229">
        <f>Schedule!$I$178</f>
        <v/>
      </c>
      <c r="I1229">
        <f>IF($N1229=1,VALUE(LEFT($H1229,2)),"")</f>
        <v/>
      </c>
      <c r="J1229">
        <f>IF($N1229=1,VALUE(MID($H1229,9,2)),"")</f>
        <v/>
      </c>
      <c r="K1229">
        <f>IF($N1229=1,MOD($J1229-$I1229,24),0)</f>
        <v/>
      </c>
      <c r="L1229">
        <f>IF($N1229=1,$E1229*24+$I1229,"")</f>
        <v/>
      </c>
      <c r="M1229">
        <f>IF($N1229=1,$L1229+$K1229,"")</f>
        <v/>
      </c>
      <c r="N1229">
        <f>IF(ISNUMBER(SEARCH(" - ",$H1229&amp;"")),1,0)</f>
        <v/>
      </c>
      <c r="O1229">
        <f>IF(UPPER($H1229&amp;"")="LEAVE",1,0)</f>
        <v/>
      </c>
      <c r="P1229">
        <f>IF($N1229=1,$K1229,0)</f>
        <v/>
      </c>
      <c r="Q1229">
        <f>IF($N1229=0,"",IFERROR($L1229-LOOKUP(2,1/(($B$2:$B1228=$B1229)*($N$2:$N1228=1)),$M$2:$M1228),""))</f>
        <v/>
      </c>
    </row>
    <row r="1230">
      <c r="A1230" t="n">
        <v>1229</v>
      </c>
      <c r="B1230">
        <f>Schedule!$A$178</f>
        <v/>
      </c>
      <c r="C1230">
        <f>Schedule!$D$178</f>
        <v/>
      </c>
      <c r="D1230">
        <f>Schedule!$F$178</f>
        <v/>
      </c>
      <c r="E1230" t="n">
        <v>3</v>
      </c>
      <c r="F1230">
        <f>Schedule!$J$1</f>
        <v/>
      </c>
      <c r="G1230">
        <f>Schedule!$J$2</f>
        <v/>
      </c>
      <c r="H1230">
        <f>Schedule!$J$178</f>
        <v/>
      </c>
      <c r="I1230">
        <f>IF($N1230=1,VALUE(LEFT($H1230,2)),"")</f>
        <v/>
      </c>
      <c r="J1230">
        <f>IF($N1230=1,VALUE(MID($H1230,9,2)),"")</f>
        <v/>
      </c>
      <c r="K1230">
        <f>IF($N1230=1,MOD($J1230-$I1230,24),0)</f>
        <v/>
      </c>
      <c r="L1230">
        <f>IF($N1230=1,$E1230*24+$I1230,"")</f>
        <v/>
      </c>
      <c r="M1230">
        <f>IF($N1230=1,$L1230+$K1230,"")</f>
        <v/>
      </c>
      <c r="N1230">
        <f>IF(ISNUMBER(SEARCH(" - ",$H1230&amp;"")),1,0)</f>
        <v/>
      </c>
      <c r="O1230">
        <f>IF(UPPER($H1230&amp;"")="LEAVE",1,0)</f>
        <v/>
      </c>
      <c r="P1230">
        <f>IF($N1230=1,$K1230,0)</f>
        <v/>
      </c>
      <c r="Q1230">
        <f>IF($N1230=0,"",IFERROR($L1230-LOOKUP(2,1/(($B$2:$B1229=$B1230)*($N$2:$N1229=1)),$M$2:$M1229),""))</f>
        <v/>
      </c>
    </row>
    <row r="1231">
      <c r="A1231" t="n">
        <v>1230</v>
      </c>
      <c r="B1231">
        <f>Schedule!$A$178</f>
        <v/>
      </c>
      <c r="C1231">
        <f>Schedule!$D$178</f>
        <v/>
      </c>
      <c r="D1231">
        <f>Schedule!$F$178</f>
        <v/>
      </c>
      <c r="E1231" t="n">
        <v>4</v>
      </c>
      <c r="F1231">
        <f>Schedule!$K$1</f>
        <v/>
      </c>
      <c r="G1231">
        <f>Schedule!$K$2</f>
        <v/>
      </c>
      <c r="H1231">
        <f>Schedule!$K$178</f>
        <v/>
      </c>
      <c r="I1231">
        <f>IF($N1231=1,VALUE(LEFT($H1231,2)),"")</f>
        <v/>
      </c>
      <c r="J1231">
        <f>IF($N1231=1,VALUE(MID($H1231,9,2)),"")</f>
        <v/>
      </c>
      <c r="K1231">
        <f>IF($N1231=1,MOD($J1231-$I1231,24),0)</f>
        <v/>
      </c>
      <c r="L1231">
        <f>IF($N1231=1,$E1231*24+$I1231,"")</f>
        <v/>
      </c>
      <c r="M1231">
        <f>IF($N1231=1,$L1231+$K1231,"")</f>
        <v/>
      </c>
      <c r="N1231">
        <f>IF(ISNUMBER(SEARCH(" - ",$H1231&amp;"")),1,0)</f>
        <v/>
      </c>
      <c r="O1231">
        <f>IF(UPPER($H1231&amp;"")="LEAVE",1,0)</f>
        <v/>
      </c>
      <c r="P1231">
        <f>IF($N1231=1,$K1231,0)</f>
        <v/>
      </c>
      <c r="Q1231">
        <f>IF($N1231=0,"",IFERROR($L1231-LOOKUP(2,1/(($B$2:$B1230=$B1231)*($N$2:$N1230=1)),$M$2:$M1230),""))</f>
        <v/>
      </c>
    </row>
    <row r="1232">
      <c r="A1232" t="n">
        <v>1231</v>
      </c>
      <c r="B1232">
        <f>Schedule!$A$178</f>
        <v/>
      </c>
      <c r="C1232">
        <f>Schedule!$D$178</f>
        <v/>
      </c>
      <c r="D1232">
        <f>Schedule!$F$178</f>
        <v/>
      </c>
      <c r="E1232" t="n">
        <v>5</v>
      </c>
      <c r="F1232">
        <f>Schedule!$L$1</f>
        <v/>
      </c>
      <c r="G1232">
        <f>Schedule!$L$2</f>
        <v/>
      </c>
      <c r="H1232">
        <f>Schedule!$L$178</f>
        <v/>
      </c>
      <c r="I1232">
        <f>IF($N1232=1,VALUE(LEFT($H1232,2)),"")</f>
        <v/>
      </c>
      <c r="J1232">
        <f>IF($N1232=1,VALUE(MID($H1232,9,2)),"")</f>
        <v/>
      </c>
      <c r="K1232">
        <f>IF($N1232=1,MOD($J1232-$I1232,24),0)</f>
        <v/>
      </c>
      <c r="L1232">
        <f>IF($N1232=1,$E1232*24+$I1232,"")</f>
        <v/>
      </c>
      <c r="M1232">
        <f>IF($N1232=1,$L1232+$K1232,"")</f>
        <v/>
      </c>
      <c r="N1232">
        <f>IF(ISNUMBER(SEARCH(" - ",$H1232&amp;"")),1,0)</f>
        <v/>
      </c>
      <c r="O1232">
        <f>IF(UPPER($H1232&amp;"")="LEAVE",1,0)</f>
        <v/>
      </c>
      <c r="P1232">
        <f>IF($N1232=1,$K1232,0)</f>
        <v/>
      </c>
      <c r="Q1232">
        <f>IF($N1232=0,"",IFERROR($L1232-LOOKUP(2,1/(($B$2:$B1231=$B1232)*($N$2:$N1231=1)),$M$2:$M1231),""))</f>
        <v/>
      </c>
    </row>
    <row r="1233">
      <c r="A1233" t="n">
        <v>1232</v>
      </c>
      <c r="B1233">
        <f>Schedule!$A$178</f>
        <v/>
      </c>
      <c r="C1233">
        <f>Schedule!$D$178</f>
        <v/>
      </c>
      <c r="D1233">
        <f>Schedule!$F$178</f>
        <v/>
      </c>
      <c r="E1233" t="n">
        <v>6</v>
      </c>
      <c r="F1233">
        <f>Schedule!$M$1</f>
        <v/>
      </c>
      <c r="G1233">
        <f>Schedule!$M$2</f>
        <v/>
      </c>
      <c r="H1233">
        <f>Schedule!$M$178</f>
        <v/>
      </c>
      <c r="I1233">
        <f>IF($N1233=1,VALUE(LEFT($H1233,2)),"")</f>
        <v/>
      </c>
      <c r="J1233">
        <f>IF($N1233=1,VALUE(MID($H1233,9,2)),"")</f>
        <v/>
      </c>
      <c r="K1233">
        <f>IF($N1233=1,MOD($J1233-$I1233,24),0)</f>
        <v/>
      </c>
      <c r="L1233">
        <f>IF($N1233=1,$E1233*24+$I1233,"")</f>
        <v/>
      </c>
      <c r="M1233">
        <f>IF($N1233=1,$L1233+$K1233,"")</f>
        <v/>
      </c>
      <c r="N1233">
        <f>IF(ISNUMBER(SEARCH(" - ",$H1233&amp;"")),1,0)</f>
        <v/>
      </c>
      <c r="O1233">
        <f>IF(UPPER($H1233&amp;"")="LEAVE",1,0)</f>
        <v/>
      </c>
      <c r="P1233">
        <f>IF($N1233=1,$K1233,0)</f>
        <v/>
      </c>
      <c r="Q1233">
        <f>IF($N1233=0,"",IFERROR($L1233-LOOKUP(2,1/(($B$2:$B1232=$B1233)*($N$2:$N1232=1)),$M$2:$M1232),""))</f>
        <v/>
      </c>
    </row>
    <row r="1234">
      <c r="A1234" t="n">
        <v>1233</v>
      </c>
      <c r="B1234">
        <f>Schedule!$A$179</f>
        <v/>
      </c>
      <c r="C1234">
        <f>Schedule!$D$179</f>
        <v/>
      </c>
      <c r="D1234">
        <f>Schedule!$F$179</f>
        <v/>
      </c>
      <c r="E1234" t="n">
        <v>0</v>
      </c>
      <c r="F1234">
        <f>Schedule!$G$1</f>
        <v/>
      </c>
      <c r="G1234">
        <f>Schedule!$G$2</f>
        <v/>
      </c>
      <c r="H1234">
        <f>Schedule!$G$179</f>
        <v/>
      </c>
      <c r="I1234">
        <f>IF($N1234=1,VALUE(LEFT($H1234,2)),"")</f>
        <v/>
      </c>
      <c r="J1234">
        <f>IF($N1234=1,VALUE(MID($H1234,9,2)),"")</f>
        <v/>
      </c>
      <c r="K1234">
        <f>IF($N1234=1,MOD($J1234-$I1234,24),0)</f>
        <v/>
      </c>
      <c r="L1234">
        <f>IF($N1234=1,$E1234*24+$I1234,"")</f>
        <v/>
      </c>
      <c r="M1234">
        <f>IF($N1234=1,$L1234+$K1234,"")</f>
        <v/>
      </c>
      <c r="N1234">
        <f>IF(ISNUMBER(SEARCH(" - ",$H1234&amp;"")),1,0)</f>
        <v/>
      </c>
      <c r="O1234">
        <f>IF(UPPER($H1234&amp;"")="LEAVE",1,0)</f>
        <v/>
      </c>
      <c r="P1234">
        <f>IF($N1234=1,$K1234,0)</f>
        <v/>
      </c>
      <c r="Q1234">
        <f>IF($N1234=0,"",IFERROR($L1234-'Previous Engine'!$M$178,""))</f>
        <v/>
      </c>
    </row>
    <row r="1235">
      <c r="A1235" t="n">
        <v>1234</v>
      </c>
      <c r="B1235">
        <f>Schedule!$A$179</f>
        <v/>
      </c>
      <c r="C1235">
        <f>Schedule!$D$179</f>
        <v/>
      </c>
      <c r="D1235">
        <f>Schedule!$F$179</f>
        <v/>
      </c>
      <c r="E1235" t="n">
        <v>1</v>
      </c>
      <c r="F1235">
        <f>Schedule!$H$1</f>
        <v/>
      </c>
      <c r="G1235">
        <f>Schedule!$H$2</f>
        <v/>
      </c>
      <c r="H1235">
        <f>Schedule!$H$179</f>
        <v/>
      </c>
      <c r="I1235">
        <f>IF($N1235=1,VALUE(LEFT($H1235,2)),"")</f>
        <v/>
      </c>
      <c r="J1235">
        <f>IF($N1235=1,VALUE(MID($H1235,9,2)),"")</f>
        <v/>
      </c>
      <c r="K1235">
        <f>IF($N1235=1,MOD($J1235-$I1235,24),0)</f>
        <v/>
      </c>
      <c r="L1235">
        <f>IF($N1235=1,$E1235*24+$I1235,"")</f>
        <v/>
      </c>
      <c r="M1235">
        <f>IF($N1235=1,$L1235+$K1235,"")</f>
        <v/>
      </c>
      <c r="N1235">
        <f>IF(ISNUMBER(SEARCH(" - ",$H1235&amp;"")),1,0)</f>
        <v/>
      </c>
      <c r="O1235">
        <f>IF(UPPER($H1235&amp;"")="LEAVE",1,0)</f>
        <v/>
      </c>
      <c r="P1235">
        <f>IF($N1235=1,$K1235,0)</f>
        <v/>
      </c>
      <c r="Q1235">
        <f>IF($N1235=0,"",IFERROR($L1235-LOOKUP(2,1/(($B$2:$B1234=$B1235)*($N$2:$N1234=1)),$M$2:$M1234),""))</f>
        <v/>
      </c>
    </row>
    <row r="1236">
      <c r="A1236" t="n">
        <v>1235</v>
      </c>
      <c r="B1236">
        <f>Schedule!$A$179</f>
        <v/>
      </c>
      <c r="C1236">
        <f>Schedule!$D$179</f>
        <v/>
      </c>
      <c r="D1236">
        <f>Schedule!$F$179</f>
        <v/>
      </c>
      <c r="E1236" t="n">
        <v>2</v>
      </c>
      <c r="F1236">
        <f>Schedule!$I$1</f>
        <v/>
      </c>
      <c r="G1236">
        <f>Schedule!$I$2</f>
        <v/>
      </c>
      <c r="H1236">
        <f>Schedule!$I$179</f>
        <v/>
      </c>
      <c r="I1236">
        <f>IF($N1236=1,VALUE(LEFT($H1236,2)),"")</f>
        <v/>
      </c>
      <c r="J1236">
        <f>IF($N1236=1,VALUE(MID($H1236,9,2)),"")</f>
        <v/>
      </c>
      <c r="K1236">
        <f>IF($N1236=1,MOD($J1236-$I1236,24),0)</f>
        <v/>
      </c>
      <c r="L1236">
        <f>IF($N1236=1,$E1236*24+$I1236,"")</f>
        <v/>
      </c>
      <c r="M1236">
        <f>IF($N1236=1,$L1236+$K1236,"")</f>
        <v/>
      </c>
      <c r="N1236">
        <f>IF(ISNUMBER(SEARCH(" - ",$H1236&amp;"")),1,0)</f>
        <v/>
      </c>
      <c r="O1236">
        <f>IF(UPPER($H1236&amp;"")="LEAVE",1,0)</f>
        <v/>
      </c>
      <c r="P1236">
        <f>IF($N1236=1,$K1236,0)</f>
        <v/>
      </c>
      <c r="Q1236">
        <f>IF($N1236=0,"",IFERROR($L1236-LOOKUP(2,1/(($B$2:$B1235=$B1236)*($N$2:$N1235=1)),$M$2:$M1235),""))</f>
        <v/>
      </c>
    </row>
    <row r="1237">
      <c r="A1237" t="n">
        <v>1236</v>
      </c>
      <c r="B1237">
        <f>Schedule!$A$179</f>
        <v/>
      </c>
      <c r="C1237">
        <f>Schedule!$D$179</f>
        <v/>
      </c>
      <c r="D1237">
        <f>Schedule!$F$179</f>
        <v/>
      </c>
      <c r="E1237" t="n">
        <v>3</v>
      </c>
      <c r="F1237">
        <f>Schedule!$J$1</f>
        <v/>
      </c>
      <c r="G1237">
        <f>Schedule!$J$2</f>
        <v/>
      </c>
      <c r="H1237">
        <f>Schedule!$J$179</f>
        <v/>
      </c>
      <c r="I1237">
        <f>IF($N1237=1,VALUE(LEFT($H1237,2)),"")</f>
        <v/>
      </c>
      <c r="J1237">
        <f>IF($N1237=1,VALUE(MID($H1237,9,2)),"")</f>
        <v/>
      </c>
      <c r="K1237">
        <f>IF($N1237=1,MOD($J1237-$I1237,24),0)</f>
        <v/>
      </c>
      <c r="L1237">
        <f>IF($N1237=1,$E1237*24+$I1237,"")</f>
        <v/>
      </c>
      <c r="M1237">
        <f>IF($N1237=1,$L1237+$K1237,"")</f>
        <v/>
      </c>
      <c r="N1237">
        <f>IF(ISNUMBER(SEARCH(" - ",$H1237&amp;"")),1,0)</f>
        <v/>
      </c>
      <c r="O1237">
        <f>IF(UPPER($H1237&amp;"")="LEAVE",1,0)</f>
        <v/>
      </c>
      <c r="P1237">
        <f>IF($N1237=1,$K1237,0)</f>
        <v/>
      </c>
      <c r="Q1237">
        <f>IF($N1237=0,"",IFERROR($L1237-LOOKUP(2,1/(($B$2:$B1236=$B1237)*($N$2:$N1236=1)),$M$2:$M1236),""))</f>
        <v/>
      </c>
    </row>
    <row r="1238">
      <c r="A1238" t="n">
        <v>1237</v>
      </c>
      <c r="B1238">
        <f>Schedule!$A$179</f>
        <v/>
      </c>
      <c r="C1238">
        <f>Schedule!$D$179</f>
        <v/>
      </c>
      <c r="D1238">
        <f>Schedule!$F$179</f>
        <v/>
      </c>
      <c r="E1238" t="n">
        <v>4</v>
      </c>
      <c r="F1238">
        <f>Schedule!$K$1</f>
        <v/>
      </c>
      <c r="G1238">
        <f>Schedule!$K$2</f>
        <v/>
      </c>
      <c r="H1238">
        <f>Schedule!$K$179</f>
        <v/>
      </c>
      <c r="I1238">
        <f>IF($N1238=1,VALUE(LEFT($H1238,2)),"")</f>
        <v/>
      </c>
      <c r="J1238">
        <f>IF($N1238=1,VALUE(MID($H1238,9,2)),"")</f>
        <v/>
      </c>
      <c r="K1238">
        <f>IF($N1238=1,MOD($J1238-$I1238,24),0)</f>
        <v/>
      </c>
      <c r="L1238">
        <f>IF($N1238=1,$E1238*24+$I1238,"")</f>
        <v/>
      </c>
      <c r="M1238">
        <f>IF($N1238=1,$L1238+$K1238,"")</f>
        <v/>
      </c>
      <c r="N1238">
        <f>IF(ISNUMBER(SEARCH(" - ",$H1238&amp;"")),1,0)</f>
        <v/>
      </c>
      <c r="O1238">
        <f>IF(UPPER($H1238&amp;"")="LEAVE",1,0)</f>
        <v/>
      </c>
      <c r="P1238">
        <f>IF($N1238=1,$K1238,0)</f>
        <v/>
      </c>
      <c r="Q1238">
        <f>IF($N1238=0,"",IFERROR($L1238-LOOKUP(2,1/(($B$2:$B1237=$B1238)*($N$2:$N1237=1)),$M$2:$M1237),""))</f>
        <v/>
      </c>
    </row>
    <row r="1239">
      <c r="A1239" t="n">
        <v>1238</v>
      </c>
      <c r="B1239">
        <f>Schedule!$A$179</f>
        <v/>
      </c>
      <c r="C1239">
        <f>Schedule!$D$179</f>
        <v/>
      </c>
      <c r="D1239">
        <f>Schedule!$F$179</f>
        <v/>
      </c>
      <c r="E1239" t="n">
        <v>5</v>
      </c>
      <c r="F1239">
        <f>Schedule!$L$1</f>
        <v/>
      </c>
      <c r="G1239">
        <f>Schedule!$L$2</f>
        <v/>
      </c>
      <c r="H1239">
        <f>Schedule!$L$179</f>
        <v/>
      </c>
      <c r="I1239">
        <f>IF($N1239=1,VALUE(LEFT($H1239,2)),"")</f>
        <v/>
      </c>
      <c r="J1239">
        <f>IF($N1239=1,VALUE(MID($H1239,9,2)),"")</f>
        <v/>
      </c>
      <c r="K1239">
        <f>IF($N1239=1,MOD($J1239-$I1239,24),0)</f>
        <v/>
      </c>
      <c r="L1239">
        <f>IF($N1239=1,$E1239*24+$I1239,"")</f>
        <v/>
      </c>
      <c r="M1239">
        <f>IF($N1239=1,$L1239+$K1239,"")</f>
        <v/>
      </c>
      <c r="N1239">
        <f>IF(ISNUMBER(SEARCH(" - ",$H1239&amp;"")),1,0)</f>
        <v/>
      </c>
      <c r="O1239">
        <f>IF(UPPER($H1239&amp;"")="LEAVE",1,0)</f>
        <v/>
      </c>
      <c r="P1239">
        <f>IF($N1239=1,$K1239,0)</f>
        <v/>
      </c>
      <c r="Q1239">
        <f>IF($N1239=0,"",IFERROR($L1239-LOOKUP(2,1/(($B$2:$B1238=$B1239)*($N$2:$N1238=1)),$M$2:$M1238),""))</f>
        <v/>
      </c>
    </row>
    <row r="1240">
      <c r="A1240" t="n">
        <v>1239</v>
      </c>
      <c r="B1240">
        <f>Schedule!$A$179</f>
        <v/>
      </c>
      <c r="C1240">
        <f>Schedule!$D$179</f>
        <v/>
      </c>
      <c r="D1240">
        <f>Schedule!$F$179</f>
        <v/>
      </c>
      <c r="E1240" t="n">
        <v>6</v>
      </c>
      <c r="F1240">
        <f>Schedule!$M$1</f>
        <v/>
      </c>
      <c r="G1240">
        <f>Schedule!$M$2</f>
        <v/>
      </c>
      <c r="H1240">
        <f>Schedule!$M$179</f>
        <v/>
      </c>
      <c r="I1240">
        <f>IF($N1240=1,VALUE(LEFT($H1240,2)),"")</f>
        <v/>
      </c>
      <c r="J1240">
        <f>IF($N1240=1,VALUE(MID($H1240,9,2)),"")</f>
        <v/>
      </c>
      <c r="K1240">
        <f>IF($N1240=1,MOD($J1240-$I1240,24),0)</f>
        <v/>
      </c>
      <c r="L1240">
        <f>IF($N1240=1,$E1240*24+$I1240,"")</f>
        <v/>
      </c>
      <c r="M1240">
        <f>IF($N1240=1,$L1240+$K1240,"")</f>
        <v/>
      </c>
      <c r="N1240">
        <f>IF(ISNUMBER(SEARCH(" - ",$H1240&amp;"")),1,0)</f>
        <v/>
      </c>
      <c r="O1240">
        <f>IF(UPPER($H1240&amp;"")="LEAVE",1,0)</f>
        <v/>
      </c>
      <c r="P1240">
        <f>IF($N1240=1,$K1240,0)</f>
        <v/>
      </c>
      <c r="Q1240">
        <f>IF($N1240=0,"",IFERROR($L1240-LOOKUP(2,1/(($B$2:$B1239=$B1240)*($N$2:$N1239=1)),$M$2:$M1239),""))</f>
        <v/>
      </c>
    </row>
    <row r="1241">
      <c r="A1241" t="n">
        <v>1240</v>
      </c>
      <c r="B1241">
        <f>Schedule!$A$180</f>
        <v/>
      </c>
      <c r="C1241">
        <f>Schedule!$D$180</f>
        <v/>
      </c>
      <c r="D1241">
        <f>Schedule!$F$180</f>
        <v/>
      </c>
      <c r="E1241" t="n">
        <v>0</v>
      </c>
      <c r="F1241">
        <f>Schedule!$G$1</f>
        <v/>
      </c>
      <c r="G1241">
        <f>Schedule!$G$2</f>
        <v/>
      </c>
      <c r="H1241">
        <f>Schedule!$G$180</f>
        <v/>
      </c>
      <c r="I1241">
        <f>IF($N1241=1,VALUE(LEFT($H1241,2)),"")</f>
        <v/>
      </c>
      <c r="J1241">
        <f>IF($N1241=1,VALUE(MID($H1241,9,2)),"")</f>
        <v/>
      </c>
      <c r="K1241">
        <f>IF($N1241=1,MOD($J1241-$I1241,24),0)</f>
        <v/>
      </c>
      <c r="L1241">
        <f>IF($N1241=1,$E1241*24+$I1241,"")</f>
        <v/>
      </c>
      <c r="M1241">
        <f>IF($N1241=1,$L1241+$K1241,"")</f>
        <v/>
      </c>
      <c r="N1241">
        <f>IF(ISNUMBER(SEARCH(" - ",$H1241&amp;"")),1,0)</f>
        <v/>
      </c>
      <c r="O1241">
        <f>IF(UPPER($H1241&amp;"")="LEAVE",1,0)</f>
        <v/>
      </c>
      <c r="P1241">
        <f>IF($N1241=1,$K1241,0)</f>
        <v/>
      </c>
      <c r="Q1241">
        <f>IF($N1241=0,"",IFERROR($L1241-'Previous Engine'!$M$179,""))</f>
        <v/>
      </c>
    </row>
    <row r="1242">
      <c r="A1242" t="n">
        <v>1241</v>
      </c>
      <c r="B1242">
        <f>Schedule!$A$180</f>
        <v/>
      </c>
      <c r="C1242">
        <f>Schedule!$D$180</f>
        <v/>
      </c>
      <c r="D1242">
        <f>Schedule!$F$180</f>
        <v/>
      </c>
      <c r="E1242" t="n">
        <v>1</v>
      </c>
      <c r="F1242">
        <f>Schedule!$H$1</f>
        <v/>
      </c>
      <c r="G1242">
        <f>Schedule!$H$2</f>
        <v/>
      </c>
      <c r="H1242">
        <f>Schedule!$H$180</f>
        <v/>
      </c>
      <c r="I1242">
        <f>IF($N1242=1,VALUE(LEFT($H1242,2)),"")</f>
        <v/>
      </c>
      <c r="J1242">
        <f>IF($N1242=1,VALUE(MID($H1242,9,2)),"")</f>
        <v/>
      </c>
      <c r="K1242">
        <f>IF($N1242=1,MOD($J1242-$I1242,24),0)</f>
        <v/>
      </c>
      <c r="L1242">
        <f>IF($N1242=1,$E1242*24+$I1242,"")</f>
        <v/>
      </c>
      <c r="M1242">
        <f>IF($N1242=1,$L1242+$K1242,"")</f>
        <v/>
      </c>
      <c r="N1242">
        <f>IF(ISNUMBER(SEARCH(" - ",$H1242&amp;"")),1,0)</f>
        <v/>
      </c>
      <c r="O1242">
        <f>IF(UPPER($H1242&amp;"")="LEAVE",1,0)</f>
        <v/>
      </c>
      <c r="P1242">
        <f>IF($N1242=1,$K1242,0)</f>
        <v/>
      </c>
      <c r="Q1242">
        <f>IF($N1242=0,"",IFERROR($L1242-LOOKUP(2,1/(($B$2:$B1241=$B1242)*($N$2:$N1241=1)),$M$2:$M1241),""))</f>
        <v/>
      </c>
    </row>
    <row r="1243">
      <c r="A1243" t="n">
        <v>1242</v>
      </c>
      <c r="B1243">
        <f>Schedule!$A$180</f>
        <v/>
      </c>
      <c r="C1243">
        <f>Schedule!$D$180</f>
        <v/>
      </c>
      <c r="D1243">
        <f>Schedule!$F$180</f>
        <v/>
      </c>
      <c r="E1243" t="n">
        <v>2</v>
      </c>
      <c r="F1243">
        <f>Schedule!$I$1</f>
        <v/>
      </c>
      <c r="G1243">
        <f>Schedule!$I$2</f>
        <v/>
      </c>
      <c r="H1243">
        <f>Schedule!$I$180</f>
        <v/>
      </c>
      <c r="I1243">
        <f>IF($N1243=1,VALUE(LEFT($H1243,2)),"")</f>
        <v/>
      </c>
      <c r="J1243">
        <f>IF($N1243=1,VALUE(MID($H1243,9,2)),"")</f>
        <v/>
      </c>
      <c r="K1243">
        <f>IF($N1243=1,MOD($J1243-$I1243,24),0)</f>
        <v/>
      </c>
      <c r="L1243">
        <f>IF($N1243=1,$E1243*24+$I1243,"")</f>
        <v/>
      </c>
      <c r="M1243">
        <f>IF($N1243=1,$L1243+$K1243,"")</f>
        <v/>
      </c>
      <c r="N1243">
        <f>IF(ISNUMBER(SEARCH(" - ",$H1243&amp;"")),1,0)</f>
        <v/>
      </c>
      <c r="O1243">
        <f>IF(UPPER($H1243&amp;"")="LEAVE",1,0)</f>
        <v/>
      </c>
      <c r="P1243">
        <f>IF($N1243=1,$K1243,0)</f>
        <v/>
      </c>
      <c r="Q1243">
        <f>IF($N1243=0,"",IFERROR($L1243-LOOKUP(2,1/(($B$2:$B1242=$B1243)*($N$2:$N1242=1)),$M$2:$M1242),""))</f>
        <v/>
      </c>
    </row>
    <row r="1244">
      <c r="A1244" t="n">
        <v>1243</v>
      </c>
      <c r="B1244">
        <f>Schedule!$A$180</f>
        <v/>
      </c>
      <c r="C1244">
        <f>Schedule!$D$180</f>
        <v/>
      </c>
      <c r="D1244">
        <f>Schedule!$F$180</f>
        <v/>
      </c>
      <c r="E1244" t="n">
        <v>3</v>
      </c>
      <c r="F1244">
        <f>Schedule!$J$1</f>
        <v/>
      </c>
      <c r="G1244">
        <f>Schedule!$J$2</f>
        <v/>
      </c>
      <c r="H1244">
        <f>Schedule!$J$180</f>
        <v/>
      </c>
      <c r="I1244">
        <f>IF($N1244=1,VALUE(LEFT($H1244,2)),"")</f>
        <v/>
      </c>
      <c r="J1244">
        <f>IF($N1244=1,VALUE(MID($H1244,9,2)),"")</f>
        <v/>
      </c>
      <c r="K1244">
        <f>IF($N1244=1,MOD($J1244-$I1244,24),0)</f>
        <v/>
      </c>
      <c r="L1244">
        <f>IF($N1244=1,$E1244*24+$I1244,"")</f>
        <v/>
      </c>
      <c r="M1244">
        <f>IF($N1244=1,$L1244+$K1244,"")</f>
        <v/>
      </c>
      <c r="N1244">
        <f>IF(ISNUMBER(SEARCH(" - ",$H1244&amp;"")),1,0)</f>
        <v/>
      </c>
      <c r="O1244">
        <f>IF(UPPER($H1244&amp;"")="LEAVE",1,0)</f>
        <v/>
      </c>
      <c r="P1244">
        <f>IF($N1244=1,$K1244,0)</f>
        <v/>
      </c>
      <c r="Q1244">
        <f>IF($N1244=0,"",IFERROR($L1244-LOOKUP(2,1/(($B$2:$B1243=$B1244)*($N$2:$N1243=1)),$M$2:$M1243),""))</f>
        <v/>
      </c>
    </row>
    <row r="1245">
      <c r="A1245" t="n">
        <v>1244</v>
      </c>
      <c r="B1245">
        <f>Schedule!$A$180</f>
        <v/>
      </c>
      <c r="C1245">
        <f>Schedule!$D$180</f>
        <v/>
      </c>
      <c r="D1245">
        <f>Schedule!$F$180</f>
        <v/>
      </c>
      <c r="E1245" t="n">
        <v>4</v>
      </c>
      <c r="F1245">
        <f>Schedule!$K$1</f>
        <v/>
      </c>
      <c r="G1245">
        <f>Schedule!$K$2</f>
        <v/>
      </c>
      <c r="H1245">
        <f>Schedule!$K$180</f>
        <v/>
      </c>
      <c r="I1245">
        <f>IF($N1245=1,VALUE(LEFT($H1245,2)),"")</f>
        <v/>
      </c>
      <c r="J1245">
        <f>IF($N1245=1,VALUE(MID($H1245,9,2)),"")</f>
        <v/>
      </c>
      <c r="K1245">
        <f>IF($N1245=1,MOD($J1245-$I1245,24),0)</f>
        <v/>
      </c>
      <c r="L1245">
        <f>IF($N1245=1,$E1245*24+$I1245,"")</f>
        <v/>
      </c>
      <c r="M1245">
        <f>IF($N1245=1,$L1245+$K1245,"")</f>
        <v/>
      </c>
      <c r="N1245">
        <f>IF(ISNUMBER(SEARCH(" - ",$H1245&amp;"")),1,0)</f>
        <v/>
      </c>
      <c r="O1245">
        <f>IF(UPPER($H1245&amp;"")="LEAVE",1,0)</f>
        <v/>
      </c>
      <c r="P1245">
        <f>IF($N1245=1,$K1245,0)</f>
        <v/>
      </c>
      <c r="Q1245">
        <f>IF($N1245=0,"",IFERROR($L1245-LOOKUP(2,1/(($B$2:$B1244=$B1245)*($N$2:$N1244=1)),$M$2:$M1244),""))</f>
        <v/>
      </c>
    </row>
    <row r="1246">
      <c r="A1246" t="n">
        <v>1245</v>
      </c>
      <c r="B1246">
        <f>Schedule!$A$180</f>
        <v/>
      </c>
      <c r="C1246">
        <f>Schedule!$D$180</f>
        <v/>
      </c>
      <c r="D1246">
        <f>Schedule!$F$180</f>
        <v/>
      </c>
      <c r="E1246" t="n">
        <v>5</v>
      </c>
      <c r="F1246">
        <f>Schedule!$L$1</f>
        <v/>
      </c>
      <c r="G1246">
        <f>Schedule!$L$2</f>
        <v/>
      </c>
      <c r="H1246">
        <f>Schedule!$L$180</f>
        <v/>
      </c>
      <c r="I1246">
        <f>IF($N1246=1,VALUE(LEFT($H1246,2)),"")</f>
        <v/>
      </c>
      <c r="J1246">
        <f>IF($N1246=1,VALUE(MID($H1246,9,2)),"")</f>
        <v/>
      </c>
      <c r="K1246">
        <f>IF($N1246=1,MOD($J1246-$I1246,24),0)</f>
        <v/>
      </c>
      <c r="L1246">
        <f>IF($N1246=1,$E1246*24+$I1246,"")</f>
        <v/>
      </c>
      <c r="M1246">
        <f>IF($N1246=1,$L1246+$K1246,"")</f>
        <v/>
      </c>
      <c r="N1246">
        <f>IF(ISNUMBER(SEARCH(" - ",$H1246&amp;"")),1,0)</f>
        <v/>
      </c>
      <c r="O1246">
        <f>IF(UPPER($H1246&amp;"")="LEAVE",1,0)</f>
        <v/>
      </c>
      <c r="P1246">
        <f>IF($N1246=1,$K1246,0)</f>
        <v/>
      </c>
      <c r="Q1246">
        <f>IF($N1246=0,"",IFERROR($L1246-LOOKUP(2,1/(($B$2:$B1245=$B1246)*($N$2:$N1245=1)),$M$2:$M1245),""))</f>
        <v/>
      </c>
    </row>
    <row r="1247">
      <c r="A1247" t="n">
        <v>1246</v>
      </c>
      <c r="B1247">
        <f>Schedule!$A$180</f>
        <v/>
      </c>
      <c r="C1247">
        <f>Schedule!$D$180</f>
        <v/>
      </c>
      <c r="D1247">
        <f>Schedule!$F$180</f>
        <v/>
      </c>
      <c r="E1247" t="n">
        <v>6</v>
      </c>
      <c r="F1247">
        <f>Schedule!$M$1</f>
        <v/>
      </c>
      <c r="G1247">
        <f>Schedule!$M$2</f>
        <v/>
      </c>
      <c r="H1247">
        <f>Schedule!$M$180</f>
        <v/>
      </c>
      <c r="I1247">
        <f>IF($N1247=1,VALUE(LEFT($H1247,2)),"")</f>
        <v/>
      </c>
      <c r="J1247">
        <f>IF($N1247=1,VALUE(MID($H1247,9,2)),"")</f>
        <v/>
      </c>
      <c r="K1247">
        <f>IF($N1247=1,MOD($J1247-$I1247,24),0)</f>
        <v/>
      </c>
      <c r="L1247">
        <f>IF($N1247=1,$E1247*24+$I1247,"")</f>
        <v/>
      </c>
      <c r="M1247">
        <f>IF($N1247=1,$L1247+$K1247,"")</f>
        <v/>
      </c>
      <c r="N1247">
        <f>IF(ISNUMBER(SEARCH(" - ",$H1247&amp;"")),1,0)</f>
        <v/>
      </c>
      <c r="O1247">
        <f>IF(UPPER($H1247&amp;"")="LEAVE",1,0)</f>
        <v/>
      </c>
      <c r="P1247">
        <f>IF($N1247=1,$K1247,0)</f>
        <v/>
      </c>
      <c r="Q1247">
        <f>IF($N1247=0,"",IFERROR($L1247-LOOKUP(2,1/(($B$2:$B1246=$B1247)*($N$2:$N1246=1)),$M$2:$M1246),""))</f>
        <v/>
      </c>
    </row>
    <row r="1248">
      <c r="A1248" t="n">
        <v>1247</v>
      </c>
      <c r="B1248">
        <f>Schedule!$A$181</f>
        <v/>
      </c>
      <c r="C1248">
        <f>Schedule!$D$181</f>
        <v/>
      </c>
      <c r="D1248">
        <f>Schedule!$F$181</f>
        <v/>
      </c>
      <c r="E1248" t="n">
        <v>0</v>
      </c>
      <c r="F1248">
        <f>Schedule!$G$1</f>
        <v/>
      </c>
      <c r="G1248">
        <f>Schedule!$G$2</f>
        <v/>
      </c>
      <c r="H1248">
        <f>Schedule!$G$181</f>
        <v/>
      </c>
      <c r="I1248">
        <f>IF($N1248=1,VALUE(LEFT($H1248,2)),"")</f>
        <v/>
      </c>
      <c r="J1248">
        <f>IF($N1248=1,VALUE(MID($H1248,9,2)),"")</f>
        <v/>
      </c>
      <c r="K1248">
        <f>IF($N1248=1,MOD($J1248-$I1248,24),0)</f>
        <v/>
      </c>
      <c r="L1248">
        <f>IF($N1248=1,$E1248*24+$I1248,"")</f>
        <v/>
      </c>
      <c r="M1248">
        <f>IF($N1248=1,$L1248+$K1248,"")</f>
        <v/>
      </c>
      <c r="N1248">
        <f>IF(ISNUMBER(SEARCH(" - ",$H1248&amp;"")),1,0)</f>
        <v/>
      </c>
      <c r="O1248">
        <f>IF(UPPER($H1248&amp;"")="LEAVE",1,0)</f>
        <v/>
      </c>
      <c r="P1248">
        <f>IF($N1248=1,$K1248,0)</f>
        <v/>
      </c>
      <c r="Q1248">
        <f>IF($N1248=0,"",IFERROR($L1248-'Previous Engine'!$M$180,""))</f>
        <v/>
      </c>
    </row>
    <row r="1249">
      <c r="A1249" t="n">
        <v>1248</v>
      </c>
      <c r="B1249">
        <f>Schedule!$A$181</f>
        <v/>
      </c>
      <c r="C1249">
        <f>Schedule!$D$181</f>
        <v/>
      </c>
      <c r="D1249">
        <f>Schedule!$F$181</f>
        <v/>
      </c>
      <c r="E1249" t="n">
        <v>1</v>
      </c>
      <c r="F1249">
        <f>Schedule!$H$1</f>
        <v/>
      </c>
      <c r="G1249">
        <f>Schedule!$H$2</f>
        <v/>
      </c>
      <c r="H1249">
        <f>Schedule!$H$181</f>
        <v/>
      </c>
      <c r="I1249">
        <f>IF($N1249=1,VALUE(LEFT($H1249,2)),"")</f>
        <v/>
      </c>
      <c r="J1249">
        <f>IF($N1249=1,VALUE(MID($H1249,9,2)),"")</f>
        <v/>
      </c>
      <c r="K1249">
        <f>IF($N1249=1,MOD($J1249-$I1249,24),0)</f>
        <v/>
      </c>
      <c r="L1249">
        <f>IF($N1249=1,$E1249*24+$I1249,"")</f>
        <v/>
      </c>
      <c r="M1249">
        <f>IF($N1249=1,$L1249+$K1249,"")</f>
        <v/>
      </c>
      <c r="N1249">
        <f>IF(ISNUMBER(SEARCH(" - ",$H1249&amp;"")),1,0)</f>
        <v/>
      </c>
      <c r="O1249">
        <f>IF(UPPER($H1249&amp;"")="LEAVE",1,0)</f>
        <v/>
      </c>
      <c r="P1249">
        <f>IF($N1249=1,$K1249,0)</f>
        <v/>
      </c>
      <c r="Q1249">
        <f>IF($N1249=0,"",IFERROR($L1249-LOOKUP(2,1/(($B$2:$B1248=$B1249)*($N$2:$N1248=1)),$M$2:$M1248),""))</f>
        <v/>
      </c>
    </row>
    <row r="1250">
      <c r="A1250" t="n">
        <v>1249</v>
      </c>
      <c r="B1250">
        <f>Schedule!$A$181</f>
        <v/>
      </c>
      <c r="C1250">
        <f>Schedule!$D$181</f>
        <v/>
      </c>
      <c r="D1250">
        <f>Schedule!$F$181</f>
        <v/>
      </c>
      <c r="E1250" t="n">
        <v>2</v>
      </c>
      <c r="F1250">
        <f>Schedule!$I$1</f>
        <v/>
      </c>
      <c r="G1250">
        <f>Schedule!$I$2</f>
        <v/>
      </c>
      <c r="H1250">
        <f>Schedule!$I$181</f>
        <v/>
      </c>
      <c r="I1250">
        <f>IF($N1250=1,VALUE(LEFT($H1250,2)),"")</f>
        <v/>
      </c>
      <c r="J1250">
        <f>IF($N1250=1,VALUE(MID($H1250,9,2)),"")</f>
        <v/>
      </c>
      <c r="K1250">
        <f>IF($N1250=1,MOD($J1250-$I1250,24),0)</f>
        <v/>
      </c>
      <c r="L1250">
        <f>IF($N1250=1,$E1250*24+$I1250,"")</f>
        <v/>
      </c>
      <c r="M1250">
        <f>IF($N1250=1,$L1250+$K1250,"")</f>
        <v/>
      </c>
      <c r="N1250">
        <f>IF(ISNUMBER(SEARCH(" - ",$H1250&amp;"")),1,0)</f>
        <v/>
      </c>
      <c r="O1250">
        <f>IF(UPPER($H1250&amp;"")="LEAVE",1,0)</f>
        <v/>
      </c>
      <c r="P1250">
        <f>IF($N1250=1,$K1250,0)</f>
        <v/>
      </c>
      <c r="Q1250">
        <f>IF($N1250=0,"",IFERROR($L1250-LOOKUP(2,1/(($B$2:$B1249=$B1250)*($N$2:$N1249=1)),$M$2:$M1249),""))</f>
        <v/>
      </c>
    </row>
    <row r="1251">
      <c r="A1251" t="n">
        <v>1250</v>
      </c>
      <c r="B1251">
        <f>Schedule!$A$181</f>
        <v/>
      </c>
      <c r="C1251">
        <f>Schedule!$D$181</f>
        <v/>
      </c>
      <c r="D1251">
        <f>Schedule!$F$181</f>
        <v/>
      </c>
      <c r="E1251" t="n">
        <v>3</v>
      </c>
      <c r="F1251">
        <f>Schedule!$J$1</f>
        <v/>
      </c>
      <c r="G1251">
        <f>Schedule!$J$2</f>
        <v/>
      </c>
      <c r="H1251">
        <f>Schedule!$J$181</f>
        <v/>
      </c>
      <c r="I1251">
        <f>IF($N1251=1,VALUE(LEFT($H1251,2)),"")</f>
        <v/>
      </c>
      <c r="J1251">
        <f>IF($N1251=1,VALUE(MID($H1251,9,2)),"")</f>
        <v/>
      </c>
      <c r="K1251">
        <f>IF($N1251=1,MOD($J1251-$I1251,24),0)</f>
        <v/>
      </c>
      <c r="L1251">
        <f>IF($N1251=1,$E1251*24+$I1251,"")</f>
        <v/>
      </c>
      <c r="M1251">
        <f>IF($N1251=1,$L1251+$K1251,"")</f>
        <v/>
      </c>
      <c r="N1251">
        <f>IF(ISNUMBER(SEARCH(" - ",$H1251&amp;"")),1,0)</f>
        <v/>
      </c>
      <c r="O1251">
        <f>IF(UPPER($H1251&amp;"")="LEAVE",1,0)</f>
        <v/>
      </c>
      <c r="P1251">
        <f>IF($N1251=1,$K1251,0)</f>
        <v/>
      </c>
      <c r="Q1251">
        <f>IF($N1251=0,"",IFERROR($L1251-LOOKUP(2,1/(($B$2:$B1250=$B1251)*($N$2:$N1250=1)),$M$2:$M1250),""))</f>
        <v/>
      </c>
    </row>
    <row r="1252">
      <c r="A1252" t="n">
        <v>1251</v>
      </c>
      <c r="B1252">
        <f>Schedule!$A$181</f>
        <v/>
      </c>
      <c r="C1252">
        <f>Schedule!$D$181</f>
        <v/>
      </c>
      <c r="D1252">
        <f>Schedule!$F$181</f>
        <v/>
      </c>
      <c r="E1252" t="n">
        <v>4</v>
      </c>
      <c r="F1252">
        <f>Schedule!$K$1</f>
        <v/>
      </c>
      <c r="G1252">
        <f>Schedule!$K$2</f>
        <v/>
      </c>
      <c r="H1252">
        <f>Schedule!$K$181</f>
        <v/>
      </c>
      <c r="I1252">
        <f>IF($N1252=1,VALUE(LEFT($H1252,2)),"")</f>
        <v/>
      </c>
      <c r="J1252">
        <f>IF($N1252=1,VALUE(MID($H1252,9,2)),"")</f>
        <v/>
      </c>
      <c r="K1252">
        <f>IF($N1252=1,MOD($J1252-$I1252,24),0)</f>
        <v/>
      </c>
      <c r="L1252">
        <f>IF($N1252=1,$E1252*24+$I1252,"")</f>
        <v/>
      </c>
      <c r="M1252">
        <f>IF($N1252=1,$L1252+$K1252,"")</f>
        <v/>
      </c>
      <c r="N1252">
        <f>IF(ISNUMBER(SEARCH(" - ",$H1252&amp;"")),1,0)</f>
        <v/>
      </c>
      <c r="O1252">
        <f>IF(UPPER($H1252&amp;"")="LEAVE",1,0)</f>
        <v/>
      </c>
      <c r="P1252">
        <f>IF($N1252=1,$K1252,0)</f>
        <v/>
      </c>
      <c r="Q1252">
        <f>IF($N1252=0,"",IFERROR($L1252-LOOKUP(2,1/(($B$2:$B1251=$B1252)*($N$2:$N1251=1)),$M$2:$M1251),""))</f>
        <v/>
      </c>
    </row>
    <row r="1253">
      <c r="A1253" t="n">
        <v>1252</v>
      </c>
      <c r="B1253">
        <f>Schedule!$A$181</f>
        <v/>
      </c>
      <c r="C1253">
        <f>Schedule!$D$181</f>
        <v/>
      </c>
      <c r="D1253">
        <f>Schedule!$F$181</f>
        <v/>
      </c>
      <c r="E1253" t="n">
        <v>5</v>
      </c>
      <c r="F1253">
        <f>Schedule!$L$1</f>
        <v/>
      </c>
      <c r="G1253">
        <f>Schedule!$L$2</f>
        <v/>
      </c>
      <c r="H1253">
        <f>Schedule!$L$181</f>
        <v/>
      </c>
      <c r="I1253">
        <f>IF($N1253=1,VALUE(LEFT($H1253,2)),"")</f>
        <v/>
      </c>
      <c r="J1253">
        <f>IF($N1253=1,VALUE(MID($H1253,9,2)),"")</f>
        <v/>
      </c>
      <c r="K1253">
        <f>IF($N1253=1,MOD($J1253-$I1253,24),0)</f>
        <v/>
      </c>
      <c r="L1253">
        <f>IF($N1253=1,$E1253*24+$I1253,"")</f>
        <v/>
      </c>
      <c r="M1253">
        <f>IF($N1253=1,$L1253+$K1253,"")</f>
        <v/>
      </c>
      <c r="N1253">
        <f>IF(ISNUMBER(SEARCH(" - ",$H1253&amp;"")),1,0)</f>
        <v/>
      </c>
      <c r="O1253">
        <f>IF(UPPER($H1253&amp;"")="LEAVE",1,0)</f>
        <v/>
      </c>
      <c r="P1253">
        <f>IF($N1253=1,$K1253,0)</f>
        <v/>
      </c>
      <c r="Q1253">
        <f>IF($N1253=0,"",IFERROR($L1253-LOOKUP(2,1/(($B$2:$B1252=$B1253)*($N$2:$N1252=1)),$M$2:$M1252),""))</f>
        <v/>
      </c>
    </row>
    <row r="1254">
      <c r="A1254" t="n">
        <v>1253</v>
      </c>
      <c r="B1254">
        <f>Schedule!$A$181</f>
        <v/>
      </c>
      <c r="C1254">
        <f>Schedule!$D$181</f>
        <v/>
      </c>
      <c r="D1254">
        <f>Schedule!$F$181</f>
        <v/>
      </c>
      <c r="E1254" t="n">
        <v>6</v>
      </c>
      <c r="F1254">
        <f>Schedule!$M$1</f>
        <v/>
      </c>
      <c r="G1254">
        <f>Schedule!$M$2</f>
        <v/>
      </c>
      <c r="H1254">
        <f>Schedule!$M$181</f>
        <v/>
      </c>
      <c r="I1254">
        <f>IF($N1254=1,VALUE(LEFT($H1254,2)),"")</f>
        <v/>
      </c>
      <c r="J1254">
        <f>IF($N1254=1,VALUE(MID($H1254,9,2)),"")</f>
        <v/>
      </c>
      <c r="K1254">
        <f>IF($N1254=1,MOD($J1254-$I1254,24),0)</f>
        <v/>
      </c>
      <c r="L1254">
        <f>IF($N1254=1,$E1254*24+$I1254,"")</f>
        <v/>
      </c>
      <c r="M1254">
        <f>IF($N1254=1,$L1254+$K1254,"")</f>
        <v/>
      </c>
      <c r="N1254">
        <f>IF(ISNUMBER(SEARCH(" - ",$H1254&amp;"")),1,0)</f>
        <v/>
      </c>
      <c r="O1254">
        <f>IF(UPPER($H1254&amp;"")="LEAVE",1,0)</f>
        <v/>
      </c>
      <c r="P1254">
        <f>IF($N1254=1,$K1254,0)</f>
        <v/>
      </c>
      <c r="Q1254">
        <f>IF($N1254=0,"",IFERROR($L1254-LOOKUP(2,1/(($B$2:$B1253=$B1254)*($N$2:$N1253=1)),$M$2:$M1253),""))</f>
        <v/>
      </c>
    </row>
    <row r="1255">
      <c r="A1255" t="n">
        <v>1254</v>
      </c>
      <c r="B1255">
        <f>Schedule!$A$182</f>
        <v/>
      </c>
      <c r="C1255">
        <f>Schedule!$D$182</f>
        <v/>
      </c>
      <c r="D1255">
        <f>Schedule!$F$182</f>
        <v/>
      </c>
      <c r="E1255" t="n">
        <v>0</v>
      </c>
      <c r="F1255">
        <f>Schedule!$G$1</f>
        <v/>
      </c>
      <c r="G1255">
        <f>Schedule!$G$2</f>
        <v/>
      </c>
      <c r="H1255">
        <f>Schedule!$G$182</f>
        <v/>
      </c>
      <c r="I1255">
        <f>IF($N1255=1,VALUE(LEFT($H1255,2)),"")</f>
        <v/>
      </c>
      <c r="J1255">
        <f>IF($N1255=1,VALUE(MID($H1255,9,2)),"")</f>
        <v/>
      </c>
      <c r="K1255">
        <f>IF($N1255=1,MOD($J1255-$I1255,24),0)</f>
        <v/>
      </c>
      <c r="L1255">
        <f>IF($N1255=1,$E1255*24+$I1255,"")</f>
        <v/>
      </c>
      <c r="M1255">
        <f>IF($N1255=1,$L1255+$K1255,"")</f>
        <v/>
      </c>
      <c r="N1255">
        <f>IF(ISNUMBER(SEARCH(" - ",$H1255&amp;"")),1,0)</f>
        <v/>
      </c>
      <c r="O1255">
        <f>IF(UPPER($H1255&amp;"")="LEAVE",1,0)</f>
        <v/>
      </c>
      <c r="P1255">
        <f>IF($N1255=1,$K1255,0)</f>
        <v/>
      </c>
      <c r="Q1255">
        <f>IF($N1255=0,"",IFERROR($L1255-'Previous Engine'!$M$181,""))</f>
        <v/>
      </c>
    </row>
    <row r="1256">
      <c r="A1256" t="n">
        <v>1255</v>
      </c>
      <c r="B1256">
        <f>Schedule!$A$182</f>
        <v/>
      </c>
      <c r="C1256">
        <f>Schedule!$D$182</f>
        <v/>
      </c>
      <c r="D1256">
        <f>Schedule!$F$182</f>
        <v/>
      </c>
      <c r="E1256" t="n">
        <v>1</v>
      </c>
      <c r="F1256">
        <f>Schedule!$H$1</f>
        <v/>
      </c>
      <c r="G1256">
        <f>Schedule!$H$2</f>
        <v/>
      </c>
      <c r="H1256">
        <f>Schedule!$H$182</f>
        <v/>
      </c>
      <c r="I1256">
        <f>IF($N1256=1,VALUE(LEFT($H1256,2)),"")</f>
        <v/>
      </c>
      <c r="J1256">
        <f>IF($N1256=1,VALUE(MID($H1256,9,2)),"")</f>
        <v/>
      </c>
      <c r="K1256">
        <f>IF($N1256=1,MOD($J1256-$I1256,24),0)</f>
        <v/>
      </c>
      <c r="L1256">
        <f>IF($N1256=1,$E1256*24+$I1256,"")</f>
        <v/>
      </c>
      <c r="M1256">
        <f>IF($N1256=1,$L1256+$K1256,"")</f>
        <v/>
      </c>
      <c r="N1256">
        <f>IF(ISNUMBER(SEARCH(" - ",$H1256&amp;"")),1,0)</f>
        <v/>
      </c>
      <c r="O1256">
        <f>IF(UPPER($H1256&amp;"")="LEAVE",1,0)</f>
        <v/>
      </c>
      <c r="P1256">
        <f>IF($N1256=1,$K1256,0)</f>
        <v/>
      </c>
      <c r="Q1256">
        <f>IF($N1256=0,"",IFERROR($L1256-LOOKUP(2,1/(($B$2:$B1255=$B1256)*($N$2:$N1255=1)),$M$2:$M1255),""))</f>
        <v/>
      </c>
    </row>
    <row r="1257">
      <c r="A1257" t="n">
        <v>1256</v>
      </c>
      <c r="B1257">
        <f>Schedule!$A$182</f>
        <v/>
      </c>
      <c r="C1257">
        <f>Schedule!$D$182</f>
        <v/>
      </c>
      <c r="D1257">
        <f>Schedule!$F$182</f>
        <v/>
      </c>
      <c r="E1257" t="n">
        <v>2</v>
      </c>
      <c r="F1257">
        <f>Schedule!$I$1</f>
        <v/>
      </c>
      <c r="G1257">
        <f>Schedule!$I$2</f>
        <v/>
      </c>
      <c r="H1257">
        <f>Schedule!$I$182</f>
        <v/>
      </c>
      <c r="I1257">
        <f>IF($N1257=1,VALUE(LEFT($H1257,2)),"")</f>
        <v/>
      </c>
      <c r="J1257">
        <f>IF($N1257=1,VALUE(MID($H1257,9,2)),"")</f>
        <v/>
      </c>
      <c r="K1257">
        <f>IF($N1257=1,MOD($J1257-$I1257,24),0)</f>
        <v/>
      </c>
      <c r="L1257">
        <f>IF($N1257=1,$E1257*24+$I1257,"")</f>
        <v/>
      </c>
      <c r="M1257">
        <f>IF($N1257=1,$L1257+$K1257,"")</f>
        <v/>
      </c>
      <c r="N1257">
        <f>IF(ISNUMBER(SEARCH(" - ",$H1257&amp;"")),1,0)</f>
        <v/>
      </c>
      <c r="O1257">
        <f>IF(UPPER($H1257&amp;"")="LEAVE",1,0)</f>
        <v/>
      </c>
      <c r="P1257">
        <f>IF($N1257=1,$K1257,0)</f>
        <v/>
      </c>
      <c r="Q1257">
        <f>IF($N1257=0,"",IFERROR($L1257-LOOKUP(2,1/(($B$2:$B1256=$B1257)*($N$2:$N1256=1)),$M$2:$M1256),""))</f>
        <v/>
      </c>
    </row>
    <row r="1258">
      <c r="A1258" t="n">
        <v>1257</v>
      </c>
      <c r="B1258">
        <f>Schedule!$A$182</f>
        <v/>
      </c>
      <c r="C1258">
        <f>Schedule!$D$182</f>
        <v/>
      </c>
      <c r="D1258">
        <f>Schedule!$F$182</f>
        <v/>
      </c>
      <c r="E1258" t="n">
        <v>3</v>
      </c>
      <c r="F1258">
        <f>Schedule!$J$1</f>
        <v/>
      </c>
      <c r="G1258">
        <f>Schedule!$J$2</f>
        <v/>
      </c>
      <c r="H1258">
        <f>Schedule!$J$182</f>
        <v/>
      </c>
      <c r="I1258">
        <f>IF($N1258=1,VALUE(LEFT($H1258,2)),"")</f>
        <v/>
      </c>
      <c r="J1258">
        <f>IF($N1258=1,VALUE(MID($H1258,9,2)),"")</f>
        <v/>
      </c>
      <c r="K1258">
        <f>IF($N1258=1,MOD($J1258-$I1258,24),0)</f>
        <v/>
      </c>
      <c r="L1258">
        <f>IF($N1258=1,$E1258*24+$I1258,"")</f>
        <v/>
      </c>
      <c r="M1258">
        <f>IF($N1258=1,$L1258+$K1258,"")</f>
        <v/>
      </c>
      <c r="N1258">
        <f>IF(ISNUMBER(SEARCH(" - ",$H1258&amp;"")),1,0)</f>
        <v/>
      </c>
      <c r="O1258">
        <f>IF(UPPER($H1258&amp;"")="LEAVE",1,0)</f>
        <v/>
      </c>
      <c r="P1258">
        <f>IF($N1258=1,$K1258,0)</f>
        <v/>
      </c>
      <c r="Q1258">
        <f>IF($N1258=0,"",IFERROR($L1258-LOOKUP(2,1/(($B$2:$B1257=$B1258)*($N$2:$N1257=1)),$M$2:$M1257),""))</f>
        <v/>
      </c>
    </row>
    <row r="1259">
      <c r="A1259" t="n">
        <v>1258</v>
      </c>
      <c r="B1259">
        <f>Schedule!$A$182</f>
        <v/>
      </c>
      <c r="C1259">
        <f>Schedule!$D$182</f>
        <v/>
      </c>
      <c r="D1259">
        <f>Schedule!$F$182</f>
        <v/>
      </c>
      <c r="E1259" t="n">
        <v>4</v>
      </c>
      <c r="F1259">
        <f>Schedule!$K$1</f>
        <v/>
      </c>
      <c r="G1259">
        <f>Schedule!$K$2</f>
        <v/>
      </c>
      <c r="H1259">
        <f>Schedule!$K$182</f>
        <v/>
      </c>
      <c r="I1259">
        <f>IF($N1259=1,VALUE(LEFT($H1259,2)),"")</f>
        <v/>
      </c>
      <c r="J1259">
        <f>IF($N1259=1,VALUE(MID($H1259,9,2)),"")</f>
        <v/>
      </c>
      <c r="K1259">
        <f>IF($N1259=1,MOD($J1259-$I1259,24),0)</f>
        <v/>
      </c>
      <c r="L1259">
        <f>IF($N1259=1,$E1259*24+$I1259,"")</f>
        <v/>
      </c>
      <c r="M1259">
        <f>IF($N1259=1,$L1259+$K1259,"")</f>
        <v/>
      </c>
      <c r="N1259">
        <f>IF(ISNUMBER(SEARCH(" - ",$H1259&amp;"")),1,0)</f>
        <v/>
      </c>
      <c r="O1259">
        <f>IF(UPPER($H1259&amp;"")="LEAVE",1,0)</f>
        <v/>
      </c>
      <c r="P1259">
        <f>IF($N1259=1,$K1259,0)</f>
        <v/>
      </c>
      <c r="Q1259">
        <f>IF($N1259=0,"",IFERROR($L1259-LOOKUP(2,1/(($B$2:$B1258=$B1259)*($N$2:$N1258=1)),$M$2:$M1258),""))</f>
        <v/>
      </c>
    </row>
    <row r="1260">
      <c r="A1260" t="n">
        <v>1259</v>
      </c>
      <c r="B1260">
        <f>Schedule!$A$182</f>
        <v/>
      </c>
      <c r="C1260">
        <f>Schedule!$D$182</f>
        <v/>
      </c>
      <c r="D1260">
        <f>Schedule!$F$182</f>
        <v/>
      </c>
      <c r="E1260" t="n">
        <v>5</v>
      </c>
      <c r="F1260">
        <f>Schedule!$L$1</f>
        <v/>
      </c>
      <c r="G1260">
        <f>Schedule!$L$2</f>
        <v/>
      </c>
      <c r="H1260">
        <f>Schedule!$L$182</f>
        <v/>
      </c>
      <c r="I1260">
        <f>IF($N1260=1,VALUE(LEFT($H1260,2)),"")</f>
        <v/>
      </c>
      <c r="J1260">
        <f>IF($N1260=1,VALUE(MID($H1260,9,2)),"")</f>
        <v/>
      </c>
      <c r="K1260">
        <f>IF($N1260=1,MOD($J1260-$I1260,24),0)</f>
        <v/>
      </c>
      <c r="L1260">
        <f>IF($N1260=1,$E1260*24+$I1260,"")</f>
        <v/>
      </c>
      <c r="M1260">
        <f>IF($N1260=1,$L1260+$K1260,"")</f>
        <v/>
      </c>
      <c r="N1260">
        <f>IF(ISNUMBER(SEARCH(" - ",$H1260&amp;"")),1,0)</f>
        <v/>
      </c>
      <c r="O1260">
        <f>IF(UPPER($H1260&amp;"")="LEAVE",1,0)</f>
        <v/>
      </c>
      <c r="P1260">
        <f>IF($N1260=1,$K1260,0)</f>
        <v/>
      </c>
      <c r="Q1260">
        <f>IF($N1260=0,"",IFERROR($L1260-LOOKUP(2,1/(($B$2:$B1259=$B1260)*($N$2:$N1259=1)),$M$2:$M1259),""))</f>
        <v/>
      </c>
    </row>
    <row r="1261">
      <c r="A1261" t="n">
        <v>1260</v>
      </c>
      <c r="B1261">
        <f>Schedule!$A$182</f>
        <v/>
      </c>
      <c r="C1261">
        <f>Schedule!$D$182</f>
        <v/>
      </c>
      <c r="D1261">
        <f>Schedule!$F$182</f>
        <v/>
      </c>
      <c r="E1261" t="n">
        <v>6</v>
      </c>
      <c r="F1261">
        <f>Schedule!$M$1</f>
        <v/>
      </c>
      <c r="G1261">
        <f>Schedule!$M$2</f>
        <v/>
      </c>
      <c r="H1261">
        <f>Schedule!$M$182</f>
        <v/>
      </c>
      <c r="I1261">
        <f>IF($N1261=1,VALUE(LEFT($H1261,2)),"")</f>
        <v/>
      </c>
      <c r="J1261">
        <f>IF($N1261=1,VALUE(MID($H1261,9,2)),"")</f>
        <v/>
      </c>
      <c r="K1261">
        <f>IF($N1261=1,MOD($J1261-$I1261,24),0)</f>
        <v/>
      </c>
      <c r="L1261">
        <f>IF($N1261=1,$E1261*24+$I1261,"")</f>
        <v/>
      </c>
      <c r="M1261">
        <f>IF($N1261=1,$L1261+$K1261,"")</f>
        <v/>
      </c>
      <c r="N1261">
        <f>IF(ISNUMBER(SEARCH(" - ",$H1261&amp;"")),1,0)</f>
        <v/>
      </c>
      <c r="O1261">
        <f>IF(UPPER($H1261&amp;"")="LEAVE",1,0)</f>
        <v/>
      </c>
      <c r="P1261">
        <f>IF($N1261=1,$K1261,0)</f>
        <v/>
      </c>
      <c r="Q1261">
        <f>IF($N1261=0,"",IFERROR($L1261-LOOKUP(2,1/(($B$2:$B1260=$B1261)*($N$2:$N1260=1)),$M$2:$M1260),""))</f>
        <v/>
      </c>
    </row>
    <row r="1262">
      <c r="A1262" t="n">
        <v>1261</v>
      </c>
      <c r="B1262">
        <f>Schedule!$A$183</f>
        <v/>
      </c>
      <c r="C1262">
        <f>Schedule!$D$183</f>
        <v/>
      </c>
      <c r="D1262">
        <f>Schedule!$F$183</f>
        <v/>
      </c>
      <c r="E1262" t="n">
        <v>0</v>
      </c>
      <c r="F1262">
        <f>Schedule!$G$1</f>
        <v/>
      </c>
      <c r="G1262">
        <f>Schedule!$G$2</f>
        <v/>
      </c>
      <c r="H1262">
        <f>Schedule!$G$183</f>
        <v/>
      </c>
      <c r="I1262">
        <f>IF($N1262=1,VALUE(LEFT($H1262,2)),"")</f>
        <v/>
      </c>
      <c r="J1262">
        <f>IF($N1262=1,VALUE(MID($H1262,9,2)),"")</f>
        <v/>
      </c>
      <c r="K1262">
        <f>IF($N1262=1,MOD($J1262-$I1262,24),0)</f>
        <v/>
      </c>
      <c r="L1262">
        <f>IF($N1262=1,$E1262*24+$I1262,"")</f>
        <v/>
      </c>
      <c r="M1262">
        <f>IF($N1262=1,$L1262+$K1262,"")</f>
        <v/>
      </c>
      <c r="N1262">
        <f>IF(ISNUMBER(SEARCH(" - ",$H1262&amp;"")),1,0)</f>
        <v/>
      </c>
      <c r="O1262">
        <f>IF(UPPER($H1262&amp;"")="LEAVE",1,0)</f>
        <v/>
      </c>
      <c r="P1262">
        <f>IF($N1262=1,$K1262,0)</f>
        <v/>
      </c>
      <c r="Q1262">
        <f>IF($N1262=0,"",IFERROR($L1262-'Previous Engine'!$M$182,""))</f>
        <v/>
      </c>
    </row>
    <row r="1263">
      <c r="A1263" t="n">
        <v>1262</v>
      </c>
      <c r="B1263">
        <f>Schedule!$A$183</f>
        <v/>
      </c>
      <c r="C1263">
        <f>Schedule!$D$183</f>
        <v/>
      </c>
      <c r="D1263">
        <f>Schedule!$F$183</f>
        <v/>
      </c>
      <c r="E1263" t="n">
        <v>1</v>
      </c>
      <c r="F1263">
        <f>Schedule!$H$1</f>
        <v/>
      </c>
      <c r="G1263">
        <f>Schedule!$H$2</f>
        <v/>
      </c>
      <c r="H1263">
        <f>Schedule!$H$183</f>
        <v/>
      </c>
      <c r="I1263">
        <f>IF($N1263=1,VALUE(LEFT($H1263,2)),"")</f>
        <v/>
      </c>
      <c r="J1263">
        <f>IF($N1263=1,VALUE(MID($H1263,9,2)),"")</f>
        <v/>
      </c>
      <c r="K1263">
        <f>IF($N1263=1,MOD($J1263-$I1263,24),0)</f>
        <v/>
      </c>
      <c r="L1263">
        <f>IF($N1263=1,$E1263*24+$I1263,"")</f>
        <v/>
      </c>
      <c r="M1263">
        <f>IF($N1263=1,$L1263+$K1263,"")</f>
        <v/>
      </c>
      <c r="N1263">
        <f>IF(ISNUMBER(SEARCH(" - ",$H1263&amp;"")),1,0)</f>
        <v/>
      </c>
      <c r="O1263">
        <f>IF(UPPER($H1263&amp;"")="LEAVE",1,0)</f>
        <v/>
      </c>
      <c r="P1263">
        <f>IF($N1263=1,$K1263,0)</f>
        <v/>
      </c>
      <c r="Q1263">
        <f>IF($N1263=0,"",IFERROR($L1263-LOOKUP(2,1/(($B$2:$B1262=$B1263)*($N$2:$N1262=1)),$M$2:$M1262),""))</f>
        <v/>
      </c>
    </row>
    <row r="1264">
      <c r="A1264" t="n">
        <v>1263</v>
      </c>
      <c r="B1264">
        <f>Schedule!$A$183</f>
        <v/>
      </c>
      <c r="C1264">
        <f>Schedule!$D$183</f>
        <v/>
      </c>
      <c r="D1264">
        <f>Schedule!$F$183</f>
        <v/>
      </c>
      <c r="E1264" t="n">
        <v>2</v>
      </c>
      <c r="F1264">
        <f>Schedule!$I$1</f>
        <v/>
      </c>
      <c r="G1264">
        <f>Schedule!$I$2</f>
        <v/>
      </c>
      <c r="H1264">
        <f>Schedule!$I$183</f>
        <v/>
      </c>
      <c r="I1264">
        <f>IF($N1264=1,VALUE(LEFT($H1264,2)),"")</f>
        <v/>
      </c>
      <c r="J1264">
        <f>IF($N1264=1,VALUE(MID($H1264,9,2)),"")</f>
        <v/>
      </c>
      <c r="K1264">
        <f>IF($N1264=1,MOD($J1264-$I1264,24),0)</f>
        <v/>
      </c>
      <c r="L1264">
        <f>IF($N1264=1,$E1264*24+$I1264,"")</f>
        <v/>
      </c>
      <c r="M1264">
        <f>IF($N1264=1,$L1264+$K1264,"")</f>
        <v/>
      </c>
      <c r="N1264">
        <f>IF(ISNUMBER(SEARCH(" - ",$H1264&amp;"")),1,0)</f>
        <v/>
      </c>
      <c r="O1264">
        <f>IF(UPPER($H1264&amp;"")="LEAVE",1,0)</f>
        <v/>
      </c>
      <c r="P1264">
        <f>IF($N1264=1,$K1264,0)</f>
        <v/>
      </c>
      <c r="Q1264">
        <f>IF($N1264=0,"",IFERROR($L1264-LOOKUP(2,1/(($B$2:$B1263=$B1264)*($N$2:$N1263=1)),$M$2:$M1263),""))</f>
        <v/>
      </c>
    </row>
    <row r="1265">
      <c r="A1265" t="n">
        <v>1264</v>
      </c>
      <c r="B1265">
        <f>Schedule!$A$183</f>
        <v/>
      </c>
      <c r="C1265">
        <f>Schedule!$D$183</f>
        <v/>
      </c>
      <c r="D1265">
        <f>Schedule!$F$183</f>
        <v/>
      </c>
      <c r="E1265" t="n">
        <v>3</v>
      </c>
      <c r="F1265">
        <f>Schedule!$J$1</f>
        <v/>
      </c>
      <c r="G1265">
        <f>Schedule!$J$2</f>
        <v/>
      </c>
      <c r="H1265">
        <f>Schedule!$J$183</f>
        <v/>
      </c>
      <c r="I1265">
        <f>IF($N1265=1,VALUE(LEFT($H1265,2)),"")</f>
        <v/>
      </c>
      <c r="J1265">
        <f>IF($N1265=1,VALUE(MID($H1265,9,2)),"")</f>
        <v/>
      </c>
      <c r="K1265">
        <f>IF($N1265=1,MOD($J1265-$I1265,24),0)</f>
        <v/>
      </c>
      <c r="L1265">
        <f>IF($N1265=1,$E1265*24+$I1265,"")</f>
        <v/>
      </c>
      <c r="M1265">
        <f>IF($N1265=1,$L1265+$K1265,"")</f>
        <v/>
      </c>
      <c r="N1265">
        <f>IF(ISNUMBER(SEARCH(" - ",$H1265&amp;"")),1,0)</f>
        <v/>
      </c>
      <c r="O1265">
        <f>IF(UPPER($H1265&amp;"")="LEAVE",1,0)</f>
        <v/>
      </c>
      <c r="P1265">
        <f>IF($N1265=1,$K1265,0)</f>
        <v/>
      </c>
      <c r="Q1265">
        <f>IF($N1265=0,"",IFERROR($L1265-LOOKUP(2,1/(($B$2:$B1264=$B1265)*($N$2:$N1264=1)),$M$2:$M1264),""))</f>
        <v/>
      </c>
    </row>
    <row r="1266">
      <c r="A1266" t="n">
        <v>1265</v>
      </c>
      <c r="B1266">
        <f>Schedule!$A$183</f>
        <v/>
      </c>
      <c r="C1266">
        <f>Schedule!$D$183</f>
        <v/>
      </c>
      <c r="D1266">
        <f>Schedule!$F$183</f>
        <v/>
      </c>
      <c r="E1266" t="n">
        <v>4</v>
      </c>
      <c r="F1266">
        <f>Schedule!$K$1</f>
        <v/>
      </c>
      <c r="G1266">
        <f>Schedule!$K$2</f>
        <v/>
      </c>
      <c r="H1266">
        <f>Schedule!$K$183</f>
        <v/>
      </c>
      <c r="I1266">
        <f>IF($N1266=1,VALUE(LEFT($H1266,2)),"")</f>
        <v/>
      </c>
      <c r="J1266">
        <f>IF($N1266=1,VALUE(MID($H1266,9,2)),"")</f>
        <v/>
      </c>
      <c r="K1266">
        <f>IF($N1266=1,MOD($J1266-$I1266,24),0)</f>
        <v/>
      </c>
      <c r="L1266">
        <f>IF($N1266=1,$E1266*24+$I1266,"")</f>
        <v/>
      </c>
      <c r="M1266">
        <f>IF($N1266=1,$L1266+$K1266,"")</f>
        <v/>
      </c>
      <c r="N1266">
        <f>IF(ISNUMBER(SEARCH(" - ",$H1266&amp;"")),1,0)</f>
        <v/>
      </c>
      <c r="O1266">
        <f>IF(UPPER($H1266&amp;"")="LEAVE",1,0)</f>
        <v/>
      </c>
      <c r="P1266">
        <f>IF($N1266=1,$K1266,0)</f>
        <v/>
      </c>
      <c r="Q1266">
        <f>IF($N1266=0,"",IFERROR($L1266-LOOKUP(2,1/(($B$2:$B1265=$B1266)*($N$2:$N1265=1)),$M$2:$M1265),""))</f>
        <v/>
      </c>
    </row>
    <row r="1267">
      <c r="A1267" t="n">
        <v>1266</v>
      </c>
      <c r="B1267">
        <f>Schedule!$A$183</f>
        <v/>
      </c>
      <c r="C1267">
        <f>Schedule!$D$183</f>
        <v/>
      </c>
      <c r="D1267">
        <f>Schedule!$F$183</f>
        <v/>
      </c>
      <c r="E1267" t="n">
        <v>5</v>
      </c>
      <c r="F1267">
        <f>Schedule!$L$1</f>
        <v/>
      </c>
      <c r="G1267">
        <f>Schedule!$L$2</f>
        <v/>
      </c>
      <c r="H1267">
        <f>Schedule!$L$183</f>
        <v/>
      </c>
      <c r="I1267">
        <f>IF($N1267=1,VALUE(LEFT($H1267,2)),"")</f>
        <v/>
      </c>
      <c r="J1267">
        <f>IF($N1267=1,VALUE(MID($H1267,9,2)),"")</f>
        <v/>
      </c>
      <c r="K1267">
        <f>IF($N1267=1,MOD($J1267-$I1267,24),0)</f>
        <v/>
      </c>
      <c r="L1267">
        <f>IF($N1267=1,$E1267*24+$I1267,"")</f>
        <v/>
      </c>
      <c r="M1267">
        <f>IF($N1267=1,$L1267+$K1267,"")</f>
        <v/>
      </c>
      <c r="N1267">
        <f>IF(ISNUMBER(SEARCH(" - ",$H1267&amp;"")),1,0)</f>
        <v/>
      </c>
      <c r="O1267">
        <f>IF(UPPER($H1267&amp;"")="LEAVE",1,0)</f>
        <v/>
      </c>
      <c r="P1267">
        <f>IF($N1267=1,$K1267,0)</f>
        <v/>
      </c>
      <c r="Q1267">
        <f>IF($N1267=0,"",IFERROR($L1267-LOOKUP(2,1/(($B$2:$B1266=$B1267)*($N$2:$N1266=1)),$M$2:$M1266),""))</f>
        <v/>
      </c>
    </row>
    <row r="1268">
      <c r="A1268" t="n">
        <v>1267</v>
      </c>
      <c r="B1268">
        <f>Schedule!$A$183</f>
        <v/>
      </c>
      <c r="C1268">
        <f>Schedule!$D$183</f>
        <v/>
      </c>
      <c r="D1268">
        <f>Schedule!$F$183</f>
        <v/>
      </c>
      <c r="E1268" t="n">
        <v>6</v>
      </c>
      <c r="F1268">
        <f>Schedule!$M$1</f>
        <v/>
      </c>
      <c r="G1268">
        <f>Schedule!$M$2</f>
        <v/>
      </c>
      <c r="H1268">
        <f>Schedule!$M$183</f>
        <v/>
      </c>
      <c r="I1268">
        <f>IF($N1268=1,VALUE(LEFT($H1268,2)),"")</f>
        <v/>
      </c>
      <c r="J1268">
        <f>IF($N1268=1,VALUE(MID($H1268,9,2)),"")</f>
        <v/>
      </c>
      <c r="K1268">
        <f>IF($N1268=1,MOD($J1268-$I1268,24),0)</f>
        <v/>
      </c>
      <c r="L1268">
        <f>IF($N1268=1,$E1268*24+$I1268,"")</f>
        <v/>
      </c>
      <c r="M1268">
        <f>IF($N1268=1,$L1268+$K1268,"")</f>
        <v/>
      </c>
      <c r="N1268">
        <f>IF(ISNUMBER(SEARCH(" - ",$H1268&amp;"")),1,0)</f>
        <v/>
      </c>
      <c r="O1268">
        <f>IF(UPPER($H1268&amp;"")="LEAVE",1,0)</f>
        <v/>
      </c>
      <c r="P1268">
        <f>IF($N1268=1,$K1268,0)</f>
        <v/>
      </c>
      <c r="Q1268">
        <f>IF($N1268=0,"",IFERROR($L1268-LOOKUP(2,1/(($B$2:$B1267=$B1268)*($N$2:$N1267=1)),$M$2:$M1267),""))</f>
        <v/>
      </c>
    </row>
    <row r="1269">
      <c r="A1269" t="n">
        <v>1268</v>
      </c>
      <c r="B1269">
        <f>Schedule!$A$184</f>
        <v/>
      </c>
      <c r="C1269">
        <f>Schedule!$D$184</f>
        <v/>
      </c>
      <c r="D1269">
        <f>Schedule!$F$184</f>
        <v/>
      </c>
      <c r="E1269" t="n">
        <v>0</v>
      </c>
      <c r="F1269">
        <f>Schedule!$G$1</f>
        <v/>
      </c>
      <c r="G1269">
        <f>Schedule!$G$2</f>
        <v/>
      </c>
      <c r="H1269">
        <f>Schedule!$G$184</f>
        <v/>
      </c>
      <c r="I1269">
        <f>IF($N1269=1,VALUE(LEFT($H1269,2)),"")</f>
        <v/>
      </c>
      <c r="J1269">
        <f>IF($N1269=1,VALUE(MID($H1269,9,2)),"")</f>
        <v/>
      </c>
      <c r="K1269">
        <f>IF($N1269=1,MOD($J1269-$I1269,24),0)</f>
        <v/>
      </c>
      <c r="L1269">
        <f>IF($N1269=1,$E1269*24+$I1269,"")</f>
        <v/>
      </c>
      <c r="M1269">
        <f>IF($N1269=1,$L1269+$K1269,"")</f>
        <v/>
      </c>
      <c r="N1269">
        <f>IF(ISNUMBER(SEARCH(" - ",$H1269&amp;"")),1,0)</f>
        <v/>
      </c>
      <c r="O1269">
        <f>IF(UPPER($H1269&amp;"")="LEAVE",1,0)</f>
        <v/>
      </c>
      <c r="P1269">
        <f>IF($N1269=1,$K1269,0)</f>
        <v/>
      </c>
      <c r="Q1269">
        <f>IF($N1269=0,"",IFERROR($L1269-'Previous Engine'!$M$183,""))</f>
        <v/>
      </c>
    </row>
    <row r="1270">
      <c r="A1270" t="n">
        <v>1269</v>
      </c>
      <c r="B1270">
        <f>Schedule!$A$184</f>
        <v/>
      </c>
      <c r="C1270">
        <f>Schedule!$D$184</f>
        <v/>
      </c>
      <c r="D1270">
        <f>Schedule!$F$184</f>
        <v/>
      </c>
      <c r="E1270" t="n">
        <v>1</v>
      </c>
      <c r="F1270">
        <f>Schedule!$H$1</f>
        <v/>
      </c>
      <c r="G1270">
        <f>Schedule!$H$2</f>
        <v/>
      </c>
      <c r="H1270">
        <f>Schedule!$H$184</f>
        <v/>
      </c>
      <c r="I1270">
        <f>IF($N1270=1,VALUE(LEFT($H1270,2)),"")</f>
        <v/>
      </c>
      <c r="J1270">
        <f>IF($N1270=1,VALUE(MID($H1270,9,2)),"")</f>
        <v/>
      </c>
      <c r="K1270">
        <f>IF($N1270=1,MOD($J1270-$I1270,24),0)</f>
        <v/>
      </c>
      <c r="L1270">
        <f>IF($N1270=1,$E1270*24+$I1270,"")</f>
        <v/>
      </c>
      <c r="M1270">
        <f>IF($N1270=1,$L1270+$K1270,"")</f>
        <v/>
      </c>
      <c r="N1270">
        <f>IF(ISNUMBER(SEARCH(" - ",$H1270&amp;"")),1,0)</f>
        <v/>
      </c>
      <c r="O1270">
        <f>IF(UPPER($H1270&amp;"")="LEAVE",1,0)</f>
        <v/>
      </c>
      <c r="P1270">
        <f>IF($N1270=1,$K1270,0)</f>
        <v/>
      </c>
      <c r="Q1270">
        <f>IF($N1270=0,"",IFERROR($L1270-LOOKUP(2,1/(($B$2:$B1269=$B1270)*($N$2:$N1269=1)),$M$2:$M1269),""))</f>
        <v/>
      </c>
    </row>
    <row r="1271">
      <c r="A1271" t="n">
        <v>1270</v>
      </c>
      <c r="B1271">
        <f>Schedule!$A$184</f>
        <v/>
      </c>
      <c r="C1271">
        <f>Schedule!$D$184</f>
        <v/>
      </c>
      <c r="D1271">
        <f>Schedule!$F$184</f>
        <v/>
      </c>
      <c r="E1271" t="n">
        <v>2</v>
      </c>
      <c r="F1271">
        <f>Schedule!$I$1</f>
        <v/>
      </c>
      <c r="G1271">
        <f>Schedule!$I$2</f>
        <v/>
      </c>
      <c r="H1271">
        <f>Schedule!$I$184</f>
        <v/>
      </c>
      <c r="I1271">
        <f>IF($N1271=1,VALUE(LEFT($H1271,2)),"")</f>
        <v/>
      </c>
      <c r="J1271">
        <f>IF($N1271=1,VALUE(MID($H1271,9,2)),"")</f>
        <v/>
      </c>
      <c r="K1271">
        <f>IF($N1271=1,MOD($J1271-$I1271,24),0)</f>
        <v/>
      </c>
      <c r="L1271">
        <f>IF($N1271=1,$E1271*24+$I1271,"")</f>
        <v/>
      </c>
      <c r="M1271">
        <f>IF($N1271=1,$L1271+$K1271,"")</f>
        <v/>
      </c>
      <c r="N1271">
        <f>IF(ISNUMBER(SEARCH(" - ",$H1271&amp;"")),1,0)</f>
        <v/>
      </c>
      <c r="O1271">
        <f>IF(UPPER($H1271&amp;"")="LEAVE",1,0)</f>
        <v/>
      </c>
      <c r="P1271">
        <f>IF($N1271=1,$K1271,0)</f>
        <v/>
      </c>
      <c r="Q1271">
        <f>IF($N1271=0,"",IFERROR($L1271-LOOKUP(2,1/(($B$2:$B1270=$B1271)*($N$2:$N1270=1)),$M$2:$M1270),""))</f>
        <v/>
      </c>
    </row>
    <row r="1272">
      <c r="A1272" t="n">
        <v>1271</v>
      </c>
      <c r="B1272">
        <f>Schedule!$A$184</f>
        <v/>
      </c>
      <c r="C1272">
        <f>Schedule!$D$184</f>
        <v/>
      </c>
      <c r="D1272">
        <f>Schedule!$F$184</f>
        <v/>
      </c>
      <c r="E1272" t="n">
        <v>3</v>
      </c>
      <c r="F1272">
        <f>Schedule!$J$1</f>
        <v/>
      </c>
      <c r="G1272">
        <f>Schedule!$J$2</f>
        <v/>
      </c>
      <c r="H1272">
        <f>Schedule!$J$184</f>
        <v/>
      </c>
      <c r="I1272">
        <f>IF($N1272=1,VALUE(LEFT($H1272,2)),"")</f>
        <v/>
      </c>
      <c r="J1272">
        <f>IF($N1272=1,VALUE(MID($H1272,9,2)),"")</f>
        <v/>
      </c>
      <c r="K1272">
        <f>IF($N1272=1,MOD($J1272-$I1272,24),0)</f>
        <v/>
      </c>
      <c r="L1272">
        <f>IF($N1272=1,$E1272*24+$I1272,"")</f>
        <v/>
      </c>
      <c r="M1272">
        <f>IF($N1272=1,$L1272+$K1272,"")</f>
        <v/>
      </c>
      <c r="N1272">
        <f>IF(ISNUMBER(SEARCH(" - ",$H1272&amp;"")),1,0)</f>
        <v/>
      </c>
      <c r="O1272">
        <f>IF(UPPER($H1272&amp;"")="LEAVE",1,0)</f>
        <v/>
      </c>
      <c r="P1272">
        <f>IF($N1272=1,$K1272,0)</f>
        <v/>
      </c>
      <c r="Q1272">
        <f>IF($N1272=0,"",IFERROR($L1272-LOOKUP(2,1/(($B$2:$B1271=$B1272)*($N$2:$N1271=1)),$M$2:$M1271),""))</f>
        <v/>
      </c>
    </row>
    <row r="1273">
      <c r="A1273" t="n">
        <v>1272</v>
      </c>
      <c r="B1273">
        <f>Schedule!$A$184</f>
        <v/>
      </c>
      <c r="C1273">
        <f>Schedule!$D$184</f>
        <v/>
      </c>
      <c r="D1273">
        <f>Schedule!$F$184</f>
        <v/>
      </c>
      <c r="E1273" t="n">
        <v>4</v>
      </c>
      <c r="F1273">
        <f>Schedule!$K$1</f>
        <v/>
      </c>
      <c r="G1273">
        <f>Schedule!$K$2</f>
        <v/>
      </c>
      <c r="H1273">
        <f>Schedule!$K$184</f>
        <v/>
      </c>
      <c r="I1273">
        <f>IF($N1273=1,VALUE(LEFT($H1273,2)),"")</f>
        <v/>
      </c>
      <c r="J1273">
        <f>IF($N1273=1,VALUE(MID($H1273,9,2)),"")</f>
        <v/>
      </c>
      <c r="K1273">
        <f>IF($N1273=1,MOD($J1273-$I1273,24),0)</f>
        <v/>
      </c>
      <c r="L1273">
        <f>IF($N1273=1,$E1273*24+$I1273,"")</f>
        <v/>
      </c>
      <c r="M1273">
        <f>IF($N1273=1,$L1273+$K1273,"")</f>
        <v/>
      </c>
      <c r="N1273">
        <f>IF(ISNUMBER(SEARCH(" - ",$H1273&amp;"")),1,0)</f>
        <v/>
      </c>
      <c r="O1273">
        <f>IF(UPPER($H1273&amp;"")="LEAVE",1,0)</f>
        <v/>
      </c>
      <c r="P1273">
        <f>IF($N1273=1,$K1273,0)</f>
        <v/>
      </c>
      <c r="Q1273">
        <f>IF($N1273=0,"",IFERROR($L1273-LOOKUP(2,1/(($B$2:$B1272=$B1273)*($N$2:$N1272=1)),$M$2:$M1272),""))</f>
        <v/>
      </c>
    </row>
    <row r="1274">
      <c r="A1274" t="n">
        <v>1273</v>
      </c>
      <c r="B1274">
        <f>Schedule!$A$184</f>
        <v/>
      </c>
      <c r="C1274">
        <f>Schedule!$D$184</f>
        <v/>
      </c>
      <c r="D1274">
        <f>Schedule!$F$184</f>
        <v/>
      </c>
      <c r="E1274" t="n">
        <v>5</v>
      </c>
      <c r="F1274">
        <f>Schedule!$L$1</f>
        <v/>
      </c>
      <c r="G1274">
        <f>Schedule!$L$2</f>
        <v/>
      </c>
      <c r="H1274">
        <f>Schedule!$L$184</f>
        <v/>
      </c>
      <c r="I1274">
        <f>IF($N1274=1,VALUE(LEFT($H1274,2)),"")</f>
        <v/>
      </c>
      <c r="J1274">
        <f>IF($N1274=1,VALUE(MID($H1274,9,2)),"")</f>
        <v/>
      </c>
      <c r="K1274">
        <f>IF($N1274=1,MOD($J1274-$I1274,24),0)</f>
        <v/>
      </c>
      <c r="L1274">
        <f>IF($N1274=1,$E1274*24+$I1274,"")</f>
        <v/>
      </c>
      <c r="M1274">
        <f>IF($N1274=1,$L1274+$K1274,"")</f>
        <v/>
      </c>
      <c r="N1274">
        <f>IF(ISNUMBER(SEARCH(" - ",$H1274&amp;"")),1,0)</f>
        <v/>
      </c>
      <c r="O1274">
        <f>IF(UPPER($H1274&amp;"")="LEAVE",1,0)</f>
        <v/>
      </c>
      <c r="P1274">
        <f>IF($N1274=1,$K1274,0)</f>
        <v/>
      </c>
      <c r="Q1274">
        <f>IF($N1274=0,"",IFERROR($L1274-LOOKUP(2,1/(($B$2:$B1273=$B1274)*($N$2:$N1273=1)),$M$2:$M1273),""))</f>
        <v/>
      </c>
    </row>
    <row r="1275">
      <c r="A1275" t="n">
        <v>1274</v>
      </c>
      <c r="B1275">
        <f>Schedule!$A$184</f>
        <v/>
      </c>
      <c r="C1275">
        <f>Schedule!$D$184</f>
        <v/>
      </c>
      <c r="D1275">
        <f>Schedule!$F$184</f>
        <v/>
      </c>
      <c r="E1275" t="n">
        <v>6</v>
      </c>
      <c r="F1275">
        <f>Schedule!$M$1</f>
        <v/>
      </c>
      <c r="G1275">
        <f>Schedule!$M$2</f>
        <v/>
      </c>
      <c r="H1275">
        <f>Schedule!$M$184</f>
        <v/>
      </c>
      <c r="I1275">
        <f>IF($N1275=1,VALUE(LEFT($H1275,2)),"")</f>
        <v/>
      </c>
      <c r="J1275">
        <f>IF($N1275=1,VALUE(MID($H1275,9,2)),"")</f>
        <v/>
      </c>
      <c r="K1275">
        <f>IF($N1275=1,MOD($J1275-$I1275,24),0)</f>
        <v/>
      </c>
      <c r="L1275">
        <f>IF($N1275=1,$E1275*24+$I1275,"")</f>
        <v/>
      </c>
      <c r="M1275">
        <f>IF($N1275=1,$L1275+$K1275,"")</f>
        <v/>
      </c>
      <c r="N1275">
        <f>IF(ISNUMBER(SEARCH(" - ",$H1275&amp;"")),1,0)</f>
        <v/>
      </c>
      <c r="O1275">
        <f>IF(UPPER($H1275&amp;"")="LEAVE",1,0)</f>
        <v/>
      </c>
      <c r="P1275">
        <f>IF($N1275=1,$K1275,0)</f>
        <v/>
      </c>
      <c r="Q1275">
        <f>IF($N1275=0,"",IFERROR($L1275-LOOKUP(2,1/(($B$2:$B1274=$B1275)*($N$2:$N1274=1)),$M$2:$M1274),""))</f>
        <v/>
      </c>
    </row>
    <row r="1276">
      <c r="A1276" t="n">
        <v>1275</v>
      </c>
      <c r="B1276">
        <f>Schedule!$A$185</f>
        <v/>
      </c>
      <c r="C1276">
        <f>Schedule!$D$185</f>
        <v/>
      </c>
      <c r="D1276">
        <f>Schedule!$F$185</f>
        <v/>
      </c>
      <c r="E1276" t="n">
        <v>0</v>
      </c>
      <c r="F1276">
        <f>Schedule!$G$1</f>
        <v/>
      </c>
      <c r="G1276">
        <f>Schedule!$G$2</f>
        <v/>
      </c>
      <c r="H1276">
        <f>Schedule!$G$185</f>
        <v/>
      </c>
      <c r="I1276">
        <f>IF($N1276=1,VALUE(LEFT($H1276,2)),"")</f>
        <v/>
      </c>
      <c r="J1276">
        <f>IF($N1276=1,VALUE(MID($H1276,9,2)),"")</f>
        <v/>
      </c>
      <c r="K1276">
        <f>IF($N1276=1,MOD($J1276-$I1276,24),0)</f>
        <v/>
      </c>
      <c r="L1276">
        <f>IF($N1276=1,$E1276*24+$I1276,"")</f>
        <v/>
      </c>
      <c r="M1276">
        <f>IF($N1276=1,$L1276+$K1276,"")</f>
        <v/>
      </c>
      <c r="N1276">
        <f>IF(ISNUMBER(SEARCH(" - ",$H1276&amp;"")),1,0)</f>
        <v/>
      </c>
      <c r="O1276">
        <f>IF(UPPER($H1276&amp;"")="LEAVE",1,0)</f>
        <v/>
      </c>
      <c r="P1276">
        <f>IF($N1276=1,$K1276,0)</f>
        <v/>
      </c>
      <c r="Q1276">
        <f>IF($N1276=0,"",IFERROR($L1276-'Previous Engine'!$M$184,""))</f>
        <v/>
      </c>
    </row>
    <row r="1277">
      <c r="A1277" t="n">
        <v>1276</v>
      </c>
      <c r="B1277">
        <f>Schedule!$A$185</f>
        <v/>
      </c>
      <c r="C1277">
        <f>Schedule!$D$185</f>
        <v/>
      </c>
      <c r="D1277">
        <f>Schedule!$F$185</f>
        <v/>
      </c>
      <c r="E1277" t="n">
        <v>1</v>
      </c>
      <c r="F1277">
        <f>Schedule!$H$1</f>
        <v/>
      </c>
      <c r="G1277">
        <f>Schedule!$H$2</f>
        <v/>
      </c>
      <c r="H1277">
        <f>Schedule!$H$185</f>
        <v/>
      </c>
      <c r="I1277">
        <f>IF($N1277=1,VALUE(LEFT($H1277,2)),"")</f>
        <v/>
      </c>
      <c r="J1277">
        <f>IF($N1277=1,VALUE(MID($H1277,9,2)),"")</f>
        <v/>
      </c>
      <c r="K1277">
        <f>IF($N1277=1,MOD($J1277-$I1277,24),0)</f>
        <v/>
      </c>
      <c r="L1277">
        <f>IF($N1277=1,$E1277*24+$I1277,"")</f>
        <v/>
      </c>
      <c r="M1277">
        <f>IF($N1277=1,$L1277+$K1277,"")</f>
        <v/>
      </c>
      <c r="N1277">
        <f>IF(ISNUMBER(SEARCH(" - ",$H1277&amp;"")),1,0)</f>
        <v/>
      </c>
      <c r="O1277">
        <f>IF(UPPER($H1277&amp;"")="LEAVE",1,0)</f>
        <v/>
      </c>
      <c r="P1277">
        <f>IF($N1277=1,$K1277,0)</f>
        <v/>
      </c>
      <c r="Q1277">
        <f>IF($N1277=0,"",IFERROR($L1277-LOOKUP(2,1/(($B$2:$B1276=$B1277)*($N$2:$N1276=1)),$M$2:$M1276),""))</f>
        <v/>
      </c>
    </row>
    <row r="1278">
      <c r="A1278" t="n">
        <v>1277</v>
      </c>
      <c r="B1278">
        <f>Schedule!$A$185</f>
        <v/>
      </c>
      <c r="C1278">
        <f>Schedule!$D$185</f>
        <v/>
      </c>
      <c r="D1278">
        <f>Schedule!$F$185</f>
        <v/>
      </c>
      <c r="E1278" t="n">
        <v>2</v>
      </c>
      <c r="F1278">
        <f>Schedule!$I$1</f>
        <v/>
      </c>
      <c r="G1278">
        <f>Schedule!$I$2</f>
        <v/>
      </c>
      <c r="H1278">
        <f>Schedule!$I$185</f>
        <v/>
      </c>
      <c r="I1278">
        <f>IF($N1278=1,VALUE(LEFT($H1278,2)),"")</f>
        <v/>
      </c>
      <c r="J1278">
        <f>IF($N1278=1,VALUE(MID($H1278,9,2)),"")</f>
        <v/>
      </c>
      <c r="K1278">
        <f>IF($N1278=1,MOD($J1278-$I1278,24),0)</f>
        <v/>
      </c>
      <c r="L1278">
        <f>IF($N1278=1,$E1278*24+$I1278,"")</f>
        <v/>
      </c>
      <c r="M1278">
        <f>IF($N1278=1,$L1278+$K1278,"")</f>
        <v/>
      </c>
      <c r="N1278">
        <f>IF(ISNUMBER(SEARCH(" - ",$H1278&amp;"")),1,0)</f>
        <v/>
      </c>
      <c r="O1278">
        <f>IF(UPPER($H1278&amp;"")="LEAVE",1,0)</f>
        <v/>
      </c>
      <c r="P1278">
        <f>IF($N1278=1,$K1278,0)</f>
        <v/>
      </c>
      <c r="Q1278">
        <f>IF($N1278=0,"",IFERROR($L1278-LOOKUP(2,1/(($B$2:$B1277=$B1278)*($N$2:$N1277=1)),$M$2:$M1277),""))</f>
        <v/>
      </c>
    </row>
    <row r="1279">
      <c r="A1279" t="n">
        <v>1278</v>
      </c>
      <c r="B1279">
        <f>Schedule!$A$185</f>
        <v/>
      </c>
      <c r="C1279">
        <f>Schedule!$D$185</f>
        <v/>
      </c>
      <c r="D1279">
        <f>Schedule!$F$185</f>
        <v/>
      </c>
      <c r="E1279" t="n">
        <v>3</v>
      </c>
      <c r="F1279">
        <f>Schedule!$J$1</f>
        <v/>
      </c>
      <c r="G1279">
        <f>Schedule!$J$2</f>
        <v/>
      </c>
      <c r="H1279">
        <f>Schedule!$J$185</f>
        <v/>
      </c>
      <c r="I1279">
        <f>IF($N1279=1,VALUE(LEFT($H1279,2)),"")</f>
        <v/>
      </c>
      <c r="J1279">
        <f>IF($N1279=1,VALUE(MID($H1279,9,2)),"")</f>
        <v/>
      </c>
      <c r="K1279">
        <f>IF($N1279=1,MOD($J1279-$I1279,24),0)</f>
        <v/>
      </c>
      <c r="L1279">
        <f>IF($N1279=1,$E1279*24+$I1279,"")</f>
        <v/>
      </c>
      <c r="M1279">
        <f>IF($N1279=1,$L1279+$K1279,"")</f>
        <v/>
      </c>
      <c r="N1279">
        <f>IF(ISNUMBER(SEARCH(" - ",$H1279&amp;"")),1,0)</f>
        <v/>
      </c>
      <c r="O1279">
        <f>IF(UPPER($H1279&amp;"")="LEAVE",1,0)</f>
        <v/>
      </c>
      <c r="P1279">
        <f>IF($N1279=1,$K1279,0)</f>
        <v/>
      </c>
      <c r="Q1279">
        <f>IF($N1279=0,"",IFERROR($L1279-LOOKUP(2,1/(($B$2:$B1278=$B1279)*($N$2:$N1278=1)),$M$2:$M1278),""))</f>
        <v/>
      </c>
    </row>
    <row r="1280">
      <c r="A1280" t="n">
        <v>1279</v>
      </c>
      <c r="B1280">
        <f>Schedule!$A$185</f>
        <v/>
      </c>
      <c r="C1280">
        <f>Schedule!$D$185</f>
        <v/>
      </c>
      <c r="D1280">
        <f>Schedule!$F$185</f>
        <v/>
      </c>
      <c r="E1280" t="n">
        <v>4</v>
      </c>
      <c r="F1280">
        <f>Schedule!$K$1</f>
        <v/>
      </c>
      <c r="G1280">
        <f>Schedule!$K$2</f>
        <v/>
      </c>
      <c r="H1280">
        <f>Schedule!$K$185</f>
        <v/>
      </c>
      <c r="I1280">
        <f>IF($N1280=1,VALUE(LEFT($H1280,2)),"")</f>
        <v/>
      </c>
      <c r="J1280">
        <f>IF($N1280=1,VALUE(MID($H1280,9,2)),"")</f>
        <v/>
      </c>
      <c r="K1280">
        <f>IF($N1280=1,MOD($J1280-$I1280,24),0)</f>
        <v/>
      </c>
      <c r="L1280">
        <f>IF($N1280=1,$E1280*24+$I1280,"")</f>
        <v/>
      </c>
      <c r="M1280">
        <f>IF($N1280=1,$L1280+$K1280,"")</f>
        <v/>
      </c>
      <c r="N1280">
        <f>IF(ISNUMBER(SEARCH(" - ",$H1280&amp;"")),1,0)</f>
        <v/>
      </c>
      <c r="O1280">
        <f>IF(UPPER($H1280&amp;"")="LEAVE",1,0)</f>
        <v/>
      </c>
      <c r="P1280">
        <f>IF($N1280=1,$K1280,0)</f>
        <v/>
      </c>
      <c r="Q1280">
        <f>IF($N1280=0,"",IFERROR($L1280-LOOKUP(2,1/(($B$2:$B1279=$B1280)*($N$2:$N1279=1)),$M$2:$M1279),""))</f>
        <v/>
      </c>
    </row>
    <row r="1281">
      <c r="A1281" t="n">
        <v>1280</v>
      </c>
      <c r="B1281">
        <f>Schedule!$A$185</f>
        <v/>
      </c>
      <c r="C1281">
        <f>Schedule!$D$185</f>
        <v/>
      </c>
      <c r="D1281">
        <f>Schedule!$F$185</f>
        <v/>
      </c>
      <c r="E1281" t="n">
        <v>5</v>
      </c>
      <c r="F1281">
        <f>Schedule!$L$1</f>
        <v/>
      </c>
      <c r="G1281">
        <f>Schedule!$L$2</f>
        <v/>
      </c>
      <c r="H1281">
        <f>Schedule!$L$185</f>
        <v/>
      </c>
      <c r="I1281">
        <f>IF($N1281=1,VALUE(LEFT($H1281,2)),"")</f>
        <v/>
      </c>
      <c r="J1281">
        <f>IF($N1281=1,VALUE(MID($H1281,9,2)),"")</f>
        <v/>
      </c>
      <c r="K1281">
        <f>IF($N1281=1,MOD($J1281-$I1281,24),0)</f>
        <v/>
      </c>
      <c r="L1281">
        <f>IF($N1281=1,$E1281*24+$I1281,"")</f>
        <v/>
      </c>
      <c r="M1281">
        <f>IF($N1281=1,$L1281+$K1281,"")</f>
        <v/>
      </c>
      <c r="N1281">
        <f>IF(ISNUMBER(SEARCH(" - ",$H1281&amp;"")),1,0)</f>
        <v/>
      </c>
      <c r="O1281">
        <f>IF(UPPER($H1281&amp;"")="LEAVE",1,0)</f>
        <v/>
      </c>
      <c r="P1281">
        <f>IF($N1281=1,$K1281,0)</f>
        <v/>
      </c>
      <c r="Q1281">
        <f>IF($N1281=0,"",IFERROR($L1281-LOOKUP(2,1/(($B$2:$B1280=$B1281)*($N$2:$N1280=1)),$M$2:$M1280),""))</f>
        <v/>
      </c>
    </row>
    <row r="1282">
      <c r="A1282" t="n">
        <v>1281</v>
      </c>
      <c r="B1282">
        <f>Schedule!$A$185</f>
        <v/>
      </c>
      <c r="C1282">
        <f>Schedule!$D$185</f>
        <v/>
      </c>
      <c r="D1282">
        <f>Schedule!$F$185</f>
        <v/>
      </c>
      <c r="E1282" t="n">
        <v>6</v>
      </c>
      <c r="F1282">
        <f>Schedule!$M$1</f>
        <v/>
      </c>
      <c r="G1282">
        <f>Schedule!$M$2</f>
        <v/>
      </c>
      <c r="H1282">
        <f>Schedule!$M$185</f>
        <v/>
      </c>
      <c r="I1282">
        <f>IF($N1282=1,VALUE(LEFT($H1282,2)),"")</f>
        <v/>
      </c>
      <c r="J1282">
        <f>IF($N1282=1,VALUE(MID($H1282,9,2)),"")</f>
        <v/>
      </c>
      <c r="K1282">
        <f>IF($N1282=1,MOD($J1282-$I1282,24),0)</f>
        <v/>
      </c>
      <c r="L1282">
        <f>IF($N1282=1,$E1282*24+$I1282,"")</f>
        <v/>
      </c>
      <c r="M1282">
        <f>IF($N1282=1,$L1282+$K1282,"")</f>
        <v/>
      </c>
      <c r="N1282">
        <f>IF(ISNUMBER(SEARCH(" - ",$H1282&amp;"")),1,0)</f>
        <v/>
      </c>
      <c r="O1282">
        <f>IF(UPPER($H1282&amp;"")="LEAVE",1,0)</f>
        <v/>
      </c>
      <c r="P1282">
        <f>IF($N1282=1,$K1282,0)</f>
        <v/>
      </c>
      <c r="Q1282">
        <f>IF($N1282=0,"",IFERROR($L1282-LOOKUP(2,1/(($B$2:$B1281=$B1282)*($N$2:$N1281=1)),$M$2:$M1281),""))</f>
        <v/>
      </c>
    </row>
    <row r="1283">
      <c r="A1283" t="n">
        <v>1282</v>
      </c>
      <c r="B1283">
        <f>Schedule!$A$186</f>
        <v/>
      </c>
      <c r="C1283">
        <f>Schedule!$D$186</f>
        <v/>
      </c>
      <c r="D1283">
        <f>Schedule!$F$186</f>
        <v/>
      </c>
      <c r="E1283" t="n">
        <v>0</v>
      </c>
      <c r="F1283">
        <f>Schedule!$G$1</f>
        <v/>
      </c>
      <c r="G1283">
        <f>Schedule!$G$2</f>
        <v/>
      </c>
      <c r="H1283">
        <f>Schedule!$G$186</f>
        <v/>
      </c>
      <c r="I1283">
        <f>IF($N1283=1,VALUE(LEFT($H1283,2)),"")</f>
        <v/>
      </c>
      <c r="J1283">
        <f>IF($N1283=1,VALUE(MID($H1283,9,2)),"")</f>
        <v/>
      </c>
      <c r="K1283">
        <f>IF($N1283=1,MOD($J1283-$I1283,24),0)</f>
        <v/>
      </c>
      <c r="L1283">
        <f>IF($N1283=1,$E1283*24+$I1283,"")</f>
        <v/>
      </c>
      <c r="M1283">
        <f>IF($N1283=1,$L1283+$K1283,"")</f>
        <v/>
      </c>
      <c r="N1283">
        <f>IF(ISNUMBER(SEARCH(" - ",$H1283&amp;"")),1,0)</f>
        <v/>
      </c>
      <c r="O1283">
        <f>IF(UPPER($H1283&amp;"")="LEAVE",1,0)</f>
        <v/>
      </c>
      <c r="P1283">
        <f>IF($N1283=1,$K1283,0)</f>
        <v/>
      </c>
      <c r="Q1283">
        <f>IF($N1283=0,"",IFERROR($L1283-'Previous Engine'!$M$185,""))</f>
        <v/>
      </c>
    </row>
    <row r="1284">
      <c r="A1284" t="n">
        <v>1283</v>
      </c>
      <c r="B1284">
        <f>Schedule!$A$186</f>
        <v/>
      </c>
      <c r="C1284">
        <f>Schedule!$D$186</f>
        <v/>
      </c>
      <c r="D1284">
        <f>Schedule!$F$186</f>
        <v/>
      </c>
      <c r="E1284" t="n">
        <v>1</v>
      </c>
      <c r="F1284">
        <f>Schedule!$H$1</f>
        <v/>
      </c>
      <c r="G1284">
        <f>Schedule!$H$2</f>
        <v/>
      </c>
      <c r="H1284">
        <f>Schedule!$H$186</f>
        <v/>
      </c>
      <c r="I1284">
        <f>IF($N1284=1,VALUE(LEFT($H1284,2)),"")</f>
        <v/>
      </c>
      <c r="J1284">
        <f>IF($N1284=1,VALUE(MID($H1284,9,2)),"")</f>
        <v/>
      </c>
      <c r="K1284">
        <f>IF($N1284=1,MOD($J1284-$I1284,24),0)</f>
        <v/>
      </c>
      <c r="L1284">
        <f>IF($N1284=1,$E1284*24+$I1284,"")</f>
        <v/>
      </c>
      <c r="M1284">
        <f>IF($N1284=1,$L1284+$K1284,"")</f>
        <v/>
      </c>
      <c r="N1284">
        <f>IF(ISNUMBER(SEARCH(" - ",$H1284&amp;"")),1,0)</f>
        <v/>
      </c>
      <c r="O1284">
        <f>IF(UPPER($H1284&amp;"")="LEAVE",1,0)</f>
        <v/>
      </c>
      <c r="P1284">
        <f>IF($N1284=1,$K1284,0)</f>
        <v/>
      </c>
      <c r="Q1284">
        <f>IF($N1284=0,"",IFERROR($L1284-LOOKUP(2,1/(($B$2:$B1283=$B1284)*($N$2:$N1283=1)),$M$2:$M1283),""))</f>
        <v/>
      </c>
    </row>
    <row r="1285">
      <c r="A1285" t="n">
        <v>1284</v>
      </c>
      <c r="B1285">
        <f>Schedule!$A$186</f>
        <v/>
      </c>
      <c r="C1285">
        <f>Schedule!$D$186</f>
        <v/>
      </c>
      <c r="D1285">
        <f>Schedule!$F$186</f>
        <v/>
      </c>
      <c r="E1285" t="n">
        <v>2</v>
      </c>
      <c r="F1285">
        <f>Schedule!$I$1</f>
        <v/>
      </c>
      <c r="G1285">
        <f>Schedule!$I$2</f>
        <v/>
      </c>
      <c r="H1285">
        <f>Schedule!$I$186</f>
        <v/>
      </c>
      <c r="I1285">
        <f>IF($N1285=1,VALUE(LEFT($H1285,2)),"")</f>
        <v/>
      </c>
      <c r="J1285">
        <f>IF($N1285=1,VALUE(MID($H1285,9,2)),"")</f>
        <v/>
      </c>
      <c r="K1285">
        <f>IF($N1285=1,MOD($J1285-$I1285,24),0)</f>
        <v/>
      </c>
      <c r="L1285">
        <f>IF($N1285=1,$E1285*24+$I1285,"")</f>
        <v/>
      </c>
      <c r="M1285">
        <f>IF($N1285=1,$L1285+$K1285,"")</f>
        <v/>
      </c>
      <c r="N1285">
        <f>IF(ISNUMBER(SEARCH(" - ",$H1285&amp;"")),1,0)</f>
        <v/>
      </c>
      <c r="O1285">
        <f>IF(UPPER($H1285&amp;"")="LEAVE",1,0)</f>
        <v/>
      </c>
      <c r="P1285">
        <f>IF($N1285=1,$K1285,0)</f>
        <v/>
      </c>
      <c r="Q1285">
        <f>IF($N1285=0,"",IFERROR($L1285-LOOKUP(2,1/(($B$2:$B1284=$B1285)*($N$2:$N1284=1)),$M$2:$M1284),""))</f>
        <v/>
      </c>
    </row>
    <row r="1286">
      <c r="A1286" t="n">
        <v>1285</v>
      </c>
      <c r="B1286">
        <f>Schedule!$A$186</f>
        <v/>
      </c>
      <c r="C1286">
        <f>Schedule!$D$186</f>
        <v/>
      </c>
      <c r="D1286">
        <f>Schedule!$F$186</f>
        <v/>
      </c>
      <c r="E1286" t="n">
        <v>3</v>
      </c>
      <c r="F1286">
        <f>Schedule!$J$1</f>
        <v/>
      </c>
      <c r="G1286">
        <f>Schedule!$J$2</f>
        <v/>
      </c>
      <c r="H1286">
        <f>Schedule!$J$186</f>
        <v/>
      </c>
      <c r="I1286">
        <f>IF($N1286=1,VALUE(LEFT($H1286,2)),"")</f>
        <v/>
      </c>
      <c r="J1286">
        <f>IF($N1286=1,VALUE(MID($H1286,9,2)),"")</f>
        <v/>
      </c>
      <c r="K1286">
        <f>IF($N1286=1,MOD($J1286-$I1286,24),0)</f>
        <v/>
      </c>
      <c r="L1286">
        <f>IF($N1286=1,$E1286*24+$I1286,"")</f>
        <v/>
      </c>
      <c r="M1286">
        <f>IF($N1286=1,$L1286+$K1286,"")</f>
        <v/>
      </c>
      <c r="N1286">
        <f>IF(ISNUMBER(SEARCH(" - ",$H1286&amp;"")),1,0)</f>
        <v/>
      </c>
      <c r="O1286">
        <f>IF(UPPER($H1286&amp;"")="LEAVE",1,0)</f>
        <v/>
      </c>
      <c r="P1286">
        <f>IF($N1286=1,$K1286,0)</f>
        <v/>
      </c>
      <c r="Q1286">
        <f>IF($N1286=0,"",IFERROR($L1286-LOOKUP(2,1/(($B$2:$B1285=$B1286)*($N$2:$N1285=1)),$M$2:$M1285),""))</f>
        <v/>
      </c>
    </row>
    <row r="1287">
      <c r="A1287" t="n">
        <v>1286</v>
      </c>
      <c r="B1287">
        <f>Schedule!$A$186</f>
        <v/>
      </c>
      <c r="C1287">
        <f>Schedule!$D$186</f>
        <v/>
      </c>
      <c r="D1287">
        <f>Schedule!$F$186</f>
        <v/>
      </c>
      <c r="E1287" t="n">
        <v>4</v>
      </c>
      <c r="F1287">
        <f>Schedule!$K$1</f>
        <v/>
      </c>
      <c r="G1287">
        <f>Schedule!$K$2</f>
        <v/>
      </c>
      <c r="H1287">
        <f>Schedule!$K$186</f>
        <v/>
      </c>
      <c r="I1287">
        <f>IF($N1287=1,VALUE(LEFT($H1287,2)),"")</f>
        <v/>
      </c>
      <c r="J1287">
        <f>IF($N1287=1,VALUE(MID($H1287,9,2)),"")</f>
        <v/>
      </c>
      <c r="K1287">
        <f>IF($N1287=1,MOD($J1287-$I1287,24),0)</f>
        <v/>
      </c>
      <c r="L1287">
        <f>IF($N1287=1,$E1287*24+$I1287,"")</f>
        <v/>
      </c>
      <c r="M1287">
        <f>IF($N1287=1,$L1287+$K1287,"")</f>
        <v/>
      </c>
      <c r="N1287">
        <f>IF(ISNUMBER(SEARCH(" - ",$H1287&amp;"")),1,0)</f>
        <v/>
      </c>
      <c r="O1287">
        <f>IF(UPPER($H1287&amp;"")="LEAVE",1,0)</f>
        <v/>
      </c>
      <c r="P1287">
        <f>IF($N1287=1,$K1287,0)</f>
        <v/>
      </c>
      <c r="Q1287">
        <f>IF($N1287=0,"",IFERROR($L1287-LOOKUP(2,1/(($B$2:$B1286=$B1287)*($N$2:$N1286=1)),$M$2:$M1286),""))</f>
        <v/>
      </c>
    </row>
    <row r="1288">
      <c r="A1288" t="n">
        <v>1287</v>
      </c>
      <c r="B1288">
        <f>Schedule!$A$186</f>
        <v/>
      </c>
      <c r="C1288">
        <f>Schedule!$D$186</f>
        <v/>
      </c>
      <c r="D1288">
        <f>Schedule!$F$186</f>
        <v/>
      </c>
      <c r="E1288" t="n">
        <v>5</v>
      </c>
      <c r="F1288">
        <f>Schedule!$L$1</f>
        <v/>
      </c>
      <c r="G1288">
        <f>Schedule!$L$2</f>
        <v/>
      </c>
      <c r="H1288">
        <f>Schedule!$L$186</f>
        <v/>
      </c>
      <c r="I1288">
        <f>IF($N1288=1,VALUE(LEFT($H1288,2)),"")</f>
        <v/>
      </c>
      <c r="J1288">
        <f>IF($N1288=1,VALUE(MID($H1288,9,2)),"")</f>
        <v/>
      </c>
      <c r="K1288">
        <f>IF($N1288=1,MOD($J1288-$I1288,24),0)</f>
        <v/>
      </c>
      <c r="L1288">
        <f>IF($N1288=1,$E1288*24+$I1288,"")</f>
        <v/>
      </c>
      <c r="M1288">
        <f>IF($N1288=1,$L1288+$K1288,"")</f>
        <v/>
      </c>
      <c r="N1288">
        <f>IF(ISNUMBER(SEARCH(" - ",$H1288&amp;"")),1,0)</f>
        <v/>
      </c>
      <c r="O1288">
        <f>IF(UPPER($H1288&amp;"")="LEAVE",1,0)</f>
        <v/>
      </c>
      <c r="P1288">
        <f>IF($N1288=1,$K1288,0)</f>
        <v/>
      </c>
      <c r="Q1288">
        <f>IF($N1288=0,"",IFERROR($L1288-LOOKUP(2,1/(($B$2:$B1287=$B1288)*($N$2:$N1287=1)),$M$2:$M1287),""))</f>
        <v/>
      </c>
    </row>
    <row r="1289">
      <c r="A1289" t="n">
        <v>1288</v>
      </c>
      <c r="B1289">
        <f>Schedule!$A$186</f>
        <v/>
      </c>
      <c r="C1289">
        <f>Schedule!$D$186</f>
        <v/>
      </c>
      <c r="D1289">
        <f>Schedule!$F$186</f>
        <v/>
      </c>
      <c r="E1289" t="n">
        <v>6</v>
      </c>
      <c r="F1289">
        <f>Schedule!$M$1</f>
        <v/>
      </c>
      <c r="G1289">
        <f>Schedule!$M$2</f>
        <v/>
      </c>
      <c r="H1289">
        <f>Schedule!$M$186</f>
        <v/>
      </c>
      <c r="I1289">
        <f>IF($N1289=1,VALUE(LEFT($H1289,2)),"")</f>
        <v/>
      </c>
      <c r="J1289">
        <f>IF($N1289=1,VALUE(MID($H1289,9,2)),"")</f>
        <v/>
      </c>
      <c r="K1289">
        <f>IF($N1289=1,MOD($J1289-$I1289,24),0)</f>
        <v/>
      </c>
      <c r="L1289">
        <f>IF($N1289=1,$E1289*24+$I1289,"")</f>
        <v/>
      </c>
      <c r="M1289">
        <f>IF($N1289=1,$L1289+$K1289,"")</f>
        <v/>
      </c>
      <c r="N1289">
        <f>IF(ISNUMBER(SEARCH(" - ",$H1289&amp;"")),1,0)</f>
        <v/>
      </c>
      <c r="O1289">
        <f>IF(UPPER($H1289&amp;"")="LEAVE",1,0)</f>
        <v/>
      </c>
      <c r="P1289">
        <f>IF($N1289=1,$K1289,0)</f>
        <v/>
      </c>
      <c r="Q1289">
        <f>IF($N1289=0,"",IFERROR($L1289-LOOKUP(2,1/(($B$2:$B1288=$B1289)*($N$2:$N1288=1)),$M$2:$M1288),""))</f>
        <v/>
      </c>
    </row>
    <row r="1290">
      <c r="A1290" t="n">
        <v>1289</v>
      </c>
      <c r="B1290">
        <f>Schedule!$A$187</f>
        <v/>
      </c>
      <c r="C1290">
        <f>Schedule!$D$187</f>
        <v/>
      </c>
      <c r="D1290">
        <f>Schedule!$F$187</f>
        <v/>
      </c>
      <c r="E1290" t="n">
        <v>0</v>
      </c>
      <c r="F1290">
        <f>Schedule!$G$1</f>
        <v/>
      </c>
      <c r="G1290">
        <f>Schedule!$G$2</f>
        <v/>
      </c>
      <c r="H1290">
        <f>Schedule!$G$187</f>
        <v/>
      </c>
      <c r="I1290">
        <f>IF($N1290=1,VALUE(LEFT($H1290,2)),"")</f>
        <v/>
      </c>
      <c r="J1290">
        <f>IF($N1290=1,VALUE(MID($H1290,9,2)),"")</f>
        <v/>
      </c>
      <c r="K1290">
        <f>IF($N1290=1,MOD($J1290-$I1290,24),0)</f>
        <v/>
      </c>
      <c r="L1290">
        <f>IF($N1290=1,$E1290*24+$I1290,"")</f>
        <v/>
      </c>
      <c r="M1290">
        <f>IF($N1290=1,$L1290+$K1290,"")</f>
        <v/>
      </c>
      <c r="N1290">
        <f>IF(ISNUMBER(SEARCH(" - ",$H1290&amp;"")),1,0)</f>
        <v/>
      </c>
      <c r="O1290">
        <f>IF(UPPER($H1290&amp;"")="LEAVE",1,0)</f>
        <v/>
      </c>
      <c r="P1290">
        <f>IF($N1290=1,$K1290,0)</f>
        <v/>
      </c>
      <c r="Q1290">
        <f>IF($N1290=0,"",IFERROR($L1290-'Previous Engine'!$M$186,""))</f>
        <v/>
      </c>
    </row>
    <row r="1291">
      <c r="A1291" t="n">
        <v>1290</v>
      </c>
      <c r="B1291">
        <f>Schedule!$A$187</f>
        <v/>
      </c>
      <c r="C1291">
        <f>Schedule!$D$187</f>
        <v/>
      </c>
      <c r="D1291">
        <f>Schedule!$F$187</f>
        <v/>
      </c>
      <c r="E1291" t="n">
        <v>1</v>
      </c>
      <c r="F1291">
        <f>Schedule!$H$1</f>
        <v/>
      </c>
      <c r="G1291">
        <f>Schedule!$H$2</f>
        <v/>
      </c>
      <c r="H1291">
        <f>Schedule!$H$187</f>
        <v/>
      </c>
      <c r="I1291">
        <f>IF($N1291=1,VALUE(LEFT($H1291,2)),"")</f>
        <v/>
      </c>
      <c r="J1291">
        <f>IF($N1291=1,VALUE(MID($H1291,9,2)),"")</f>
        <v/>
      </c>
      <c r="K1291">
        <f>IF($N1291=1,MOD($J1291-$I1291,24),0)</f>
        <v/>
      </c>
      <c r="L1291">
        <f>IF($N1291=1,$E1291*24+$I1291,"")</f>
        <v/>
      </c>
      <c r="M1291">
        <f>IF($N1291=1,$L1291+$K1291,"")</f>
        <v/>
      </c>
      <c r="N1291">
        <f>IF(ISNUMBER(SEARCH(" - ",$H1291&amp;"")),1,0)</f>
        <v/>
      </c>
      <c r="O1291">
        <f>IF(UPPER($H1291&amp;"")="LEAVE",1,0)</f>
        <v/>
      </c>
      <c r="P1291">
        <f>IF($N1291=1,$K1291,0)</f>
        <v/>
      </c>
      <c r="Q1291">
        <f>IF($N1291=0,"",IFERROR($L1291-LOOKUP(2,1/(($B$2:$B1290=$B1291)*($N$2:$N1290=1)),$M$2:$M1290),""))</f>
        <v/>
      </c>
    </row>
    <row r="1292">
      <c r="A1292" t="n">
        <v>1291</v>
      </c>
      <c r="B1292">
        <f>Schedule!$A$187</f>
        <v/>
      </c>
      <c r="C1292">
        <f>Schedule!$D$187</f>
        <v/>
      </c>
      <c r="D1292">
        <f>Schedule!$F$187</f>
        <v/>
      </c>
      <c r="E1292" t="n">
        <v>2</v>
      </c>
      <c r="F1292">
        <f>Schedule!$I$1</f>
        <v/>
      </c>
      <c r="G1292">
        <f>Schedule!$I$2</f>
        <v/>
      </c>
      <c r="H1292">
        <f>Schedule!$I$187</f>
        <v/>
      </c>
      <c r="I1292">
        <f>IF($N1292=1,VALUE(LEFT($H1292,2)),"")</f>
        <v/>
      </c>
      <c r="J1292">
        <f>IF($N1292=1,VALUE(MID($H1292,9,2)),"")</f>
        <v/>
      </c>
      <c r="K1292">
        <f>IF($N1292=1,MOD($J1292-$I1292,24),0)</f>
        <v/>
      </c>
      <c r="L1292">
        <f>IF($N1292=1,$E1292*24+$I1292,"")</f>
        <v/>
      </c>
      <c r="M1292">
        <f>IF($N1292=1,$L1292+$K1292,"")</f>
        <v/>
      </c>
      <c r="N1292">
        <f>IF(ISNUMBER(SEARCH(" - ",$H1292&amp;"")),1,0)</f>
        <v/>
      </c>
      <c r="O1292">
        <f>IF(UPPER($H1292&amp;"")="LEAVE",1,0)</f>
        <v/>
      </c>
      <c r="P1292">
        <f>IF($N1292=1,$K1292,0)</f>
        <v/>
      </c>
      <c r="Q1292">
        <f>IF($N1292=0,"",IFERROR($L1292-LOOKUP(2,1/(($B$2:$B1291=$B1292)*($N$2:$N1291=1)),$M$2:$M1291),""))</f>
        <v/>
      </c>
    </row>
    <row r="1293">
      <c r="A1293" t="n">
        <v>1292</v>
      </c>
      <c r="B1293">
        <f>Schedule!$A$187</f>
        <v/>
      </c>
      <c r="C1293">
        <f>Schedule!$D$187</f>
        <v/>
      </c>
      <c r="D1293">
        <f>Schedule!$F$187</f>
        <v/>
      </c>
      <c r="E1293" t="n">
        <v>3</v>
      </c>
      <c r="F1293">
        <f>Schedule!$J$1</f>
        <v/>
      </c>
      <c r="G1293">
        <f>Schedule!$J$2</f>
        <v/>
      </c>
      <c r="H1293">
        <f>Schedule!$J$187</f>
        <v/>
      </c>
      <c r="I1293">
        <f>IF($N1293=1,VALUE(LEFT($H1293,2)),"")</f>
        <v/>
      </c>
      <c r="J1293">
        <f>IF($N1293=1,VALUE(MID($H1293,9,2)),"")</f>
        <v/>
      </c>
      <c r="K1293">
        <f>IF($N1293=1,MOD($J1293-$I1293,24),0)</f>
        <v/>
      </c>
      <c r="L1293">
        <f>IF($N1293=1,$E1293*24+$I1293,"")</f>
        <v/>
      </c>
      <c r="M1293">
        <f>IF($N1293=1,$L1293+$K1293,"")</f>
        <v/>
      </c>
      <c r="N1293">
        <f>IF(ISNUMBER(SEARCH(" - ",$H1293&amp;"")),1,0)</f>
        <v/>
      </c>
      <c r="O1293">
        <f>IF(UPPER($H1293&amp;"")="LEAVE",1,0)</f>
        <v/>
      </c>
      <c r="P1293">
        <f>IF($N1293=1,$K1293,0)</f>
        <v/>
      </c>
      <c r="Q1293">
        <f>IF($N1293=0,"",IFERROR($L1293-LOOKUP(2,1/(($B$2:$B1292=$B1293)*($N$2:$N1292=1)),$M$2:$M1292),""))</f>
        <v/>
      </c>
    </row>
    <row r="1294">
      <c r="A1294" t="n">
        <v>1293</v>
      </c>
      <c r="B1294">
        <f>Schedule!$A$187</f>
        <v/>
      </c>
      <c r="C1294">
        <f>Schedule!$D$187</f>
        <v/>
      </c>
      <c r="D1294">
        <f>Schedule!$F$187</f>
        <v/>
      </c>
      <c r="E1294" t="n">
        <v>4</v>
      </c>
      <c r="F1294">
        <f>Schedule!$K$1</f>
        <v/>
      </c>
      <c r="G1294">
        <f>Schedule!$K$2</f>
        <v/>
      </c>
      <c r="H1294">
        <f>Schedule!$K$187</f>
        <v/>
      </c>
      <c r="I1294">
        <f>IF($N1294=1,VALUE(LEFT($H1294,2)),"")</f>
        <v/>
      </c>
      <c r="J1294">
        <f>IF($N1294=1,VALUE(MID($H1294,9,2)),"")</f>
        <v/>
      </c>
      <c r="K1294">
        <f>IF($N1294=1,MOD($J1294-$I1294,24),0)</f>
        <v/>
      </c>
      <c r="L1294">
        <f>IF($N1294=1,$E1294*24+$I1294,"")</f>
        <v/>
      </c>
      <c r="M1294">
        <f>IF($N1294=1,$L1294+$K1294,"")</f>
        <v/>
      </c>
      <c r="N1294">
        <f>IF(ISNUMBER(SEARCH(" - ",$H1294&amp;"")),1,0)</f>
        <v/>
      </c>
      <c r="O1294">
        <f>IF(UPPER($H1294&amp;"")="LEAVE",1,0)</f>
        <v/>
      </c>
      <c r="P1294">
        <f>IF($N1294=1,$K1294,0)</f>
        <v/>
      </c>
      <c r="Q1294">
        <f>IF($N1294=0,"",IFERROR($L1294-LOOKUP(2,1/(($B$2:$B1293=$B1294)*($N$2:$N1293=1)),$M$2:$M1293),""))</f>
        <v/>
      </c>
    </row>
    <row r="1295">
      <c r="A1295" t="n">
        <v>1294</v>
      </c>
      <c r="B1295">
        <f>Schedule!$A$187</f>
        <v/>
      </c>
      <c r="C1295">
        <f>Schedule!$D$187</f>
        <v/>
      </c>
      <c r="D1295">
        <f>Schedule!$F$187</f>
        <v/>
      </c>
      <c r="E1295" t="n">
        <v>5</v>
      </c>
      <c r="F1295">
        <f>Schedule!$L$1</f>
        <v/>
      </c>
      <c r="G1295">
        <f>Schedule!$L$2</f>
        <v/>
      </c>
      <c r="H1295">
        <f>Schedule!$L$187</f>
        <v/>
      </c>
      <c r="I1295">
        <f>IF($N1295=1,VALUE(LEFT($H1295,2)),"")</f>
        <v/>
      </c>
      <c r="J1295">
        <f>IF($N1295=1,VALUE(MID($H1295,9,2)),"")</f>
        <v/>
      </c>
      <c r="K1295">
        <f>IF($N1295=1,MOD($J1295-$I1295,24),0)</f>
        <v/>
      </c>
      <c r="L1295">
        <f>IF($N1295=1,$E1295*24+$I1295,"")</f>
        <v/>
      </c>
      <c r="M1295">
        <f>IF($N1295=1,$L1295+$K1295,"")</f>
        <v/>
      </c>
      <c r="N1295">
        <f>IF(ISNUMBER(SEARCH(" - ",$H1295&amp;"")),1,0)</f>
        <v/>
      </c>
      <c r="O1295">
        <f>IF(UPPER($H1295&amp;"")="LEAVE",1,0)</f>
        <v/>
      </c>
      <c r="P1295">
        <f>IF($N1295=1,$K1295,0)</f>
        <v/>
      </c>
      <c r="Q1295">
        <f>IF($N1295=0,"",IFERROR($L1295-LOOKUP(2,1/(($B$2:$B1294=$B1295)*($N$2:$N1294=1)),$M$2:$M1294),""))</f>
        <v/>
      </c>
    </row>
    <row r="1296">
      <c r="A1296" t="n">
        <v>1295</v>
      </c>
      <c r="B1296">
        <f>Schedule!$A$187</f>
        <v/>
      </c>
      <c r="C1296">
        <f>Schedule!$D$187</f>
        <v/>
      </c>
      <c r="D1296">
        <f>Schedule!$F$187</f>
        <v/>
      </c>
      <c r="E1296" t="n">
        <v>6</v>
      </c>
      <c r="F1296">
        <f>Schedule!$M$1</f>
        <v/>
      </c>
      <c r="G1296">
        <f>Schedule!$M$2</f>
        <v/>
      </c>
      <c r="H1296">
        <f>Schedule!$M$187</f>
        <v/>
      </c>
      <c r="I1296">
        <f>IF($N1296=1,VALUE(LEFT($H1296,2)),"")</f>
        <v/>
      </c>
      <c r="J1296">
        <f>IF($N1296=1,VALUE(MID($H1296,9,2)),"")</f>
        <v/>
      </c>
      <c r="K1296">
        <f>IF($N1296=1,MOD($J1296-$I1296,24),0)</f>
        <v/>
      </c>
      <c r="L1296">
        <f>IF($N1296=1,$E1296*24+$I1296,"")</f>
        <v/>
      </c>
      <c r="M1296">
        <f>IF($N1296=1,$L1296+$K1296,"")</f>
        <v/>
      </c>
      <c r="N1296">
        <f>IF(ISNUMBER(SEARCH(" - ",$H1296&amp;"")),1,0)</f>
        <v/>
      </c>
      <c r="O1296">
        <f>IF(UPPER($H1296&amp;"")="LEAVE",1,0)</f>
        <v/>
      </c>
      <c r="P1296">
        <f>IF($N1296=1,$K1296,0)</f>
        <v/>
      </c>
      <c r="Q1296">
        <f>IF($N1296=0,"",IFERROR($L1296-LOOKUP(2,1/(($B$2:$B1295=$B1296)*($N$2:$N1295=1)),$M$2:$M1295),""))</f>
        <v/>
      </c>
    </row>
    <row r="1297">
      <c r="A1297" t="n">
        <v>1296</v>
      </c>
      <c r="B1297">
        <f>Schedule!$A$188</f>
        <v/>
      </c>
      <c r="C1297">
        <f>Schedule!$D$188</f>
        <v/>
      </c>
      <c r="D1297">
        <f>Schedule!$F$188</f>
        <v/>
      </c>
      <c r="E1297" t="n">
        <v>0</v>
      </c>
      <c r="F1297">
        <f>Schedule!$G$1</f>
        <v/>
      </c>
      <c r="G1297">
        <f>Schedule!$G$2</f>
        <v/>
      </c>
      <c r="H1297">
        <f>Schedule!$G$188</f>
        <v/>
      </c>
      <c r="I1297">
        <f>IF($N1297=1,VALUE(LEFT($H1297,2)),"")</f>
        <v/>
      </c>
      <c r="J1297">
        <f>IF($N1297=1,VALUE(MID($H1297,9,2)),"")</f>
        <v/>
      </c>
      <c r="K1297">
        <f>IF($N1297=1,MOD($J1297-$I1297,24),0)</f>
        <v/>
      </c>
      <c r="L1297">
        <f>IF($N1297=1,$E1297*24+$I1297,"")</f>
        <v/>
      </c>
      <c r="M1297">
        <f>IF($N1297=1,$L1297+$K1297,"")</f>
        <v/>
      </c>
      <c r="N1297">
        <f>IF(ISNUMBER(SEARCH(" - ",$H1297&amp;"")),1,0)</f>
        <v/>
      </c>
      <c r="O1297">
        <f>IF(UPPER($H1297&amp;"")="LEAVE",1,0)</f>
        <v/>
      </c>
      <c r="P1297">
        <f>IF($N1297=1,$K1297,0)</f>
        <v/>
      </c>
      <c r="Q1297">
        <f>IF($N1297=0,"",IFERROR($L1297-'Previous Engine'!$M$187,""))</f>
        <v/>
      </c>
    </row>
    <row r="1298">
      <c r="A1298" t="n">
        <v>1297</v>
      </c>
      <c r="B1298">
        <f>Schedule!$A$188</f>
        <v/>
      </c>
      <c r="C1298">
        <f>Schedule!$D$188</f>
        <v/>
      </c>
      <c r="D1298">
        <f>Schedule!$F$188</f>
        <v/>
      </c>
      <c r="E1298" t="n">
        <v>1</v>
      </c>
      <c r="F1298">
        <f>Schedule!$H$1</f>
        <v/>
      </c>
      <c r="G1298">
        <f>Schedule!$H$2</f>
        <v/>
      </c>
      <c r="H1298">
        <f>Schedule!$H$188</f>
        <v/>
      </c>
      <c r="I1298">
        <f>IF($N1298=1,VALUE(LEFT($H1298,2)),"")</f>
        <v/>
      </c>
      <c r="J1298">
        <f>IF($N1298=1,VALUE(MID($H1298,9,2)),"")</f>
        <v/>
      </c>
      <c r="K1298">
        <f>IF($N1298=1,MOD($J1298-$I1298,24),0)</f>
        <v/>
      </c>
      <c r="L1298">
        <f>IF($N1298=1,$E1298*24+$I1298,"")</f>
        <v/>
      </c>
      <c r="M1298">
        <f>IF($N1298=1,$L1298+$K1298,"")</f>
        <v/>
      </c>
      <c r="N1298">
        <f>IF(ISNUMBER(SEARCH(" - ",$H1298&amp;"")),1,0)</f>
        <v/>
      </c>
      <c r="O1298">
        <f>IF(UPPER($H1298&amp;"")="LEAVE",1,0)</f>
        <v/>
      </c>
      <c r="P1298">
        <f>IF($N1298=1,$K1298,0)</f>
        <v/>
      </c>
      <c r="Q1298">
        <f>IF($N1298=0,"",IFERROR($L1298-LOOKUP(2,1/(($B$2:$B1297=$B1298)*($N$2:$N1297=1)),$M$2:$M1297),""))</f>
        <v/>
      </c>
    </row>
    <row r="1299">
      <c r="A1299" t="n">
        <v>1298</v>
      </c>
      <c r="B1299">
        <f>Schedule!$A$188</f>
        <v/>
      </c>
      <c r="C1299">
        <f>Schedule!$D$188</f>
        <v/>
      </c>
      <c r="D1299">
        <f>Schedule!$F$188</f>
        <v/>
      </c>
      <c r="E1299" t="n">
        <v>2</v>
      </c>
      <c r="F1299">
        <f>Schedule!$I$1</f>
        <v/>
      </c>
      <c r="G1299">
        <f>Schedule!$I$2</f>
        <v/>
      </c>
      <c r="H1299">
        <f>Schedule!$I$188</f>
        <v/>
      </c>
      <c r="I1299">
        <f>IF($N1299=1,VALUE(LEFT($H1299,2)),"")</f>
        <v/>
      </c>
      <c r="J1299">
        <f>IF($N1299=1,VALUE(MID($H1299,9,2)),"")</f>
        <v/>
      </c>
      <c r="K1299">
        <f>IF($N1299=1,MOD($J1299-$I1299,24),0)</f>
        <v/>
      </c>
      <c r="L1299">
        <f>IF($N1299=1,$E1299*24+$I1299,"")</f>
        <v/>
      </c>
      <c r="M1299">
        <f>IF($N1299=1,$L1299+$K1299,"")</f>
        <v/>
      </c>
      <c r="N1299">
        <f>IF(ISNUMBER(SEARCH(" - ",$H1299&amp;"")),1,0)</f>
        <v/>
      </c>
      <c r="O1299">
        <f>IF(UPPER($H1299&amp;"")="LEAVE",1,0)</f>
        <v/>
      </c>
      <c r="P1299">
        <f>IF($N1299=1,$K1299,0)</f>
        <v/>
      </c>
      <c r="Q1299">
        <f>IF($N1299=0,"",IFERROR($L1299-LOOKUP(2,1/(($B$2:$B1298=$B1299)*($N$2:$N1298=1)),$M$2:$M1298),""))</f>
        <v/>
      </c>
    </row>
    <row r="1300">
      <c r="A1300" t="n">
        <v>1299</v>
      </c>
      <c r="B1300">
        <f>Schedule!$A$188</f>
        <v/>
      </c>
      <c r="C1300">
        <f>Schedule!$D$188</f>
        <v/>
      </c>
      <c r="D1300">
        <f>Schedule!$F$188</f>
        <v/>
      </c>
      <c r="E1300" t="n">
        <v>3</v>
      </c>
      <c r="F1300">
        <f>Schedule!$J$1</f>
        <v/>
      </c>
      <c r="G1300">
        <f>Schedule!$J$2</f>
        <v/>
      </c>
      <c r="H1300">
        <f>Schedule!$J$188</f>
        <v/>
      </c>
      <c r="I1300">
        <f>IF($N1300=1,VALUE(LEFT($H1300,2)),"")</f>
        <v/>
      </c>
      <c r="J1300">
        <f>IF($N1300=1,VALUE(MID($H1300,9,2)),"")</f>
        <v/>
      </c>
      <c r="K1300">
        <f>IF($N1300=1,MOD($J1300-$I1300,24),0)</f>
        <v/>
      </c>
      <c r="L1300">
        <f>IF($N1300=1,$E1300*24+$I1300,"")</f>
        <v/>
      </c>
      <c r="M1300">
        <f>IF($N1300=1,$L1300+$K1300,"")</f>
        <v/>
      </c>
      <c r="N1300">
        <f>IF(ISNUMBER(SEARCH(" - ",$H1300&amp;"")),1,0)</f>
        <v/>
      </c>
      <c r="O1300">
        <f>IF(UPPER($H1300&amp;"")="LEAVE",1,0)</f>
        <v/>
      </c>
      <c r="P1300">
        <f>IF($N1300=1,$K1300,0)</f>
        <v/>
      </c>
      <c r="Q1300">
        <f>IF($N1300=0,"",IFERROR($L1300-LOOKUP(2,1/(($B$2:$B1299=$B1300)*($N$2:$N1299=1)),$M$2:$M1299),""))</f>
        <v/>
      </c>
    </row>
    <row r="1301">
      <c r="A1301" t="n">
        <v>1300</v>
      </c>
      <c r="B1301">
        <f>Schedule!$A$188</f>
        <v/>
      </c>
      <c r="C1301">
        <f>Schedule!$D$188</f>
        <v/>
      </c>
      <c r="D1301">
        <f>Schedule!$F$188</f>
        <v/>
      </c>
      <c r="E1301" t="n">
        <v>4</v>
      </c>
      <c r="F1301">
        <f>Schedule!$K$1</f>
        <v/>
      </c>
      <c r="G1301">
        <f>Schedule!$K$2</f>
        <v/>
      </c>
      <c r="H1301">
        <f>Schedule!$K$188</f>
        <v/>
      </c>
      <c r="I1301">
        <f>IF($N1301=1,VALUE(LEFT($H1301,2)),"")</f>
        <v/>
      </c>
      <c r="J1301">
        <f>IF($N1301=1,VALUE(MID($H1301,9,2)),"")</f>
        <v/>
      </c>
      <c r="K1301">
        <f>IF($N1301=1,MOD($J1301-$I1301,24),0)</f>
        <v/>
      </c>
      <c r="L1301">
        <f>IF($N1301=1,$E1301*24+$I1301,"")</f>
        <v/>
      </c>
      <c r="M1301">
        <f>IF($N1301=1,$L1301+$K1301,"")</f>
        <v/>
      </c>
      <c r="N1301">
        <f>IF(ISNUMBER(SEARCH(" - ",$H1301&amp;"")),1,0)</f>
        <v/>
      </c>
      <c r="O1301">
        <f>IF(UPPER($H1301&amp;"")="LEAVE",1,0)</f>
        <v/>
      </c>
      <c r="P1301">
        <f>IF($N1301=1,$K1301,0)</f>
        <v/>
      </c>
      <c r="Q1301">
        <f>IF($N1301=0,"",IFERROR($L1301-LOOKUP(2,1/(($B$2:$B1300=$B1301)*($N$2:$N1300=1)),$M$2:$M1300),""))</f>
        <v/>
      </c>
    </row>
    <row r="1302">
      <c r="A1302" t="n">
        <v>1301</v>
      </c>
      <c r="B1302">
        <f>Schedule!$A$188</f>
        <v/>
      </c>
      <c r="C1302">
        <f>Schedule!$D$188</f>
        <v/>
      </c>
      <c r="D1302">
        <f>Schedule!$F$188</f>
        <v/>
      </c>
      <c r="E1302" t="n">
        <v>5</v>
      </c>
      <c r="F1302">
        <f>Schedule!$L$1</f>
        <v/>
      </c>
      <c r="G1302">
        <f>Schedule!$L$2</f>
        <v/>
      </c>
      <c r="H1302">
        <f>Schedule!$L$188</f>
        <v/>
      </c>
      <c r="I1302">
        <f>IF($N1302=1,VALUE(LEFT($H1302,2)),"")</f>
        <v/>
      </c>
      <c r="J1302">
        <f>IF($N1302=1,VALUE(MID($H1302,9,2)),"")</f>
        <v/>
      </c>
      <c r="K1302">
        <f>IF($N1302=1,MOD($J1302-$I1302,24),0)</f>
        <v/>
      </c>
      <c r="L1302">
        <f>IF($N1302=1,$E1302*24+$I1302,"")</f>
        <v/>
      </c>
      <c r="M1302">
        <f>IF($N1302=1,$L1302+$K1302,"")</f>
        <v/>
      </c>
      <c r="N1302">
        <f>IF(ISNUMBER(SEARCH(" - ",$H1302&amp;"")),1,0)</f>
        <v/>
      </c>
      <c r="O1302">
        <f>IF(UPPER($H1302&amp;"")="LEAVE",1,0)</f>
        <v/>
      </c>
      <c r="P1302">
        <f>IF($N1302=1,$K1302,0)</f>
        <v/>
      </c>
      <c r="Q1302">
        <f>IF($N1302=0,"",IFERROR($L1302-LOOKUP(2,1/(($B$2:$B1301=$B1302)*($N$2:$N1301=1)),$M$2:$M1301),""))</f>
        <v/>
      </c>
    </row>
    <row r="1303">
      <c r="A1303" t="n">
        <v>1302</v>
      </c>
      <c r="B1303">
        <f>Schedule!$A$188</f>
        <v/>
      </c>
      <c r="C1303">
        <f>Schedule!$D$188</f>
        <v/>
      </c>
      <c r="D1303">
        <f>Schedule!$F$188</f>
        <v/>
      </c>
      <c r="E1303" t="n">
        <v>6</v>
      </c>
      <c r="F1303">
        <f>Schedule!$M$1</f>
        <v/>
      </c>
      <c r="G1303">
        <f>Schedule!$M$2</f>
        <v/>
      </c>
      <c r="H1303">
        <f>Schedule!$M$188</f>
        <v/>
      </c>
      <c r="I1303">
        <f>IF($N1303=1,VALUE(LEFT($H1303,2)),"")</f>
        <v/>
      </c>
      <c r="J1303">
        <f>IF($N1303=1,VALUE(MID($H1303,9,2)),"")</f>
        <v/>
      </c>
      <c r="K1303">
        <f>IF($N1303=1,MOD($J1303-$I1303,24),0)</f>
        <v/>
      </c>
      <c r="L1303">
        <f>IF($N1303=1,$E1303*24+$I1303,"")</f>
        <v/>
      </c>
      <c r="M1303">
        <f>IF($N1303=1,$L1303+$K1303,"")</f>
        <v/>
      </c>
      <c r="N1303">
        <f>IF(ISNUMBER(SEARCH(" - ",$H1303&amp;"")),1,0)</f>
        <v/>
      </c>
      <c r="O1303">
        <f>IF(UPPER($H1303&amp;"")="LEAVE",1,0)</f>
        <v/>
      </c>
      <c r="P1303">
        <f>IF($N1303=1,$K1303,0)</f>
        <v/>
      </c>
      <c r="Q1303">
        <f>IF($N1303=0,"",IFERROR($L1303-LOOKUP(2,1/(($B$2:$B1302=$B1303)*($N$2:$N1302=1)),$M$2:$M1302),""))</f>
        <v/>
      </c>
    </row>
    <row r="1304">
      <c r="A1304" t="n">
        <v>1303</v>
      </c>
      <c r="B1304">
        <f>Schedule!$A$189</f>
        <v/>
      </c>
      <c r="C1304">
        <f>Schedule!$D$189</f>
        <v/>
      </c>
      <c r="D1304">
        <f>Schedule!$F$189</f>
        <v/>
      </c>
      <c r="E1304" t="n">
        <v>0</v>
      </c>
      <c r="F1304">
        <f>Schedule!$G$1</f>
        <v/>
      </c>
      <c r="G1304">
        <f>Schedule!$G$2</f>
        <v/>
      </c>
      <c r="H1304">
        <f>Schedule!$G$189</f>
        <v/>
      </c>
      <c r="I1304">
        <f>IF($N1304=1,VALUE(LEFT($H1304,2)),"")</f>
        <v/>
      </c>
      <c r="J1304">
        <f>IF($N1304=1,VALUE(MID($H1304,9,2)),"")</f>
        <v/>
      </c>
      <c r="K1304">
        <f>IF($N1304=1,MOD($J1304-$I1304,24),0)</f>
        <v/>
      </c>
      <c r="L1304">
        <f>IF($N1304=1,$E1304*24+$I1304,"")</f>
        <v/>
      </c>
      <c r="M1304">
        <f>IF($N1304=1,$L1304+$K1304,"")</f>
        <v/>
      </c>
      <c r="N1304">
        <f>IF(ISNUMBER(SEARCH(" - ",$H1304&amp;"")),1,0)</f>
        <v/>
      </c>
      <c r="O1304">
        <f>IF(UPPER($H1304&amp;"")="LEAVE",1,0)</f>
        <v/>
      </c>
      <c r="P1304">
        <f>IF($N1304=1,$K1304,0)</f>
        <v/>
      </c>
      <c r="Q1304">
        <f>IF($N1304=0,"",IFERROR($L1304-'Previous Engine'!$M$188,""))</f>
        <v/>
      </c>
    </row>
    <row r="1305">
      <c r="A1305" t="n">
        <v>1304</v>
      </c>
      <c r="B1305">
        <f>Schedule!$A$189</f>
        <v/>
      </c>
      <c r="C1305">
        <f>Schedule!$D$189</f>
        <v/>
      </c>
      <c r="D1305">
        <f>Schedule!$F$189</f>
        <v/>
      </c>
      <c r="E1305" t="n">
        <v>1</v>
      </c>
      <c r="F1305">
        <f>Schedule!$H$1</f>
        <v/>
      </c>
      <c r="G1305">
        <f>Schedule!$H$2</f>
        <v/>
      </c>
      <c r="H1305">
        <f>Schedule!$H$189</f>
        <v/>
      </c>
      <c r="I1305">
        <f>IF($N1305=1,VALUE(LEFT($H1305,2)),"")</f>
        <v/>
      </c>
      <c r="J1305">
        <f>IF($N1305=1,VALUE(MID($H1305,9,2)),"")</f>
        <v/>
      </c>
      <c r="K1305">
        <f>IF($N1305=1,MOD($J1305-$I1305,24),0)</f>
        <v/>
      </c>
      <c r="L1305">
        <f>IF($N1305=1,$E1305*24+$I1305,"")</f>
        <v/>
      </c>
      <c r="M1305">
        <f>IF($N1305=1,$L1305+$K1305,"")</f>
        <v/>
      </c>
      <c r="N1305">
        <f>IF(ISNUMBER(SEARCH(" - ",$H1305&amp;"")),1,0)</f>
        <v/>
      </c>
      <c r="O1305">
        <f>IF(UPPER($H1305&amp;"")="LEAVE",1,0)</f>
        <v/>
      </c>
      <c r="P1305">
        <f>IF($N1305=1,$K1305,0)</f>
        <v/>
      </c>
      <c r="Q1305">
        <f>IF($N1305=0,"",IFERROR($L1305-LOOKUP(2,1/(($B$2:$B1304=$B1305)*($N$2:$N1304=1)),$M$2:$M1304),""))</f>
        <v/>
      </c>
    </row>
    <row r="1306">
      <c r="A1306" t="n">
        <v>1305</v>
      </c>
      <c r="B1306">
        <f>Schedule!$A$189</f>
        <v/>
      </c>
      <c r="C1306">
        <f>Schedule!$D$189</f>
        <v/>
      </c>
      <c r="D1306">
        <f>Schedule!$F$189</f>
        <v/>
      </c>
      <c r="E1306" t="n">
        <v>2</v>
      </c>
      <c r="F1306">
        <f>Schedule!$I$1</f>
        <v/>
      </c>
      <c r="G1306">
        <f>Schedule!$I$2</f>
        <v/>
      </c>
      <c r="H1306">
        <f>Schedule!$I$189</f>
        <v/>
      </c>
      <c r="I1306">
        <f>IF($N1306=1,VALUE(LEFT($H1306,2)),"")</f>
        <v/>
      </c>
      <c r="J1306">
        <f>IF($N1306=1,VALUE(MID($H1306,9,2)),"")</f>
        <v/>
      </c>
      <c r="K1306">
        <f>IF($N1306=1,MOD($J1306-$I1306,24),0)</f>
        <v/>
      </c>
      <c r="L1306">
        <f>IF($N1306=1,$E1306*24+$I1306,"")</f>
        <v/>
      </c>
      <c r="M1306">
        <f>IF($N1306=1,$L1306+$K1306,"")</f>
        <v/>
      </c>
      <c r="N1306">
        <f>IF(ISNUMBER(SEARCH(" - ",$H1306&amp;"")),1,0)</f>
        <v/>
      </c>
      <c r="O1306">
        <f>IF(UPPER($H1306&amp;"")="LEAVE",1,0)</f>
        <v/>
      </c>
      <c r="P1306">
        <f>IF($N1306=1,$K1306,0)</f>
        <v/>
      </c>
      <c r="Q1306">
        <f>IF($N1306=0,"",IFERROR($L1306-LOOKUP(2,1/(($B$2:$B1305=$B1306)*($N$2:$N1305=1)),$M$2:$M1305),""))</f>
        <v/>
      </c>
    </row>
    <row r="1307">
      <c r="A1307" t="n">
        <v>1306</v>
      </c>
      <c r="B1307">
        <f>Schedule!$A$189</f>
        <v/>
      </c>
      <c r="C1307">
        <f>Schedule!$D$189</f>
        <v/>
      </c>
      <c r="D1307">
        <f>Schedule!$F$189</f>
        <v/>
      </c>
      <c r="E1307" t="n">
        <v>3</v>
      </c>
      <c r="F1307">
        <f>Schedule!$J$1</f>
        <v/>
      </c>
      <c r="G1307">
        <f>Schedule!$J$2</f>
        <v/>
      </c>
      <c r="H1307">
        <f>Schedule!$J$189</f>
        <v/>
      </c>
      <c r="I1307">
        <f>IF($N1307=1,VALUE(LEFT($H1307,2)),"")</f>
        <v/>
      </c>
      <c r="J1307">
        <f>IF($N1307=1,VALUE(MID($H1307,9,2)),"")</f>
        <v/>
      </c>
      <c r="K1307">
        <f>IF($N1307=1,MOD($J1307-$I1307,24),0)</f>
        <v/>
      </c>
      <c r="L1307">
        <f>IF($N1307=1,$E1307*24+$I1307,"")</f>
        <v/>
      </c>
      <c r="M1307">
        <f>IF($N1307=1,$L1307+$K1307,"")</f>
        <v/>
      </c>
      <c r="N1307">
        <f>IF(ISNUMBER(SEARCH(" - ",$H1307&amp;"")),1,0)</f>
        <v/>
      </c>
      <c r="O1307">
        <f>IF(UPPER($H1307&amp;"")="LEAVE",1,0)</f>
        <v/>
      </c>
      <c r="P1307">
        <f>IF($N1307=1,$K1307,0)</f>
        <v/>
      </c>
      <c r="Q1307">
        <f>IF($N1307=0,"",IFERROR($L1307-LOOKUP(2,1/(($B$2:$B1306=$B1307)*($N$2:$N1306=1)),$M$2:$M1306),""))</f>
        <v/>
      </c>
    </row>
    <row r="1308">
      <c r="A1308" t="n">
        <v>1307</v>
      </c>
      <c r="B1308">
        <f>Schedule!$A$189</f>
        <v/>
      </c>
      <c r="C1308">
        <f>Schedule!$D$189</f>
        <v/>
      </c>
      <c r="D1308">
        <f>Schedule!$F$189</f>
        <v/>
      </c>
      <c r="E1308" t="n">
        <v>4</v>
      </c>
      <c r="F1308">
        <f>Schedule!$K$1</f>
        <v/>
      </c>
      <c r="G1308">
        <f>Schedule!$K$2</f>
        <v/>
      </c>
      <c r="H1308">
        <f>Schedule!$K$189</f>
        <v/>
      </c>
      <c r="I1308">
        <f>IF($N1308=1,VALUE(LEFT($H1308,2)),"")</f>
        <v/>
      </c>
      <c r="J1308">
        <f>IF($N1308=1,VALUE(MID($H1308,9,2)),"")</f>
        <v/>
      </c>
      <c r="K1308">
        <f>IF($N1308=1,MOD($J1308-$I1308,24),0)</f>
        <v/>
      </c>
      <c r="L1308">
        <f>IF($N1308=1,$E1308*24+$I1308,"")</f>
        <v/>
      </c>
      <c r="M1308">
        <f>IF($N1308=1,$L1308+$K1308,"")</f>
        <v/>
      </c>
      <c r="N1308">
        <f>IF(ISNUMBER(SEARCH(" - ",$H1308&amp;"")),1,0)</f>
        <v/>
      </c>
      <c r="O1308">
        <f>IF(UPPER($H1308&amp;"")="LEAVE",1,0)</f>
        <v/>
      </c>
      <c r="P1308">
        <f>IF($N1308=1,$K1308,0)</f>
        <v/>
      </c>
      <c r="Q1308">
        <f>IF($N1308=0,"",IFERROR($L1308-LOOKUP(2,1/(($B$2:$B1307=$B1308)*($N$2:$N1307=1)),$M$2:$M1307),""))</f>
        <v/>
      </c>
    </row>
    <row r="1309">
      <c r="A1309" t="n">
        <v>1308</v>
      </c>
      <c r="B1309">
        <f>Schedule!$A$189</f>
        <v/>
      </c>
      <c r="C1309">
        <f>Schedule!$D$189</f>
        <v/>
      </c>
      <c r="D1309">
        <f>Schedule!$F$189</f>
        <v/>
      </c>
      <c r="E1309" t="n">
        <v>5</v>
      </c>
      <c r="F1309">
        <f>Schedule!$L$1</f>
        <v/>
      </c>
      <c r="G1309">
        <f>Schedule!$L$2</f>
        <v/>
      </c>
      <c r="H1309">
        <f>Schedule!$L$189</f>
        <v/>
      </c>
      <c r="I1309">
        <f>IF($N1309=1,VALUE(LEFT($H1309,2)),"")</f>
        <v/>
      </c>
      <c r="J1309">
        <f>IF($N1309=1,VALUE(MID($H1309,9,2)),"")</f>
        <v/>
      </c>
      <c r="K1309">
        <f>IF($N1309=1,MOD($J1309-$I1309,24),0)</f>
        <v/>
      </c>
      <c r="L1309">
        <f>IF($N1309=1,$E1309*24+$I1309,"")</f>
        <v/>
      </c>
      <c r="M1309">
        <f>IF($N1309=1,$L1309+$K1309,"")</f>
        <v/>
      </c>
      <c r="N1309">
        <f>IF(ISNUMBER(SEARCH(" - ",$H1309&amp;"")),1,0)</f>
        <v/>
      </c>
      <c r="O1309">
        <f>IF(UPPER($H1309&amp;"")="LEAVE",1,0)</f>
        <v/>
      </c>
      <c r="P1309">
        <f>IF($N1309=1,$K1309,0)</f>
        <v/>
      </c>
      <c r="Q1309">
        <f>IF($N1309=0,"",IFERROR($L1309-LOOKUP(2,1/(($B$2:$B1308=$B1309)*($N$2:$N1308=1)),$M$2:$M1308),""))</f>
        <v/>
      </c>
    </row>
    <row r="1310">
      <c r="A1310" t="n">
        <v>1309</v>
      </c>
      <c r="B1310">
        <f>Schedule!$A$189</f>
        <v/>
      </c>
      <c r="C1310">
        <f>Schedule!$D$189</f>
        <v/>
      </c>
      <c r="D1310">
        <f>Schedule!$F$189</f>
        <v/>
      </c>
      <c r="E1310" t="n">
        <v>6</v>
      </c>
      <c r="F1310">
        <f>Schedule!$M$1</f>
        <v/>
      </c>
      <c r="G1310">
        <f>Schedule!$M$2</f>
        <v/>
      </c>
      <c r="H1310">
        <f>Schedule!$M$189</f>
        <v/>
      </c>
      <c r="I1310">
        <f>IF($N1310=1,VALUE(LEFT($H1310,2)),"")</f>
        <v/>
      </c>
      <c r="J1310">
        <f>IF($N1310=1,VALUE(MID($H1310,9,2)),"")</f>
        <v/>
      </c>
      <c r="K1310">
        <f>IF($N1310=1,MOD($J1310-$I1310,24),0)</f>
        <v/>
      </c>
      <c r="L1310">
        <f>IF($N1310=1,$E1310*24+$I1310,"")</f>
        <v/>
      </c>
      <c r="M1310">
        <f>IF($N1310=1,$L1310+$K1310,"")</f>
        <v/>
      </c>
      <c r="N1310">
        <f>IF(ISNUMBER(SEARCH(" - ",$H1310&amp;"")),1,0)</f>
        <v/>
      </c>
      <c r="O1310">
        <f>IF(UPPER($H1310&amp;"")="LEAVE",1,0)</f>
        <v/>
      </c>
      <c r="P1310">
        <f>IF($N1310=1,$K1310,0)</f>
        <v/>
      </c>
      <c r="Q1310">
        <f>IF($N1310=0,"",IFERROR($L1310-LOOKUP(2,1/(($B$2:$B1309=$B1310)*($N$2:$N1309=1)),$M$2:$M1309),""))</f>
        <v/>
      </c>
    </row>
    <row r="1311">
      <c r="A1311" t="n">
        <v>1310</v>
      </c>
      <c r="B1311">
        <f>Schedule!$A$190</f>
        <v/>
      </c>
      <c r="C1311">
        <f>Schedule!$D$190</f>
        <v/>
      </c>
      <c r="D1311">
        <f>Schedule!$F$190</f>
        <v/>
      </c>
      <c r="E1311" t="n">
        <v>0</v>
      </c>
      <c r="F1311">
        <f>Schedule!$G$1</f>
        <v/>
      </c>
      <c r="G1311">
        <f>Schedule!$G$2</f>
        <v/>
      </c>
      <c r="H1311">
        <f>Schedule!$G$190</f>
        <v/>
      </c>
      <c r="I1311">
        <f>IF($N1311=1,VALUE(LEFT($H1311,2)),"")</f>
        <v/>
      </c>
      <c r="J1311">
        <f>IF($N1311=1,VALUE(MID($H1311,9,2)),"")</f>
        <v/>
      </c>
      <c r="K1311">
        <f>IF($N1311=1,MOD($J1311-$I1311,24),0)</f>
        <v/>
      </c>
      <c r="L1311">
        <f>IF($N1311=1,$E1311*24+$I1311,"")</f>
        <v/>
      </c>
      <c r="M1311">
        <f>IF($N1311=1,$L1311+$K1311,"")</f>
        <v/>
      </c>
      <c r="N1311">
        <f>IF(ISNUMBER(SEARCH(" - ",$H1311&amp;"")),1,0)</f>
        <v/>
      </c>
      <c r="O1311">
        <f>IF(UPPER($H1311&amp;"")="LEAVE",1,0)</f>
        <v/>
      </c>
      <c r="P1311">
        <f>IF($N1311=1,$K1311,0)</f>
        <v/>
      </c>
      <c r="Q1311">
        <f>IF($N1311=0,"",IFERROR($L1311-'Previous Engine'!$M$189,""))</f>
        <v/>
      </c>
    </row>
    <row r="1312">
      <c r="A1312" t="n">
        <v>1311</v>
      </c>
      <c r="B1312">
        <f>Schedule!$A$190</f>
        <v/>
      </c>
      <c r="C1312">
        <f>Schedule!$D$190</f>
        <v/>
      </c>
      <c r="D1312">
        <f>Schedule!$F$190</f>
        <v/>
      </c>
      <c r="E1312" t="n">
        <v>1</v>
      </c>
      <c r="F1312">
        <f>Schedule!$H$1</f>
        <v/>
      </c>
      <c r="G1312">
        <f>Schedule!$H$2</f>
        <v/>
      </c>
      <c r="H1312">
        <f>Schedule!$H$190</f>
        <v/>
      </c>
      <c r="I1312">
        <f>IF($N1312=1,VALUE(LEFT($H1312,2)),"")</f>
        <v/>
      </c>
      <c r="J1312">
        <f>IF($N1312=1,VALUE(MID($H1312,9,2)),"")</f>
        <v/>
      </c>
      <c r="K1312">
        <f>IF($N1312=1,MOD($J1312-$I1312,24),0)</f>
        <v/>
      </c>
      <c r="L1312">
        <f>IF($N1312=1,$E1312*24+$I1312,"")</f>
        <v/>
      </c>
      <c r="M1312">
        <f>IF($N1312=1,$L1312+$K1312,"")</f>
        <v/>
      </c>
      <c r="N1312">
        <f>IF(ISNUMBER(SEARCH(" - ",$H1312&amp;"")),1,0)</f>
        <v/>
      </c>
      <c r="O1312">
        <f>IF(UPPER($H1312&amp;"")="LEAVE",1,0)</f>
        <v/>
      </c>
      <c r="P1312">
        <f>IF($N1312=1,$K1312,0)</f>
        <v/>
      </c>
      <c r="Q1312">
        <f>IF($N1312=0,"",IFERROR($L1312-LOOKUP(2,1/(($B$2:$B1311=$B1312)*($N$2:$N1311=1)),$M$2:$M1311),""))</f>
        <v/>
      </c>
    </row>
    <row r="1313">
      <c r="A1313" t="n">
        <v>1312</v>
      </c>
      <c r="B1313">
        <f>Schedule!$A$190</f>
        <v/>
      </c>
      <c r="C1313">
        <f>Schedule!$D$190</f>
        <v/>
      </c>
      <c r="D1313">
        <f>Schedule!$F$190</f>
        <v/>
      </c>
      <c r="E1313" t="n">
        <v>2</v>
      </c>
      <c r="F1313">
        <f>Schedule!$I$1</f>
        <v/>
      </c>
      <c r="G1313">
        <f>Schedule!$I$2</f>
        <v/>
      </c>
      <c r="H1313">
        <f>Schedule!$I$190</f>
        <v/>
      </c>
      <c r="I1313">
        <f>IF($N1313=1,VALUE(LEFT($H1313,2)),"")</f>
        <v/>
      </c>
      <c r="J1313">
        <f>IF($N1313=1,VALUE(MID($H1313,9,2)),"")</f>
        <v/>
      </c>
      <c r="K1313">
        <f>IF($N1313=1,MOD($J1313-$I1313,24),0)</f>
        <v/>
      </c>
      <c r="L1313">
        <f>IF($N1313=1,$E1313*24+$I1313,"")</f>
        <v/>
      </c>
      <c r="M1313">
        <f>IF($N1313=1,$L1313+$K1313,"")</f>
        <v/>
      </c>
      <c r="N1313">
        <f>IF(ISNUMBER(SEARCH(" - ",$H1313&amp;"")),1,0)</f>
        <v/>
      </c>
      <c r="O1313">
        <f>IF(UPPER($H1313&amp;"")="LEAVE",1,0)</f>
        <v/>
      </c>
      <c r="P1313">
        <f>IF($N1313=1,$K1313,0)</f>
        <v/>
      </c>
      <c r="Q1313">
        <f>IF($N1313=0,"",IFERROR($L1313-LOOKUP(2,1/(($B$2:$B1312=$B1313)*($N$2:$N1312=1)),$M$2:$M1312),""))</f>
        <v/>
      </c>
    </row>
    <row r="1314">
      <c r="A1314" t="n">
        <v>1313</v>
      </c>
      <c r="B1314">
        <f>Schedule!$A$190</f>
        <v/>
      </c>
      <c r="C1314">
        <f>Schedule!$D$190</f>
        <v/>
      </c>
      <c r="D1314">
        <f>Schedule!$F$190</f>
        <v/>
      </c>
      <c r="E1314" t="n">
        <v>3</v>
      </c>
      <c r="F1314">
        <f>Schedule!$J$1</f>
        <v/>
      </c>
      <c r="G1314">
        <f>Schedule!$J$2</f>
        <v/>
      </c>
      <c r="H1314">
        <f>Schedule!$J$190</f>
        <v/>
      </c>
      <c r="I1314">
        <f>IF($N1314=1,VALUE(LEFT($H1314,2)),"")</f>
        <v/>
      </c>
      <c r="J1314">
        <f>IF($N1314=1,VALUE(MID($H1314,9,2)),"")</f>
        <v/>
      </c>
      <c r="K1314">
        <f>IF($N1314=1,MOD($J1314-$I1314,24),0)</f>
        <v/>
      </c>
      <c r="L1314">
        <f>IF($N1314=1,$E1314*24+$I1314,"")</f>
        <v/>
      </c>
      <c r="M1314">
        <f>IF($N1314=1,$L1314+$K1314,"")</f>
        <v/>
      </c>
      <c r="N1314">
        <f>IF(ISNUMBER(SEARCH(" - ",$H1314&amp;"")),1,0)</f>
        <v/>
      </c>
      <c r="O1314">
        <f>IF(UPPER($H1314&amp;"")="LEAVE",1,0)</f>
        <v/>
      </c>
      <c r="P1314">
        <f>IF($N1314=1,$K1314,0)</f>
        <v/>
      </c>
      <c r="Q1314">
        <f>IF($N1314=0,"",IFERROR($L1314-LOOKUP(2,1/(($B$2:$B1313=$B1314)*($N$2:$N1313=1)),$M$2:$M1313),""))</f>
        <v/>
      </c>
    </row>
    <row r="1315">
      <c r="A1315" t="n">
        <v>1314</v>
      </c>
      <c r="B1315">
        <f>Schedule!$A$190</f>
        <v/>
      </c>
      <c r="C1315">
        <f>Schedule!$D$190</f>
        <v/>
      </c>
      <c r="D1315">
        <f>Schedule!$F$190</f>
        <v/>
      </c>
      <c r="E1315" t="n">
        <v>4</v>
      </c>
      <c r="F1315">
        <f>Schedule!$K$1</f>
        <v/>
      </c>
      <c r="G1315">
        <f>Schedule!$K$2</f>
        <v/>
      </c>
      <c r="H1315">
        <f>Schedule!$K$190</f>
        <v/>
      </c>
      <c r="I1315">
        <f>IF($N1315=1,VALUE(LEFT($H1315,2)),"")</f>
        <v/>
      </c>
      <c r="J1315">
        <f>IF($N1315=1,VALUE(MID($H1315,9,2)),"")</f>
        <v/>
      </c>
      <c r="K1315">
        <f>IF($N1315=1,MOD($J1315-$I1315,24),0)</f>
        <v/>
      </c>
      <c r="L1315">
        <f>IF($N1315=1,$E1315*24+$I1315,"")</f>
        <v/>
      </c>
      <c r="M1315">
        <f>IF($N1315=1,$L1315+$K1315,"")</f>
        <v/>
      </c>
      <c r="N1315">
        <f>IF(ISNUMBER(SEARCH(" - ",$H1315&amp;"")),1,0)</f>
        <v/>
      </c>
      <c r="O1315">
        <f>IF(UPPER($H1315&amp;"")="LEAVE",1,0)</f>
        <v/>
      </c>
      <c r="P1315">
        <f>IF($N1315=1,$K1315,0)</f>
        <v/>
      </c>
      <c r="Q1315">
        <f>IF($N1315=0,"",IFERROR($L1315-LOOKUP(2,1/(($B$2:$B1314=$B1315)*($N$2:$N1314=1)),$M$2:$M1314),""))</f>
        <v/>
      </c>
    </row>
    <row r="1316">
      <c r="A1316" t="n">
        <v>1315</v>
      </c>
      <c r="B1316">
        <f>Schedule!$A$190</f>
        <v/>
      </c>
      <c r="C1316">
        <f>Schedule!$D$190</f>
        <v/>
      </c>
      <c r="D1316">
        <f>Schedule!$F$190</f>
        <v/>
      </c>
      <c r="E1316" t="n">
        <v>5</v>
      </c>
      <c r="F1316">
        <f>Schedule!$L$1</f>
        <v/>
      </c>
      <c r="G1316">
        <f>Schedule!$L$2</f>
        <v/>
      </c>
      <c r="H1316">
        <f>Schedule!$L$190</f>
        <v/>
      </c>
      <c r="I1316">
        <f>IF($N1316=1,VALUE(LEFT($H1316,2)),"")</f>
        <v/>
      </c>
      <c r="J1316">
        <f>IF($N1316=1,VALUE(MID($H1316,9,2)),"")</f>
        <v/>
      </c>
      <c r="K1316">
        <f>IF($N1316=1,MOD($J1316-$I1316,24),0)</f>
        <v/>
      </c>
      <c r="L1316">
        <f>IF($N1316=1,$E1316*24+$I1316,"")</f>
        <v/>
      </c>
      <c r="M1316">
        <f>IF($N1316=1,$L1316+$K1316,"")</f>
        <v/>
      </c>
      <c r="N1316">
        <f>IF(ISNUMBER(SEARCH(" - ",$H1316&amp;"")),1,0)</f>
        <v/>
      </c>
      <c r="O1316">
        <f>IF(UPPER($H1316&amp;"")="LEAVE",1,0)</f>
        <v/>
      </c>
      <c r="P1316">
        <f>IF($N1316=1,$K1316,0)</f>
        <v/>
      </c>
      <c r="Q1316">
        <f>IF($N1316=0,"",IFERROR($L1316-LOOKUP(2,1/(($B$2:$B1315=$B1316)*($N$2:$N1315=1)),$M$2:$M1315),""))</f>
        <v/>
      </c>
    </row>
    <row r="1317">
      <c r="A1317" t="n">
        <v>1316</v>
      </c>
      <c r="B1317">
        <f>Schedule!$A$190</f>
        <v/>
      </c>
      <c r="C1317">
        <f>Schedule!$D$190</f>
        <v/>
      </c>
      <c r="D1317">
        <f>Schedule!$F$190</f>
        <v/>
      </c>
      <c r="E1317" t="n">
        <v>6</v>
      </c>
      <c r="F1317">
        <f>Schedule!$M$1</f>
        <v/>
      </c>
      <c r="G1317">
        <f>Schedule!$M$2</f>
        <v/>
      </c>
      <c r="H1317">
        <f>Schedule!$M$190</f>
        <v/>
      </c>
      <c r="I1317">
        <f>IF($N1317=1,VALUE(LEFT($H1317,2)),"")</f>
        <v/>
      </c>
      <c r="J1317">
        <f>IF($N1317=1,VALUE(MID($H1317,9,2)),"")</f>
        <v/>
      </c>
      <c r="K1317">
        <f>IF($N1317=1,MOD($J1317-$I1317,24),0)</f>
        <v/>
      </c>
      <c r="L1317">
        <f>IF($N1317=1,$E1317*24+$I1317,"")</f>
        <v/>
      </c>
      <c r="M1317">
        <f>IF($N1317=1,$L1317+$K1317,"")</f>
        <v/>
      </c>
      <c r="N1317">
        <f>IF(ISNUMBER(SEARCH(" - ",$H1317&amp;"")),1,0)</f>
        <v/>
      </c>
      <c r="O1317">
        <f>IF(UPPER($H1317&amp;"")="LEAVE",1,0)</f>
        <v/>
      </c>
      <c r="P1317">
        <f>IF($N1317=1,$K1317,0)</f>
        <v/>
      </c>
      <c r="Q1317">
        <f>IF($N1317=0,"",IFERROR($L1317-LOOKUP(2,1/(($B$2:$B1316=$B1317)*($N$2:$N1316=1)),$M$2:$M1316),""))</f>
        <v/>
      </c>
    </row>
    <row r="1318">
      <c r="A1318" t="n">
        <v>1317</v>
      </c>
      <c r="B1318">
        <f>Schedule!$A$191</f>
        <v/>
      </c>
      <c r="C1318">
        <f>Schedule!$D$191</f>
        <v/>
      </c>
      <c r="D1318">
        <f>Schedule!$F$191</f>
        <v/>
      </c>
      <c r="E1318" t="n">
        <v>0</v>
      </c>
      <c r="F1318">
        <f>Schedule!$G$1</f>
        <v/>
      </c>
      <c r="G1318">
        <f>Schedule!$G$2</f>
        <v/>
      </c>
      <c r="H1318">
        <f>Schedule!$G$191</f>
        <v/>
      </c>
      <c r="I1318">
        <f>IF($N1318=1,VALUE(LEFT($H1318,2)),"")</f>
        <v/>
      </c>
      <c r="J1318">
        <f>IF($N1318=1,VALUE(MID($H1318,9,2)),"")</f>
        <v/>
      </c>
      <c r="K1318">
        <f>IF($N1318=1,MOD($J1318-$I1318,24),0)</f>
        <v/>
      </c>
      <c r="L1318">
        <f>IF($N1318=1,$E1318*24+$I1318,"")</f>
        <v/>
      </c>
      <c r="M1318">
        <f>IF($N1318=1,$L1318+$K1318,"")</f>
        <v/>
      </c>
      <c r="N1318">
        <f>IF(ISNUMBER(SEARCH(" - ",$H1318&amp;"")),1,0)</f>
        <v/>
      </c>
      <c r="O1318">
        <f>IF(UPPER($H1318&amp;"")="LEAVE",1,0)</f>
        <v/>
      </c>
      <c r="P1318">
        <f>IF($N1318=1,$K1318,0)</f>
        <v/>
      </c>
      <c r="Q1318">
        <f>IF($N1318=0,"",IFERROR($L1318-'Previous Engine'!$M$190,""))</f>
        <v/>
      </c>
    </row>
    <row r="1319">
      <c r="A1319" t="n">
        <v>1318</v>
      </c>
      <c r="B1319">
        <f>Schedule!$A$191</f>
        <v/>
      </c>
      <c r="C1319">
        <f>Schedule!$D$191</f>
        <v/>
      </c>
      <c r="D1319">
        <f>Schedule!$F$191</f>
        <v/>
      </c>
      <c r="E1319" t="n">
        <v>1</v>
      </c>
      <c r="F1319">
        <f>Schedule!$H$1</f>
        <v/>
      </c>
      <c r="G1319">
        <f>Schedule!$H$2</f>
        <v/>
      </c>
      <c r="H1319">
        <f>Schedule!$H$191</f>
        <v/>
      </c>
      <c r="I1319">
        <f>IF($N1319=1,VALUE(LEFT($H1319,2)),"")</f>
        <v/>
      </c>
      <c r="J1319">
        <f>IF($N1319=1,VALUE(MID($H1319,9,2)),"")</f>
        <v/>
      </c>
      <c r="K1319">
        <f>IF($N1319=1,MOD($J1319-$I1319,24),0)</f>
        <v/>
      </c>
      <c r="L1319">
        <f>IF($N1319=1,$E1319*24+$I1319,"")</f>
        <v/>
      </c>
      <c r="M1319">
        <f>IF($N1319=1,$L1319+$K1319,"")</f>
        <v/>
      </c>
      <c r="N1319">
        <f>IF(ISNUMBER(SEARCH(" - ",$H1319&amp;"")),1,0)</f>
        <v/>
      </c>
      <c r="O1319">
        <f>IF(UPPER($H1319&amp;"")="LEAVE",1,0)</f>
        <v/>
      </c>
      <c r="P1319">
        <f>IF($N1319=1,$K1319,0)</f>
        <v/>
      </c>
      <c r="Q1319">
        <f>IF($N1319=0,"",IFERROR($L1319-LOOKUP(2,1/(($B$2:$B1318=$B1319)*($N$2:$N1318=1)),$M$2:$M1318),""))</f>
        <v/>
      </c>
    </row>
    <row r="1320">
      <c r="A1320" t="n">
        <v>1319</v>
      </c>
      <c r="B1320">
        <f>Schedule!$A$191</f>
        <v/>
      </c>
      <c r="C1320">
        <f>Schedule!$D$191</f>
        <v/>
      </c>
      <c r="D1320">
        <f>Schedule!$F$191</f>
        <v/>
      </c>
      <c r="E1320" t="n">
        <v>2</v>
      </c>
      <c r="F1320">
        <f>Schedule!$I$1</f>
        <v/>
      </c>
      <c r="G1320">
        <f>Schedule!$I$2</f>
        <v/>
      </c>
      <c r="H1320">
        <f>Schedule!$I$191</f>
        <v/>
      </c>
      <c r="I1320">
        <f>IF($N1320=1,VALUE(LEFT($H1320,2)),"")</f>
        <v/>
      </c>
      <c r="J1320">
        <f>IF($N1320=1,VALUE(MID($H1320,9,2)),"")</f>
        <v/>
      </c>
      <c r="K1320">
        <f>IF($N1320=1,MOD($J1320-$I1320,24),0)</f>
        <v/>
      </c>
      <c r="L1320">
        <f>IF($N1320=1,$E1320*24+$I1320,"")</f>
        <v/>
      </c>
      <c r="M1320">
        <f>IF($N1320=1,$L1320+$K1320,"")</f>
        <v/>
      </c>
      <c r="N1320">
        <f>IF(ISNUMBER(SEARCH(" - ",$H1320&amp;"")),1,0)</f>
        <v/>
      </c>
      <c r="O1320">
        <f>IF(UPPER($H1320&amp;"")="LEAVE",1,0)</f>
        <v/>
      </c>
      <c r="P1320">
        <f>IF($N1320=1,$K1320,0)</f>
        <v/>
      </c>
      <c r="Q1320">
        <f>IF($N1320=0,"",IFERROR($L1320-LOOKUP(2,1/(($B$2:$B1319=$B1320)*($N$2:$N1319=1)),$M$2:$M1319),""))</f>
        <v/>
      </c>
    </row>
    <row r="1321">
      <c r="A1321" t="n">
        <v>1320</v>
      </c>
      <c r="B1321">
        <f>Schedule!$A$191</f>
        <v/>
      </c>
      <c r="C1321">
        <f>Schedule!$D$191</f>
        <v/>
      </c>
      <c r="D1321">
        <f>Schedule!$F$191</f>
        <v/>
      </c>
      <c r="E1321" t="n">
        <v>3</v>
      </c>
      <c r="F1321">
        <f>Schedule!$J$1</f>
        <v/>
      </c>
      <c r="G1321">
        <f>Schedule!$J$2</f>
        <v/>
      </c>
      <c r="H1321">
        <f>Schedule!$J$191</f>
        <v/>
      </c>
      <c r="I1321">
        <f>IF($N1321=1,VALUE(LEFT($H1321,2)),"")</f>
        <v/>
      </c>
      <c r="J1321">
        <f>IF($N1321=1,VALUE(MID($H1321,9,2)),"")</f>
        <v/>
      </c>
      <c r="K1321">
        <f>IF($N1321=1,MOD($J1321-$I1321,24),0)</f>
        <v/>
      </c>
      <c r="L1321">
        <f>IF($N1321=1,$E1321*24+$I1321,"")</f>
        <v/>
      </c>
      <c r="M1321">
        <f>IF($N1321=1,$L1321+$K1321,"")</f>
        <v/>
      </c>
      <c r="N1321">
        <f>IF(ISNUMBER(SEARCH(" - ",$H1321&amp;"")),1,0)</f>
        <v/>
      </c>
      <c r="O1321">
        <f>IF(UPPER($H1321&amp;"")="LEAVE",1,0)</f>
        <v/>
      </c>
      <c r="P1321">
        <f>IF($N1321=1,$K1321,0)</f>
        <v/>
      </c>
      <c r="Q1321">
        <f>IF($N1321=0,"",IFERROR($L1321-LOOKUP(2,1/(($B$2:$B1320=$B1321)*($N$2:$N1320=1)),$M$2:$M1320),""))</f>
        <v/>
      </c>
    </row>
    <row r="1322">
      <c r="A1322" t="n">
        <v>1321</v>
      </c>
      <c r="B1322">
        <f>Schedule!$A$191</f>
        <v/>
      </c>
      <c r="C1322">
        <f>Schedule!$D$191</f>
        <v/>
      </c>
      <c r="D1322">
        <f>Schedule!$F$191</f>
        <v/>
      </c>
      <c r="E1322" t="n">
        <v>4</v>
      </c>
      <c r="F1322">
        <f>Schedule!$K$1</f>
        <v/>
      </c>
      <c r="G1322">
        <f>Schedule!$K$2</f>
        <v/>
      </c>
      <c r="H1322">
        <f>Schedule!$K$191</f>
        <v/>
      </c>
      <c r="I1322">
        <f>IF($N1322=1,VALUE(LEFT($H1322,2)),"")</f>
        <v/>
      </c>
      <c r="J1322">
        <f>IF($N1322=1,VALUE(MID($H1322,9,2)),"")</f>
        <v/>
      </c>
      <c r="K1322">
        <f>IF($N1322=1,MOD($J1322-$I1322,24),0)</f>
        <v/>
      </c>
      <c r="L1322">
        <f>IF($N1322=1,$E1322*24+$I1322,"")</f>
        <v/>
      </c>
      <c r="M1322">
        <f>IF($N1322=1,$L1322+$K1322,"")</f>
        <v/>
      </c>
      <c r="N1322">
        <f>IF(ISNUMBER(SEARCH(" - ",$H1322&amp;"")),1,0)</f>
        <v/>
      </c>
      <c r="O1322">
        <f>IF(UPPER($H1322&amp;"")="LEAVE",1,0)</f>
        <v/>
      </c>
      <c r="P1322">
        <f>IF($N1322=1,$K1322,0)</f>
        <v/>
      </c>
      <c r="Q1322">
        <f>IF($N1322=0,"",IFERROR($L1322-LOOKUP(2,1/(($B$2:$B1321=$B1322)*($N$2:$N1321=1)),$M$2:$M1321),""))</f>
        <v/>
      </c>
    </row>
    <row r="1323">
      <c r="A1323" t="n">
        <v>1322</v>
      </c>
      <c r="B1323">
        <f>Schedule!$A$191</f>
        <v/>
      </c>
      <c r="C1323">
        <f>Schedule!$D$191</f>
        <v/>
      </c>
      <c r="D1323">
        <f>Schedule!$F$191</f>
        <v/>
      </c>
      <c r="E1323" t="n">
        <v>5</v>
      </c>
      <c r="F1323">
        <f>Schedule!$L$1</f>
        <v/>
      </c>
      <c r="G1323">
        <f>Schedule!$L$2</f>
        <v/>
      </c>
      <c r="H1323">
        <f>Schedule!$L$191</f>
        <v/>
      </c>
      <c r="I1323">
        <f>IF($N1323=1,VALUE(LEFT($H1323,2)),"")</f>
        <v/>
      </c>
      <c r="J1323">
        <f>IF($N1323=1,VALUE(MID($H1323,9,2)),"")</f>
        <v/>
      </c>
      <c r="K1323">
        <f>IF($N1323=1,MOD($J1323-$I1323,24),0)</f>
        <v/>
      </c>
      <c r="L1323">
        <f>IF($N1323=1,$E1323*24+$I1323,"")</f>
        <v/>
      </c>
      <c r="M1323">
        <f>IF($N1323=1,$L1323+$K1323,"")</f>
        <v/>
      </c>
      <c r="N1323">
        <f>IF(ISNUMBER(SEARCH(" - ",$H1323&amp;"")),1,0)</f>
        <v/>
      </c>
      <c r="O1323">
        <f>IF(UPPER($H1323&amp;"")="LEAVE",1,0)</f>
        <v/>
      </c>
      <c r="P1323">
        <f>IF($N1323=1,$K1323,0)</f>
        <v/>
      </c>
      <c r="Q1323">
        <f>IF($N1323=0,"",IFERROR($L1323-LOOKUP(2,1/(($B$2:$B1322=$B1323)*($N$2:$N1322=1)),$M$2:$M1322),""))</f>
        <v/>
      </c>
    </row>
    <row r="1324">
      <c r="A1324" t="n">
        <v>1323</v>
      </c>
      <c r="B1324">
        <f>Schedule!$A$191</f>
        <v/>
      </c>
      <c r="C1324">
        <f>Schedule!$D$191</f>
        <v/>
      </c>
      <c r="D1324">
        <f>Schedule!$F$191</f>
        <v/>
      </c>
      <c r="E1324" t="n">
        <v>6</v>
      </c>
      <c r="F1324">
        <f>Schedule!$M$1</f>
        <v/>
      </c>
      <c r="G1324">
        <f>Schedule!$M$2</f>
        <v/>
      </c>
      <c r="H1324">
        <f>Schedule!$M$191</f>
        <v/>
      </c>
      <c r="I1324">
        <f>IF($N1324=1,VALUE(LEFT($H1324,2)),"")</f>
        <v/>
      </c>
      <c r="J1324">
        <f>IF($N1324=1,VALUE(MID($H1324,9,2)),"")</f>
        <v/>
      </c>
      <c r="K1324">
        <f>IF($N1324=1,MOD($J1324-$I1324,24),0)</f>
        <v/>
      </c>
      <c r="L1324">
        <f>IF($N1324=1,$E1324*24+$I1324,"")</f>
        <v/>
      </c>
      <c r="M1324">
        <f>IF($N1324=1,$L1324+$K1324,"")</f>
        <v/>
      </c>
      <c r="N1324">
        <f>IF(ISNUMBER(SEARCH(" - ",$H1324&amp;"")),1,0)</f>
        <v/>
      </c>
      <c r="O1324">
        <f>IF(UPPER($H1324&amp;"")="LEAVE",1,0)</f>
        <v/>
      </c>
      <c r="P1324">
        <f>IF($N1324=1,$K1324,0)</f>
        <v/>
      </c>
      <c r="Q1324">
        <f>IF($N1324=0,"",IFERROR($L1324-LOOKUP(2,1/(($B$2:$B1323=$B1324)*($N$2:$N1323=1)),$M$2:$M1323),""))</f>
        <v/>
      </c>
    </row>
    <row r="1325">
      <c r="A1325" t="n">
        <v>1324</v>
      </c>
      <c r="B1325">
        <f>Schedule!$A$192</f>
        <v/>
      </c>
      <c r="C1325">
        <f>Schedule!$D$192</f>
        <v/>
      </c>
      <c r="D1325">
        <f>Schedule!$F$192</f>
        <v/>
      </c>
      <c r="E1325" t="n">
        <v>0</v>
      </c>
      <c r="F1325">
        <f>Schedule!$G$1</f>
        <v/>
      </c>
      <c r="G1325">
        <f>Schedule!$G$2</f>
        <v/>
      </c>
      <c r="H1325">
        <f>Schedule!$G$192</f>
        <v/>
      </c>
      <c r="I1325">
        <f>IF($N1325=1,VALUE(LEFT($H1325,2)),"")</f>
        <v/>
      </c>
      <c r="J1325">
        <f>IF($N1325=1,VALUE(MID($H1325,9,2)),"")</f>
        <v/>
      </c>
      <c r="K1325">
        <f>IF($N1325=1,MOD($J1325-$I1325,24),0)</f>
        <v/>
      </c>
      <c r="L1325">
        <f>IF($N1325=1,$E1325*24+$I1325,"")</f>
        <v/>
      </c>
      <c r="M1325">
        <f>IF($N1325=1,$L1325+$K1325,"")</f>
        <v/>
      </c>
      <c r="N1325">
        <f>IF(ISNUMBER(SEARCH(" - ",$H1325&amp;"")),1,0)</f>
        <v/>
      </c>
      <c r="O1325">
        <f>IF(UPPER($H1325&amp;"")="LEAVE",1,0)</f>
        <v/>
      </c>
      <c r="P1325">
        <f>IF($N1325=1,$K1325,0)</f>
        <v/>
      </c>
      <c r="Q1325">
        <f>IF($N1325=0,"",IFERROR($L1325-'Previous Engine'!$M$191,""))</f>
        <v/>
      </c>
    </row>
    <row r="1326">
      <c r="A1326" t="n">
        <v>1325</v>
      </c>
      <c r="B1326">
        <f>Schedule!$A$192</f>
        <v/>
      </c>
      <c r="C1326">
        <f>Schedule!$D$192</f>
        <v/>
      </c>
      <c r="D1326">
        <f>Schedule!$F$192</f>
        <v/>
      </c>
      <c r="E1326" t="n">
        <v>1</v>
      </c>
      <c r="F1326">
        <f>Schedule!$H$1</f>
        <v/>
      </c>
      <c r="G1326">
        <f>Schedule!$H$2</f>
        <v/>
      </c>
      <c r="H1326">
        <f>Schedule!$H$192</f>
        <v/>
      </c>
      <c r="I1326">
        <f>IF($N1326=1,VALUE(LEFT($H1326,2)),"")</f>
        <v/>
      </c>
      <c r="J1326">
        <f>IF($N1326=1,VALUE(MID($H1326,9,2)),"")</f>
        <v/>
      </c>
      <c r="K1326">
        <f>IF($N1326=1,MOD($J1326-$I1326,24),0)</f>
        <v/>
      </c>
      <c r="L1326">
        <f>IF($N1326=1,$E1326*24+$I1326,"")</f>
        <v/>
      </c>
      <c r="M1326">
        <f>IF($N1326=1,$L1326+$K1326,"")</f>
        <v/>
      </c>
      <c r="N1326">
        <f>IF(ISNUMBER(SEARCH(" - ",$H1326&amp;"")),1,0)</f>
        <v/>
      </c>
      <c r="O1326">
        <f>IF(UPPER($H1326&amp;"")="LEAVE",1,0)</f>
        <v/>
      </c>
      <c r="P1326">
        <f>IF($N1326=1,$K1326,0)</f>
        <v/>
      </c>
      <c r="Q1326">
        <f>IF($N1326=0,"",IFERROR($L1326-LOOKUP(2,1/(($B$2:$B1325=$B1326)*($N$2:$N1325=1)),$M$2:$M1325),""))</f>
        <v/>
      </c>
    </row>
    <row r="1327">
      <c r="A1327" t="n">
        <v>1326</v>
      </c>
      <c r="B1327">
        <f>Schedule!$A$192</f>
        <v/>
      </c>
      <c r="C1327">
        <f>Schedule!$D$192</f>
        <v/>
      </c>
      <c r="D1327">
        <f>Schedule!$F$192</f>
        <v/>
      </c>
      <c r="E1327" t="n">
        <v>2</v>
      </c>
      <c r="F1327">
        <f>Schedule!$I$1</f>
        <v/>
      </c>
      <c r="G1327">
        <f>Schedule!$I$2</f>
        <v/>
      </c>
      <c r="H1327">
        <f>Schedule!$I$192</f>
        <v/>
      </c>
      <c r="I1327">
        <f>IF($N1327=1,VALUE(LEFT($H1327,2)),"")</f>
        <v/>
      </c>
      <c r="J1327">
        <f>IF($N1327=1,VALUE(MID($H1327,9,2)),"")</f>
        <v/>
      </c>
      <c r="K1327">
        <f>IF($N1327=1,MOD($J1327-$I1327,24),0)</f>
        <v/>
      </c>
      <c r="L1327">
        <f>IF($N1327=1,$E1327*24+$I1327,"")</f>
        <v/>
      </c>
      <c r="M1327">
        <f>IF($N1327=1,$L1327+$K1327,"")</f>
        <v/>
      </c>
      <c r="N1327">
        <f>IF(ISNUMBER(SEARCH(" - ",$H1327&amp;"")),1,0)</f>
        <v/>
      </c>
      <c r="O1327">
        <f>IF(UPPER($H1327&amp;"")="LEAVE",1,0)</f>
        <v/>
      </c>
      <c r="P1327">
        <f>IF($N1327=1,$K1327,0)</f>
        <v/>
      </c>
      <c r="Q1327">
        <f>IF($N1327=0,"",IFERROR($L1327-LOOKUP(2,1/(($B$2:$B1326=$B1327)*($N$2:$N1326=1)),$M$2:$M1326),""))</f>
        <v/>
      </c>
    </row>
    <row r="1328">
      <c r="A1328" t="n">
        <v>1327</v>
      </c>
      <c r="B1328">
        <f>Schedule!$A$192</f>
        <v/>
      </c>
      <c r="C1328">
        <f>Schedule!$D$192</f>
        <v/>
      </c>
      <c r="D1328">
        <f>Schedule!$F$192</f>
        <v/>
      </c>
      <c r="E1328" t="n">
        <v>3</v>
      </c>
      <c r="F1328">
        <f>Schedule!$J$1</f>
        <v/>
      </c>
      <c r="G1328">
        <f>Schedule!$J$2</f>
        <v/>
      </c>
      <c r="H1328">
        <f>Schedule!$J$192</f>
        <v/>
      </c>
      <c r="I1328">
        <f>IF($N1328=1,VALUE(LEFT($H1328,2)),"")</f>
        <v/>
      </c>
      <c r="J1328">
        <f>IF($N1328=1,VALUE(MID($H1328,9,2)),"")</f>
        <v/>
      </c>
      <c r="K1328">
        <f>IF($N1328=1,MOD($J1328-$I1328,24),0)</f>
        <v/>
      </c>
      <c r="L1328">
        <f>IF($N1328=1,$E1328*24+$I1328,"")</f>
        <v/>
      </c>
      <c r="M1328">
        <f>IF($N1328=1,$L1328+$K1328,"")</f>
        <v/>
      </c>
      <c r="N1328">
        <f>IF(ISNUMBER(SEARCH(" - ",$H1328&amp;"")),1,0)</f>
        <v/>
      </c>
      <c r="O1328">
        <f>IF(UPPER($H1328&amp;"")="LEAVE",1,0)</f>
        <v/>
      </c>
      <c r="P1328">
        <f>IF($N1328=1,$K1328,0)</f>
        <v/>
      </c>
      <c r="Q1328">
        <f>IF($N1328=0,"",IFERROR($L1328-LOOKUP(2,1/(($B$2:$B1327=$B1328)*($N$2:$N1327=1)),$M$2:$M1327),""))</f>
        <v/>
      </c>
    </row>
    <row r="1329">
      <c r="A1329" t="n">
        <v>1328</v>
      </c>
      <c r="B1329">
        <f>Schedule!$A$192</f>
        <v/>
      </c>
      <c r="C1329">
        <f>Schedule!$D$192</f>
        <v/>
      </c>
      <c r="D1329">
        <f>Schedule!$F$192</f>
        <v/>
      </c>
      <c r="E1329" t="n">
        <v>4</v>
      </c>
      <c r="F1329">
        <f>Schedule!$K$1</f>
        <v/>
      </c>
      <c r="G1329">
        <f>Schedule!$K$2</f>
        <v/>
      </c>
      <c r="H1329">
        <f>Schedule!$K$192</f>
        <v/>
      </c>
      <c r="I1329">
        <f>IF($N1329=1,VALUE(LEFT($H1329,2)),"")</f>
        <v/>
      </c>
      <c r="J1329">
        <f>IF($N1329=1,VALUE(MID($H1329,9,2)),"")</f>
        <v/>
      </c>
      <c r="K1329">
        <f>IF($N1329=1,MOD($J1329-$I1329,24),0)</f>
        <v/>
      </c>
      <c r="L1329">
        <f>IF($N1329=1,$E1329*24+$I1329,"")</f>
        <v/>
      </c>
      <c r="M1329">
        <f>IF($N1329=1,$L1329+$K1329,"")</f>
        <v/>
      </c>
      <c r="N1329">
        <f>IF(ISNUMBER(SEARCH(" - ",$H1329&amp;"")),1,0)</f>
        <v/>
      </c>
      <c r="O1329">
        <f>IF(UPPER($H1329&amp;"")="LEAVE",1,0)</f>
        <v/>
      </c>
      <c r="P1329">
        <f>IF($N1329=1,$K1329,0)</f>
        <v/>
      </c>
      <c r="Q1329">
        <f>IF($N1329=0,"",IFERROR($L1329-LOOKUP(2,1/(($B$2:$B1328=$B1329)*($N$2:$N1328=1)),$M$2:$M1328),""))</f>
        <v/>
      </c>
    </row>
    <row r="1330">
      <c r="A1330" t="n">
        <v>1329</v>
      </c>
      <c r="B1330">
        <f>Schedule!$A$192</f>
        <v/>
      </c>
      <c r="C1330">
        <f>Schedule!$D$192</f>
        <v/>
      </c>
      <c r="D1330">
        <f>Schedule!$F$192</f>
        <v/>
      </c>
      <c r="E1330" t="n">
        <v>5</v>
      </c>
      <c r="F1330">
        <f>Schedule!$L$1</f>
        <v/>
      </c>
      <c r="G1330">
        <f>Schedule!$L$2</f>
        <v/>
      </c>
      <c r="H1330">
        <f>Schedule!$L$192</f>
        <v/>
      </c>
      <c r="I1330">
        <f>IF($N1330=1,VALUE(LEFT($H1330,2)),"")</f>
        <v/>
      </c>
      <c r="J1330">
        <f>IF($N1330=1,VALUE(MID($H1330,9,2)),"")</f>
        <v/>
      </c>
      <c r="K1330">
        <f>IF($N1330=1,MOD($J1330-$I1330,24),0)</f>
        <v/>
      </c>
      <c r="L1330">
        <f>IF($N1330=1,$E1330*24+$I1330,"")</f>
        <v/>
      </c>
      <c r="M1330">
        <f>IF($N1330=1,$L1330+$K1330,"")</f>
        <v/>
      </c>
      <c r="N1330">
        <f>IF(ISNUMBER(SEARCH(" - ",$H1330&amp;"")),1,0)</f>
        <v/>
      </c>
      <c r="O1330">
        <f>IF(UPPER($H1330&amp;"")="LEAVE",1,0)</f>
        <v/>
      </c>
      <c r="P1330">
        <f>IF($N1330=1,$K1330,0)</f>
        <v/>
      </c>
      <c r="Q1330">
        <f>IF($N1330=0,"",IFERROR($L1330-LOOKUP(2,1/(($B$2:$B1329=$B1330)*($N$2:$N1329=1)),$M$2:$M1329),""))</f>
        <v/>
      </c>
    </row>
    <row r="1331">
      <c r="A1331" t="n">
        <v>1330</v>
      </c>
      <c r="B1331">
        <f>Schedule!$A$192</f>
        <v/>
      </c>
      <c r="C1331">
        <f>Schedule!$D$192</f>
        <v/>
      </c>
      <c r="D1331">
        <f>Schedule!$F$192</f>
        <v/>
      </c>
      <c r="E1331" t="n">
        <v>6</v>
      </c>
      <c r="F1331">
        <f>Schedule!$M$1</f>
        <v/>
      </c>
      <c r="G1331">
        <f>Schedule!$M$2</f>
        <v/>
      </c>
      <c r="H1331">
        <f>Schedule!$M$192</f>
        <v/>
      </c>
      <c r="I1331">
        <f>IF($N1331=1,VALUE(LEFT($H1331,2)),"")</f>
        <v/>
      </c>
      <c r="J1331">
        <f>IF($N1331=1,VALUE(MID($H1331,9,2)),"")</f>
        <v/>
      </c>
      <c r="K1331">
        <f>IF($N1331=1,MOD($J1331-$I1331,24),0)</f>
        <v/>
      </c>
      <c r="L1331">
        <f>IF($N1331=1,$E1331*24+$I1331,"")</f>
        <v/>
      </c>
      <c r="M1331">
        <f>IF($N1331=1,$L1331+$K1331,"")</f>
        <v/>
      </c>
      <c r="N1331">
        <f>IF(ISNUMBER(SEARCH(" - ",$H1331&amp;"")),1,0)</f>
        <v/>
      </c>
      <c r="O1331">
        <f>IF(UPPER($H1331&amp;"")="LEAVE",1,0)</f>
        <v/>
      </c>
      <c r="P1331">
        <f>IF($N1331=1,$K1331,0)</f>
        <v/>
      </c>
      <c r="Q1331">
        <f>IF($N1331=0,"",IFERROR($L1331-LOOKUP(2,1/(($B$2:$B1330=$B1331)*($N$2:$N1330=1)),$M$2:$M1330),""))</f>
        <v/>
      </c>
    </row>
    <row r="1332">
      <c r="A1332" t="n">
        <v>1331</v>
      </c>
      <c r="B1332">
        <f>Schedule!$A$193</f>
        <v/>
      </c>
      <c r="C1332">
        <f>Schedule!$D$193</f>
        <v/>
      </c>
      <c r="D1332">
        <f>Schedule!$F$193</f>
        <v/>
      </c>
      <c r="E1332" t="n">
        <v>0</v>
      </c>
      <c r="F1332">
        <f>Schedule!$G$1</f>
        <v/>
      </c>
      <c r="G1332">
        <f>Schedule!$G$2</f>
        <v/>
      </c>
      <c r="H1332">
        <f>Schedule!$G$193</f>
        <v/>
      </c>
      <c r="I1332">
        <f>IF($N1332=1,VALUE(LEFT($H1332,2)),"")</f>
        <v/>
      </c>
      <c r="J1332">
        <f>IF($N1332=1,VALUE(MID($H1332,9,2)),"")</f>
        <v/>
      </c>
      <c r="K1332">
        <f>IF($N1332=1,MOD($J1332-$I1332,24),0)</f>
        <v/>
      </c>
      <c r="L1332">
        <f>IF($N1332=1,$E1332*24+$I1332,"")</f>
        <v/>
      </c>
      <c r="M1332">
        <f>IF($N1332=1,$L1332+$K1332,"")</f>
        <v/>
      </c>
      <c r="N1332">
        <f>IF(ISNUMBER(SEARCH(" - ",$H1332&amp;"")),1,0)</f>
        <v/>
      </c>
      <c r="O1332">
        <f>IF(UPPER($H1332&amp;"")="LEAVE",1,0)</f>
        <v/>
      </c>
      <c r="P1332">
        <f>IF($N1332=1,$K1332,0)</f>
        <v/>
      </c>
      <c r="Q1332">
        <f>IF($N1332=0,"",IFERROR($L1332-'Previous Engine'!$M$192,""))</f>
        <v/>
      </c>
    </row>
    <row r="1333">
      <c r="A1333" t="n">
        <v>1332</v>
      </c>
      <c r="B1333">
        <f>Schedule!$A$193</f>
        <v/>
      </c>
      <c r="C1333">
        <f>Schedule!$D$193</f>
        <v/>
      </c>
      <c r="D1333">
        <f>Schedule!$F$193</f>
        <v/>
      </c>
      <c r="E1333" t="n">
        <v>1</v>
      </c>
      <c r="F1333">
        <f>Schedule!$H$1</f>
        <v/>
      </c>
      <c r="G1333">
        <f>Schedule!$H$2</f>
        <v/>
      </c>
      <c r="H1333">
        <f>Schedule!$H$193</f>
        <v/>
      </c>
      <c r="I1333">
        <f>IF($N1333=1,VALUE(LEFT($H1333,2)),"")</f>
        <v/>
      </c>
      <c r="J1333">
        <f>IF($N1333=1,VALUE(MID($H1333,9,2)),"")</f>
        <v/>
      </c>
      <c r="K1333">
        <f>IF($N1333=1,MOD($J1333-$I1333,24),0)</f>
        <v/>
      </c>
      <c r="L1333">
        <f>IF($N1333=1,$E1333*24+$I1333,"")</f>
        <v/>
      </c>
      <c r="M1333">
        <f>IF($N1333=1,$L1333+$K1333,"")</f>
        <v/>
      </c>
      <c r="N1333">
        <f>IF(ISNUMBER(SEARCH(" - ",$H1333&amp;"")),1,0)</f>
        <v/>
      </c>
      <c r="O1333">
        <f>IF(UPPER($H1333&amp;"")="LEAVE",1,0)</f>
        <v/>
      </c>
      <c r="P1333">
        <f>IF($N1333=1,$K1333,0)</f>
        <v/>
      </c>
      <c r="Q1333">
        <f>IF($N1333=0,"",IFERROR($L1333-LOOKUP(2,1/(($B$2:$B1332=$B1333)*($N$2:$N1332=1)),$M$2:$M1332),""))</f>
        <v/>
      </c>
    </row>
    <row r="1334">
      <c r="A1334" t="n">
        <v>1333</v>
      </c>
      <c r="B1334">
        <f>Schedule!$A$193</f>
        <v/>
      </c>
      <c r="C1334">
        <f>Schedule!$D$193</f>
        <v/>
      </c>
      <c r="D1334">
        <f>Schedule!$F$193</f>
        <v/>
      </c>
      <c r="E1334" t="n">
        <v>2</v>
      </c>
      <c r="F1334">
        <f>Schedule!$I$1</f>
        <v/>
      </c>
      <c r="G1334">
        <f>Schedule!$I$2</f>
        <v/>
      </c>
      <c r="H1334">
        <f>Schedule!$I$193</f>
        <v/>
      </c>
      <c r="I1334">
        <f>IF($N1334=1,VALUE(LEFT($H1334,2)),"")</f>
        <v/>
      </c>
      <c r="J1334">
        <f>IF($N1334=1,VALUE(MID($H1334,9,2)),"")</f>
        <v/>
      </c>
      <c r="K1334">
        <f>IF($N1334=1,MOD($J1334-$I1334,24),0)</f>
        <v/>
      </c>
      <c r="L1334">
        <f>IF($N1334=1,$E1334*24+$I1334,"")</f>
        <v/>
      </c>
      <c r="M1334">
        <f>IF($N1334=1,$L1334+$K1334,"")</f>
        <v/>
      </c>
      <c r="N1334">
        <f>IF(ISNUMBER(SEARCH(" - ",$H1334&amp;"")),1,0)</f>
        <v/>
      </c>
      <c r="O1334">
        <f>IF(UPPER($H1334&amp;"")="LEAVE",1,0)</f>
        <v/>
      </c>
      <c r="P1334">
        <f>IF($N1334=1,$K1334,0)</f>
        <v/>
      </c>
      <c r="Q1334">
        <f>IF($N1334=0,"",IFERROR($L1334-LOOKUP(2,1/(($B$2:$B1333=$B1334)*($N$2:$N1333=1)),$M$2:$M1333),""))</f>
        <v/>
      </c>
    </row>
    <row r="1335">
      <c r="A1335" t="n">
        <v>1334</v>
      </c>
      <c r="B1335">
        <f>Schedule!$A$193</f>
        <v/>
      </c>
      <c r="C1335">
        <f>Schedule!$D$193</f>
        <v/>
      </c>
      <c r="D1335">
        <f>Schedule!$F$193</f>
        <v/>
      </c>
      <c r="E1335" t="n">
        <v>3</v>
      </c>
      <c r="F1335">
        <f>Schedule!$J$1</f>
        <v/>
      </c>
      <c r="G1335">
        <f>Schedule!$J$2</f>
        <v/>
      </c>
      <c r="H1335">
        <f>Schedule!$J$193</f>
        <v/>
      </c>
      <c r="I1335">
        <f>IF($N1335=1,VALUE(LEFT($H1335,2)),"")</f>
        <v/>
      </c>
      <c r="J1335">
        <f>IF($N1335=1,VALUE(MID($H1335,9,2)),"")</f>
        <v/>
      </c>
      <c r="K1335">
        <f>IF($N1335=1,MOD($J1335-$I1335,24),0)</f>
        <v/>
      </c>
      <c r="L1335">
        <f>IF($N1335=1,$E1335*24+$I1335,"")</f>
        <v/>
      </c>
      <c r="M1335">
        <f>IF($N1335=1,$L1335+$K1335,"")</f>
        <v/>
      </c>
      <c r="N1335">
        <f>IF(ISNUMBER(SEARCH(" - ",$H1335&amp;"")),1,0)</f>
        <v/>
      </c>
      <c r="O1335">
        <f>IF(UPPER($H1335&amp;"")="LEAVE",1,0)</f>
        <v/>
      </c>
      <c r="P1335">
        <f>IF($N1335=1,$K1335,0)</f>
        <v/>
      </c>
      <c r="Q1335">
        <f>IF($N1335=0,"",IFERROR($L1335-LOOKUP(2,1/(($B$2:$B1334=$B1335)*($N$2:$N1334=1)),$M$2:$M1334),""))</f>
        <v/>
      </c>
    </row>
    <row r="1336">
      <c r="A1336" t="n">
        <v>1335</v>
      </c>
      <c r="B1336">
        <f>Schedule!$A$193</f>
        <v/>
      </c>
      <c r="C1336">
        <f>Schedule!$D$193</f>
        <v/>
      </c>
      <c r="D1336">
        <f>Schedule!$F$193</f>
        <v/>
      </c>
      <c r="E1336" t="n">
        <v>4</v>
      </c>
      <c r="F1336">
        <f>Schedule!$K$1</f>
        <v/>
      </c>
      <c r="G1336">
        <f>Schedule!$K$2</f>
        <v/>
      </c>
      <c r="H1336">
        <f>Schedule!$K$193</f>
        <v/>
      </c>
      <c r="I1336">
        <f>IF($N1336=1,VALUE(LEFT($H1336,2)),"")</f>
        <v/>
      </c>
      <c r="J1336">
        <f>IF($N1336=1,VALUE(MID($H1336,9,2)),"")</f>
        <v/>
      </c>
      <c r="K1336">
        <f>IF($N1336=1,MOD($J1336-$I1336,24),0)</f>
        <v/>
      </c>
      <c r="L1336">
        <f>IF($N1336=1,$E1336*24+$I1336,"")</f>
        <v/>
      </c>
      <c r="M1336">
        <f>IF($N1336=1,$L1336+$K1336,"")</f>
        <v/>
      </c>
      <c r="N1336">
        <f>IF(ISNUMBER(SEARCH(" - ",$H1336&amp;"")),1,0)</f>
        <v/>
      </c>
      <c r="O1336">
        <f>IF(UPPER($H1336&amp;"")="LEAVE",1,0)</f>
        <v/>
      </c>
      <c r="P1336">
        <f>IF($N1336=1,$K1336,0)</f>
        <v/>
      </c>
      <c r="Q1336">
        <f>IF($N1336=0,"",IFERROR($L1336-LOOKUP(2,1/(($B$2:$B1335=$B1336)*($N$2:$N1335=1)),$M$2:$M1335),""))</f>
        <v/>
      </c>
    </row>
    <row r="1337">
      <c r="A1337" t="n">
        <v>1336</v>
      </c>
      <c r="B1337">
        <f>Schedule!$A$193</f>
        <v/>
      </c>
      <c r="C1337">
        <f>Schedule!$D$193</f>
        <v/>
      </c>
      <c r="D1337">
        <f>Schedule!$F$193</f>
        <v/>
      </c>
      <c r="E1337" t="n">
        <v>5</v>
      </c>
      <c r="F1337">
        <f>Schedule!$L$1</f>
        <v/>
      </c>
      <c r="G1337">
        <f>Schedule!$L$2</f>
        <v/>
      </c>
      <c r="H1337">
        <f>Schedule!$L$193</f>
        <v/>
      </c>
      <c r="I1337">
        <f>IF($N1337=1,VALUE(LEFT($H1337,2)),"")</f>
        <v/>
      </c>
      <c r="J1337">
        <f>IF($N1337=1,VALUE(MID($H1337,9,2)),"")</f>
        <v/>
      </c>
      <c r="K1337">
        <f>IF($N1337=1,MOD($J1337-$I1337,24),0)</f>
        <v/>
      </c>
      <c r="L1337">
        <f>IF($N1337=1,$E1337*24+$I1337,"")</f>
        <v/>
      </c>
      <c r="M1337">
        <f>IF($N1337=1,$L1337+$K1337,"")</f>
        <v/>
      </c>
      <c r="N1337">
        <f>IF(ISNUMBER(SEARCH(" - ",$H1337&amp;"")),1,0)</f>
        <v/>
      </c>
      <c r="O1337">
        <f>IF(UPPER($H1337&amp;"")="LEAVE",1,0)</f>
        <v/>
      </c>
      <c r="P1337">
        <f>IF($N1337=1,$K1337,0)</f>
        <v/>
      </c>
      <c r="Q1337">
        <f>IF($N1337=0,"",IFERROR($L1337-LOOKUP(2,1/(($B$2:$B1336=$B1337)*($N$2:$N1336=1)),$M$2:$M1336),""))</f>
        <v/>
      </c>
    </row>
    <row r="1338">
      <c r="A1338" t="n">
        <v>1337</v>
      </c>
      <c r="B1338">
        <f>Schedule!$A$193</f>
        <v/>
      </c>
      <c r="C1338">
        <f>Schedule!$D$193</f>
        <v/>
      </c>
      <c r="D1338">
        <f>Schedule!$F$193</f>
        <v/>
      </c>
      <c r="E1338" t="n">
        <v>6</v>
      </c>
      <c r="F1338">
        <f>Schedule!$M$1</f>
        <v/>
      </c>
      <c r="G1338">
        <f>Schedule!$M$2</f>
        <v/>
      </c>
      <c r="H1338">
        <f>Schedule!$M$193</f>
        <v/>
      </c>
      <c r="I1338">
        <f>IF($N1338=1,VALUE(LEFT($H1338,2)),"")</f>
        <v/>
      </c>
      <c r="J1338">
        <f>IF($N1338=1,VALUE(MID($H1338,9,2)),"")</f>
        <v/>
      </c>
      <c r="K1338">
        <f>IF($N1338=1,MOD($J1338-$I1338,24),0)</f>
        <v/>
      </c>
      <c r="L1338">
        <f>IF($N1338=1,$E1338*24+$I1338,"")</f>
        <v/>
      </c>
      <c r="M1338">
        <f>IF($N1338=1,$L1338+$K1338,"")</f>
        <v/>
      </c>
      <c r="N1338">
        <f>IF(ISNUMBER(SEARCH(" - ",$H1338&amp;"")),1,0)</f>
        <v/>
      </c>
      <c r="O1338">
        <f>IF(UPPER($H1338&amp;"")="LEAVE",1,0)</f>
        <v/>
      </c>
      <c r="P1338">
        <f>IF($N1338=1,$K1338,0)</f>
        <v/>
      </c>
      <c r="Q1338">
        <f>IF($N1338=0,"",IFERROR($L1338-LOOKUP(2,1/(($B$2:$B1337=$B1338)*($N$2:$N1337=1)),$M$2:$M1337),""))</f>
        <v/>
      </c>
    </row>
    <row r="1339">
      <c r="A1339" t="n">
        <v>1338</v>
      </c>
      <c r="B1339">
        <f>Schedule!$A$194</f>
        <v/>
      </c>
      <c r="C1339">
        <f>Schedule!$D$194</f>
        <v/>
      </c>
      <c r="D1339">
        <f>Schedule!$F$194</f>
        <v/>
      </c>
      <c r="E1339" t="n">
        <v>0</v>
      </c>
      <c r="F1339">
        <f>Schedule!$G$1</f>
        <v/>
      </c>
      <c r="G1339">
        <f>Schedule!$G$2</f>
        <v/>
      </c>
      <c r="H1339">
        <f>Schedule!$G$194</f>
        <v/>
      </c>
      <c r="I1339">
        <f>IF($N1339=1,VALUE(LEFT($H1339,2)),"")</f>
        <v/>
      </c>
      <c r="J1339">
        <f>IF($N1339=1,VALUE(MID($H1339,9,2)),"")</f>
        <v/>
      </c>
      <c r="K1339">
        <f>IF($N1339=1,MOD($J1339-$I1339,24),0)</f>
        <v/>
      </c>
      <c r="L1339">
        <f>IF($N1339=1,$E1339*24+$I1339,"")</f>
        <v/>
      </c>
      <c r="M1339">
        <f>IF($N1339=1,$L1339+$K1339,"")</f>
        <v/>
      </c>
      <c r="N1339">
        <f>IF(ISNUMBER(SEARCH(" - ",$H1339&amp;"")),1,0)</f>
        <v/>
      </c>
      <c r="O1339">
        <f>IF(UPPER($H1339&amp;"")="LEAVE",1,0)</f>
        <v/>
      </c>
      <c r="P1339">
        <f>IF($N1339=1,$K1339,0)</f>
        <v/>
      </c>
      <c r="Q1339">
        <f>IF($N1339=0,"",IFERROR($L1339-'Previous Engine'!$M$193,""))</f>
        <v/>
      </c>
    </row>
    <row r="1340">
      <c r="A1340" t="n">
        <v>1339</v>
      </c>
      <c r="B1340">
        <f>Schedule!$A$194</f>
        <v/>
      </c>
      <c r="C1340">
        <f>Schedule!$D$194</f>
        <v/>
      </c>
      <c r="D1340">
        <f>Schedule!$F$194</f>
        <v/>
      </c>
      <c r="E1340" t="n">
        <v>1</v>
      </c>
      <c r="F1340">
        <f>Schedule!$H$1</f>
        <v/>
      </c>
      <c r="G1340">
        <f>Schedule!$H$2</f>
        <v/>
      </c>
      <c r="H1340">
        <f>Schedule!$H$194</f>
        <v/>
      </c>
      <c r="I1340">
        <f>IF($N1340=1,VALUE(LEFT($H1340,2)),"")</f>
        <v/>
      </c>
      <c r="J1340">
        <f>IF($N1340=1,VALUE(MID($H1340,9,2)),"")</f>
        <v/>
      </c>
      <c r="K1340">
        <f>IF($N1340=1,MOD($J1340-$I1340,24),0)</f>
        <v/>
      </c>
      <c r="L1340">
        <f>IF($N1340=1,$E1340*24+$I1340,"")</f>
        <v/>
      </c>
      <c r="M1340">
        <f>IF($N1340=1,$L1340+$K1340,"")</f>
        <v/>
      </c>
      <c r="N1340">
        <f>IF(ISNUMBER(SEARCH(" - ",$H1340&amp;"")),1,0)</f>
        <v/>
      </c>
      <c r="O1340">
        <f>IF(UPPER($H1340&amp;"")="LEAVE",1,0)</f>
        <v/>
      </c>
      <c r="P1340">
        <f>IF($N1340=1,$K1340,0)</f>
        <v/>
      </c>
      <c r="Q1340">
        <f>IF($N1340=0,"",IFERROR($L1340-LOOKUP(2,1/(($B$2:$B1339=$B1340)*($N$2:$N1339=1)),$M$2:$M1339),""))</f>
        <v/>
      </c>
    </row>
    <row r="1341">
      <c r="A1341" t="n">
        <v>1340</v>
      </c>
      <c r="B1341">
        <f>Schedule!$A$194</f>
        <v/>
      </c>
      <c r="C1341">
        <f>Schedule!$D$194</f>
        <v/>
      </c>
      <c r="D1341">
        <f>Schedule!$F$194</f>
        <v/>
      </c>
      <c r="E1341" t="n">
        <v>2</v>
      </c>
      <c r="F1341">
        <f>Schedule!$I$1</f>
        <v/>
      </c>
      <c r="G1341">
        <f>Schedule!$I$2</f>
        <v/>
      </c>
      <c r="H1341">
        <f>Schedule!$I$194</f>
        <v/>
      </c>
      <c r="I1341">
        <f>IF($N1341=1,VALUE(LEFT($H1341,2)),"")</f>
        <v/>
      </c>
      <c r="J1341">
        <f>IF($N1341=1,VALUE(MID($H1341,9,2)),"")</f>
        <v/>
      </c>
      <c r="K1341">
        <f>IF($N1341=1,MOD($J1341-$I1341,24),0)</f>
        <v/>
      </c>
      <c r="L1341">
        <f>IF($N1341=1,$E1341*24+$I1341,"")</f>
        <v/>
      </c>
      <c r="M1341">
        <f>IF($N1341=1,$L1341+$K1341,"")</f>
        <v/>
      </c>
      <c r="N1341">
        <f>IF(ISNUMBER(SEARCH(" - ",$H1341&amp;"")),1,0)</f>
        <v/>
      </c>
      <c r="O1341">
        <f>IF(UPPER($H1341&amp;"")="LEAVE",1,0)</f>
        <v/>
      </c>
      <c r="P1341">
        <f>IF($N1341=1,$K1341,0)</f>
        <v/>
      </c>
      <c r="Q1341">
        <f>IF($N1341=0,"",IFERROR($L1341-LOOKUP(2,1/(($B$2:$B1340=$B1341)*($N$2:$N1340=1)),$M$2:$M1340),""))</f>
        <v/>
      </c>
    </row>
    <row r="1342">
      <c r="A1342" t="n">
        <v>1341</v>
      </c>
      <c r="B1342">
        <f>Schedule!$A$194</f>
        <v/>
      </c>
      <c r="C1342">
        <f>Schedule!$D$194</f>
        <v/>
      </c>
      <c r="D1342">
        <f>Schedule!$F$194</f>
        <v/>
      </c>
      <c r="E1342" t="n">
        <v>3</v>
      </c>
      <c r="F1342">
        <f>Schedule!$J$1</f>
        <v/>
      </c>
      <c r="G1342">
        <f>Schedule!$J$2</f>
        <v/>
      </c>
      <c r="H1342">
        <f>Schedule!$J$194</f>
        <v/>
      </c>
      <c r="I1342">
        <f>IF($N1342=1,VALUE(LEFT($H1342,2)),"")</f>
        <v/>
      </c>
      <c r="J1342">
        <f>IF($N1342=1,VALUE(MID($H1342,9,2)),"")</f>
        <v/>
      </c>
      <c r="K1342">
        <f>IF($N1342=1,MOD($J1342-$I1342,24),0)</f>
        <v/>
      </c>
      <c r="L1342">
        <f>IF($N1342=1,$E1342*24+$I1342,"")</f>
        <v/>
      </c>
      <c r="M1342">
        <f>IF($N1342=1,$L1342+$K1342,"")</f>
        <v/>
      </c>
      <c r="N1342">
        <f>IF(ISNUMBER(SEARCH(" - ",$H1342&amp;"")),1,0)</f>
        <v/>
      </c>
      <c r="O1342">
        <f>IF(UPPER($H1342&amp;"")="LEAVE",1,0)</f>
        <v/>
      </c>
      <c r="P1342">
        <f>IF($N1342=1,$K1342,0)</f>
        <v/>
      </c>
      <c r="Q1342">
        <f>IF($N1342=0,"",IFERROR($L1342-LOOKUP(2,1/(($B$2:$B1341=$B1342)*($N$2:$N1341=1)),$M$2:$M1341),""))</f>
        <v/>
      </c>
    </row>
    <row r="1343">
      <c r="A1343" t="n">
        <v>1342</v>
      </c>
      <c r="B1343">
        <f>Schedule!$A$194</f>
        <v/>
      </c>
      <c r="C1343">
        <f>Schedule!$D$194</f>
        <v/>
      </c>
      <c r="D1343">
        <f>Schedule!$F$194</f>
        <v/>
      </c>
      <c r="E1343" t="n">
        <v>4</v>
      </c>
      <c r="F1343">
        <f>Schedule!$K$1</f>
        <v/>
      </c>
      <c r="G1343">
        <f>Schedule!$K$2</f>
        <v/>
      </c>
      <c r="H1343">
        <f>Schedule!$K$194</f>
        <v/>
      </c>
      <c r="I1343">
        <f>IF($N1343=1,VALUE(LEFT($H1343,2)),"")</f>
        <v/>
      </c>
      <c r="J1343">
        <f>IF($N1343=1,VALUE(MID($H1343,9,2)),"")</f>
        <v/>
      </c>
      <c r="K1343">
        <f>IF($N1343=1,MOD($J1343-$I1343,24),0)</f>
        <v/>
      </c>
      <c r="L1343">
        <f>IF($N1343=1,$E1343*24+$I1343,"")</f>
        <v/>
      </c>
      <c r="M1343">
        <f>IF($N1343=1,$L1343+$K1343,"")</f>
        <v/>
      </c>
      <c r="N1343">
        <f>IF(ISNUMBER(SEARCH(" - ",$H1343&amp;"")),1,0)</f>
        <v/>
      </c>
      <c r="O1343">
        <f>IF(UPPER($H1343&amp;"")="LEAVE",1,0)</f>
        <v/>
      </c>
      <c r="P1343">
        <f>IF($N1343=1,$K1343,0)</f>
        <v/>
      </c>
      <c r="Q1343">
        <f>IF($N1343=0,"",IFERROR($L1343-LOOKUP(2,1/(($B$2:$B1342=$B1343)*($N$2:$N1342=1)),$M$2:$M1342),""))</f>
        <v/>
      </c>
    </row>
    <row r="1344">
      <c r="A1344" t="n">
        <v>1343</v>
      </c>
      <c r="B1344">
        <f>Schedule!$A$194</f>
        <v/>
      </c>
      <c r="C1344">
        <f>Schedule!$D$194</f>
        <v/>
      </c>
      <c r="D1344">
        <f>Schedule!$F$194</f>
        <v/>
      </c>
      <c r="E1344" t="n">
        <v>5</v>
      </c>
      <c r="F1344">
        <f>Schedule!$L$1</f>
        <v/>
      </c>
      <c r="G1344">
        <f>Schedule!$L$2</f>
        <v/>
      </c>
      <c r="H1344">
        <f>Schedule!$L$194</f>
        <v/>
      </c>
      <c r="I1344">
        <f>IF($N1344=1,VALUE(LEFT($H1344,2)),"")</f>
        <v/>
      </c>
      <c r="J1344">
        <f>IF($N1344=1,VALUE(MID($H1344,9,2)),"")</f>
        <v/>
      </c>
      <c r="K1344">
        <f>IF($N1344=1,MOD($J1344-$I1344,24),0)</f>
        <v/>
      </c>
      <c r="L1344">
        <f>IF($N1344=1,$E1344*24+$I1344,"")</f>
        <v/>
      </c>
      <c r="M1344">
        <f>IF($N1344=1,$L1344+$K1344,"")</f>
        <v/>
      </c>
      <c r="N1344">
        <f>IF(ISNUMBER(SEARCH(" - ",$H1344&amp;"")),1,0)</f>
        <v/>
      </c>
      <c r="O1344">
        <f>IF(UPPER($H1344&amp;"")="LEAVE",1,0)</f>
        <v/>
      </c>
      <c r="P1344">
        <f>IF($N1344=1,$K1344,0)</f>
        <v/>
      </c>
      <c r="Q1344">
        <f>IF($N1344=0,"",IFERROR($L1344-LOOKUP(2,1/(($B$2:$B1343=$B1344)*($N$2:$N1343=1)),$M$2:$M1343),""))</f>
        <v/>
      </c>
    </row>
    <row r="1345">
      <c r="A1345" t="n">
        <v>1344</v>
      </c>
      <c r="B1345">
        <f>Schedule!$A$194</f>
        <v/>
      </c>
      <c r="C1345">
        <f>Schedule!$D$194</f>
        <v/>
      </c>
      <c r="D1345">
        <f>Schedule!$F$194</f>
        <v/>
      </c>
      <c r="E1345" t="n">
        <v>6</v>
      </c>
      <c r="F1345">
        <f>Schedule!$M$1</f>
        <v/>
      </c>
      <c r="G1345">
        <f>Schedule!$M$2</f>
        <v/>
      </c>
      <c r="H1345">
        <f>Schedule!$M$194</f>
        <v/>
      </c>
      <c r="I1345">
        <f>IF($N1345=1,VALUE(LEFT($H1345,2)),"")</f>
        <v/>
      </c>
      <c r="J1345">
        <f>IF($N1345=1,VALUE(MID($H1345,9,2)),"")</f>
        <v/>
      </c>
      <c r="K1345">
        <f>IF($N1345=1,MOD($J1345-$I1345,24),0)</f>
        <v/>
      </c>
      <c r="L1345">
        <f>IF($N1345=1,$E1345*24+$I1345,"")</f>
        <v/>
      </c>
      <c r="M1345">
        <f>IF($N1345=1,$L1345+$K1345,"")</f>
        <v/>
      </c>
      <c r="N1345">
        <f>IF(ISNUMBER(SEARCH(" - ",$H1345&amp;"")),1,0)</f>
        <v/>
      </c>
      <c r="O1345">
        <f>IF(UPPER($H1345&amp;"")="LEAVE",1,0)</f>
        <v/>
      </c>
      <c r="P1345">
        <f>IF($N1345=1,$K1345,0)</f>
        <v/>
      </c>
      <c r="Q1345">
        <f>IF($N1345=0,"",IFERROR($L1345-LOOKUP(2,1/(($B$2:$B1344=$B1345)*($N$2:$N1344=1)),$M$2:$M1344),""))</f>
        <v/>
      </c>
    </row>
    <row r="1346">
      <c r="A1346" t="n">
        <v>1345</v>
      </c>
      <c r="B1346">
        <f>Schedule!$A$195</f>
        <v/>
      </c>
      <c r="C1346">
        <f>Schedule!$D$195</f>
        <v/>
      </c>
      <c r="D1346">
        <f>Schedule!$F$195</f>
        <v/>
      </c>
      <c r="E1346" t="n">
        <v>0</v>
      </c>
      <c r="F1346">
        <f>Schedule!$G$1</f>
        <v/>
      </c>
      <c r="G1346">
        <f>Schedule!$G$2</f>
        <v/>
      </c>
      <c r="H1346">
        <f>Schedule!$G$195</f>
        <v/>
      </c>
      <c r="I1346">
        <f>IF($N1346=1,VALUE(LEFT($H1346,2)),"")</f>
        <v/>
      </c>
      <c r="J1346">
        <f>IF($N1346=1,VALUE(MID($H1346,9,2)),"")</f>
        <v/>
      </c>
      <c r="K1346">
        <f>IF($N1346=1,MOD($J1346-$I1346,24),0)</f>
        <v/>
      </c>
      <c r="L1346">
        <f>IF($N1346=1,$E1346*24+$I1346,"")</f>
        <v/>
      </c>
      <c r="M1346">
        <f>IF($N1346=1,$L1346+$K1346,"")</f>
        <v/>
      </c>
      <c r="N1346">
        <f>IF(ISNUMBER(SEARCH(" - ",$H1346&amp;"")),1,0)</f>
        <v/>
      </c>
      <c r="O1346">
        <f>IF(UPPER($H1346&amp;"")="LEAVE",1,0)</f>
        <v/>
      </c>
      <c r="P1346">
        <f>IF($N1346=1,$K1346,0)</f>
        <v/>
      </c>
      <c r="Q1346">
        <f>IF($N1346=0,"",IFERROR($L1346-'Previous Engine'!$M$194,""))</f>
        <v/>
      </c>
    </row>
    <row r="1347">
      <c r="A1347" t="n">
        <v>1346</v>
      </c>
      <c r="B1347">
        <f>Schedule!$A$195</f>
        <v/>
      </c>
      <c r="C1347">
        <f>Schedule!$D$195</f>
        <v/>
      </c>
      <c r="D1347">
        <f>Schedule!$F$195</f>
        <v/>
      </c>
      <c r="E1347" t="n">
        <v>1</v>
      </c>
      <c r="F1347">
        <f>Schedule!$H$1</f>
        <v/>
      </c>
      <c r="G1347">
        <f>Schedule!$H$2</f>
        <v/>
      </c>
      <c r="H1347">
        <f>Schedule!$H$195</f>
        <v/>
      </c>
      <c r="I1347">
        <f>IF($N1347=1,VALUE(LEFT($H1347,2)),"")</f>
        <v/>
      </c>
      <c r="J1347">
        <f>IF($N1347=1,VALUE(MID($H1347,9,2)),"")</f>
        <v/>
      </c>
      <c r="K1347">
        <f>IF($N1347=1,MOD($J1347-$I1347,24),0)</f>
        <v/>
      </c>
      <c r="L1347">
        <f>IF($N1347=1,$E1347*24+$I1347,"")</f>
        <v/>
      </c>
      <c r="M1347">
        <f>IF($N1347=1,$L1347+$K1347,"")</f>
        <v/>
      </c>
      <c r="N1347">
        <f>IF(ISNUMBER(SEARCH(" - ",$H1347&amp;"")),1,0)</f>
        <v/>
      </c>
      <c r="O1347">
        <f>IF(UPPER($H1347&amp;"")="LEAVE",1,0)</f>
        <v/>
      </c>
      <c r="P1347">
        <f>IF($N1347=1,$K1347,0)</f>
        <v/>
      </c>
      <c r="Q1347">
        <f>IF($N1347=0,"",IFERROR($L1347-LOOKUP(2,1/(($B$2:$B1346=$B1347)*($N$2:$N1346=1)),$M$2:$M1346),""))</f>
        <v/>
      </c>
    </row>
    <row r="1348">
      <c r="A1348" t="n">
        <v>1347</v>
      </c>
      <c r="B1348">
        <f>Schedule!$A$195</f>
        <v/>
      </c>
      <c r="C1348">
        <f>Schedule!$D$195</f>
        <v/>
      </c>
      <c r="D1348">
        <f>Schedule!$F$195</f>
        <v/>
      </c>
      <c r="E1348" t="n">
        <v>2</v>
      </c>
      <c r="F1348">
        <f>Schedule!$I$1</f>
        <v/>
      </c>
      <c r="G1348">
        <f>Schedule!$I$2</f>
        <v/>
      </c>
      <c r="H1348">
        <f>Schedule!$I$195</f>
        <v/>
      </c>
      <c r="I1348">
        <f>IF($N1348=1,VALUE(LEFT($H1348,2)),"")</f>
        <v/>
      </c>
      <c r="J1348">
        <f>IF($N1348=1,VALUE(MID($H1348,9,2)),"")</f>
        <v/>
      </c>
      <c r="K1348">
        <f>IF($N1348=1,MOD($J1348-$I1348,24),0)</f>
        <v/>
      </c>
      <c r="L1348">
        <f>IF($N1348=1,$E1348*24+$I1348,"")</f>
        <v/>
      </c>
      <c r="M1348">
        <f>IF($N1348=1,$L1348+$K1348,"")</f>
        <v/>
      </c>
      <c r="N1348">
        <f>IF(ISNUMBER(SEARCH(" - ",$H1348&amp;"")),1,0)</f>
        <v/>
      </c>
      <c r="O1348">
        <f>IF(UPPER($H1348&amp;"")="LEAVE",1,0)</f>
        <v/>
      </c>
      <c r="P1348">
        <f>IF($N1348=1,$K1348,0)</f>
        <v/>
      </c>
      <c r="Q1348">
        <f>IF($N1348=0,"",IFERROR($L1348-LOOKUP(2,1/(($B$2:$B1347=$B1348)*($N$2:$N1347=1)),$M$2:$M1347),""))</f>
        <v/>
      </c>
    </row>
    <row r="1349">
      <c r="A1349" t="n">
        <v>1348</v>
      </c>
      <c r="B1349">
        <f>Schedule!$A$195</f>
        <v/>
      </c>
      <c r="C1349">
        <f>Schedule!$D$195</f>
        <v/>
      </c>
      <c r="D1349">
        <f>Schedule!$F$195</f>
        <v/>
      </c>
      <c r="E1349" t="n">
        <v>3</v>
      </c>
      <c r="F1349">
        <f>Schedule!$J$1</f>
        <v/>
      </c>
      <c r="G1349">
        <f>Schedule!$J$2</f>
        <v/>
      </c>
      <c r="H1349">
        <f>Schedule!$J$195</f>
        <v/>
      </c>
      <c r="I1349">
        <f>IF($N1349=1,VALUE(LEFT($H1349,2)),"")</f>
        <v/>
      </c>
      <c r="J1349">
        <f>IF($N1349=1,VALUE(MID($H1349,9,2)),"")</f>
        <v/>
      </c>
      <c r="K1349">
        <f>IF($N1349=1,MOD($J1349-$I1349,24),0)</f>
        <v/>
      </c>
      <c r="L1349">
        <f>IF($N1349=1,$E1349*24+$I1349,"")</f>
        <v/>
      </c>
      <c r="M1349">
        <f>IF($N1349=1,$L1349+$K1349,"")</f>
        <v/>
      </c>
      <c r="N1349">
        <f>IF(ISNUMBER(SEARCH(" - ",$H1349&amp;"")),1,0)</f>
        <v/>
      </c>
      <c r="O1349">
        <f>IF(UPPER($H1349&amp;"")="LEAVE",1,0)</f>
        <v/>
      </c>
      <c r="P1349">
        <f>IF($N1349=1,$K1349,0)</f>
        <v/>
      </c>
      <c r="Q1349">
        <f>IF($N1349=0,"",IFERROR($L1349-LOOKUP(2,1/(($B$2:$B1348=$B1349)*($N$2:$N1348=1)),$M$2:$M1348),""))</f>
        <v/>
      </c>
    </row>
    <row r="1350">
      <c r="A1350" t="n">
        <v>1349</v>
      </c>
      <c r="B1350">
        <f>Schedule!$A$195</f>
        <v/>
      </c>
      <c r="C1350">
        <f>Schedule!$D$195</f>
        <v/>
      </c>
      <c r="D1350">
        <f>Schedule!$F$195</f>
        <v/>
      </c>
      <c r="E1350" t="n">
        <v>4</v>
      </c>
      <c r="F1350">
        <f>Schedule!$K$1</f>
        <v/>
      </c>
      <c r="G1350">
        <f>Schedule!$K$2</f>
        <v/>
      </c>
      <c r="H1350">
        <f>Schedule!$K$195</f>
        <v/>
      </c>
      <c r="I1350">
        <f>IF($N1350=1,VALUE(LEFT($H1350,2)),"")</f>
        <v/>
      </c>
      <c r="J1350">
        <f>IF($N1350=1,VALUE(MID($H1350,9,2)),"")</f>
        <v/>
      </c>
      <c r="K1350">
        <f>IF($N1350=1,MOD($J1350-$I1350,24),0)</f>
        <v/>
      </c>
      <c r="L1350">
        <f>IF($N1350=1,$E1350*24+$I1350,"")</f>
        <v/>
      </c>
      <c r="M1350">
        <f>IF($N1350=1,$L1350+$K1350,"")</f>
        <v/>
      </c>
      <c r="N1350">
        <f>IF(ISNUMBER(SEARCH(" - ",$H1350&amp;"")),1,0)</f>
        <v/>
      </c>
      <c r="O1350">
        <f>IF(UPPER($H1350&amp;"")="LEAVE",1,0)</f>
        <v/>
      </c>
      <c r="P1350">
        <f>IF($N1350=1,$K1350,0)</f>
        <v/>
      </c>
      <c r="Q1350">
        <f>IF($N1350=0,"",IFERROR($L1350-LOOKUP(2,1/(($B$2:$B1349=$B1350)*($N$2:$N1349=1)),$M$2:$M1349),""))</f>
        <v/>
      </c>
    </row>
    <row r="1351">
      <c r="A1351" t="n">
        <v>1350</v>
      </c>
      <c r="B1351">
        <f>Schedule!$A$195</f>
        <v/>
      </c>
      <c r="C1351">
        <f>Schedule!$D$195</f>
        <v/>
      </c>
      <c r="D1351">
        <f>Schedule!$F$195</f>
        <v/>
      </c>
      <c r="E1351" t="n">
        <v>5</v>
      </c>
      <c r="F1351">
        <f>Schedule!$L$1</f>
        <v/>
      </c>
      <c r="G1351">
        <f>Schedule!$L$2</f>
        <v/>
      </c>
      <c r="H1351">
        <f>Schedule!$L$195</f>
        <v/>
      </c>
      <c r="I1351">
        <f>IF($N1351=1,VALUE(LEFT($H1351,2)),"")</f>
        <v/>
      </c>
      <c r="J1351">
        <f>IF($N1351=1,VALUE(MID($H1351,9,2)),"")</f>
        <v/>
      </c>
      <c r="K1351">
        <f>IF($N1351=1,MOD($J1351-$I1351,24),0)</f>
        <v/>
      </c>
      <c r="L1351">
        <f>IF($N1351=1,$E1351*24+$I1351,"")</f>
        <v/>
      </c>
      <c r="M1351">
        <f>IF($N1351=1,$L1351+$K1351,"")</f>
        <v/>
      </c>
      <c r="N1351">
        <f>IF(ISNUMBER(SEARCH(" - ",$H1351&amp;"")),1,0)</f>
        <v/>
      </c>
      <c r="O1351">
        <f>IF(UPPER($H1351&amp;"")="LEAVE",1,0)</f>
        <v/>
      </c>
      <c r="P1351">
        <f>IF($N1351=1,$K1351,0)</f>
        <v/>
      </c>
      <c r="Q1351">
        <f>IF($N1351=0,"",IFERROR($L1351-LOOKUP(2,1/(($B$2:$B1350=$B1351)*($N$2:$N1350=1)),$M$2:$M1350),""))</f>
        <v/>
      </c>
    </row>
    <row r="1352">
      <c r="A1352" t="n">
        <v>1351</v>
      </c>
      <c r="B1352">
        <f>Schedule!$A$195</f>
        <v/>
      </c>
      <c r="C1352">
        <f>Schedule!$D$195</f>
        <v/>
      </c>
      <c r="D1352">
        <f>Schedule!$F$195</f>
        <v/>
      </c>
      <c r="E1352" t="n">
        <v>6</v>
      </c>
      <c r="F1352">
        <f>Schedule!$M$1</f>
        <v/>
      </c>
      <c r="G1352">
        <f>Schedule!$M$2</f>
        <v/>
      </c>
      <c r="H1352">
        <f>Schedule!$M$195</f>
        <v/>
      </c>
      <c r="I1352">
        <f>IF($N1352=1,VALUE(LEFT($H1352,2)),"")</f>
        <v/>
      </c>
      <c r="J1352">
        <f>IF($N1352=1,VALUE(MID($H1352,9,2)),"")</f>
        <v/>
      </c>
      <c r="K1352">
        <f>IF($N1352=1,MOD($J1352-$I1352,24),0)</f>
        <v/>
      </c>
      <c r="L1352">
        <f>IF($N1352=1,$E1352*24+$I1352,"")</f>
        <v/>
      </c>
      <c r="M1352">
        <f>IF($N1352=1,$L1352+$K1352,"")</f>
        <v/>
      </c>
      <c r="N1352">
        <f>IF(ISNUMBER(SEARCH(" - ",$H1352&amp;"")),1,0)</f>
        <v/>
      </c>
      <c r="O1352">
        <f>IF(UPPER($H1352&amp;"")="LEAVE",1,0)</f>
        <v/>
      </c>
      <c r="P1352">
        <f>IF($N1352=1,$K1352,0)</f>
        <v/>
      </c>
      <c r="Q1352">
        <f>IF($N1352=0,"",IFERROR($L1352-LOOKUP(2,1/(($B$2:$B1351=$B1352)*($N$2:$N1351=1)),$M$2:$M1351),""))</f>
        <v/>
      </c>
    </row>
    <row r="1353">
      <c r="A1353" t="n">
        <v>1352</v>
      </c>
      <c r="B1353">
        <f>Schedule!$A$196</f>
        <v/>
      </c>
      <c r="C1353">
        <f>Schedule!$D$196</f>
        <v/>
      </c>
      <c r="D1353">
        <f>Schedule!$F$196</f>
        <v/>
      </c>
      <c r="E1353" t="n">
        <v>0</v>
      </c>
      <c r="F1353">
        <f>Schedule!$G$1</f>
        <v/>
      </c>
      <c r="G1353">
        <f>Schedule!$G$2</f>
        <v/>
      </c>
      <c r="H1353">
        <f>Schedule!$G$196</f>
        <v/>
      </c>
      <c r="I1353">
        <f>IF($N1353=1,VALUE(LEFT($H1353,2)),"")</f>
        <v/>
      </c>
      <c r="J1353">
        <f>IF($N1353=1,VALUE(MID($H1353,9,2)),"")</f>
        <v/>
      </c>
      <c r="K1353">
        <f>IF($N1353=1,MOD($J1353-$I1353,24),0)</f>
        <v/>
      </c>
      <c r="L1353">
        <f>IF($N1353=1,$E1353*24+$I1353,"")</f>
        <v/>
      </c>
      <c r="M1353">
        <f>IF($N1353=1,$L1353+$K1353,"")</f>
        <v/>
      </c>
      <c r="N1353">
        <f>IF(ISNUMBER(SEARCH(" - ",$H1353&amp;"")),1,0)</f>
        <v/>
      </c>
      <c r="O1353">
        <f>IF(UPPER($H1353&amp;"")="LEAVE",1,0)</f>
        <v/>
      </c>
      <c r="P1353">
        <f>IF($N1353=1,$K1353,0)</f>
        <v/>
      </c>
      <c r="Q1353">
        <f>IF($N1353=0,"",IFERROR($L1353-'Previous Engine'!$M$195,""))</f>
        <v/>
      </c>
    </row>
    <row r="1354">
      <c r="A1354" t="n">
        <v>1353</v>
      </c>
      <c r="B1354">
        <f>Schedule!$A$196</f>
        <v/>
      </c>
      <c r="C1354">
        <f>Schedule!$D$196</f>
        <v/>
      </c>
      <c r="D1354">
        <f>Schedule!$F$196</f>
        <v/>
      </c>
      <c r="E1354" t="n">
        <v>1</v>
      </c>
      <c r="F1354">
        <f>Schedule!$H$1</f>
        <v/>
      </c>
      <c r="G1354">
        <f>Schedule!$H$2</f>
        <v/>
      </c>
      <c r="H1354">
        <f>Schedule!$H$196</f>
        <v/>
      </c>
      <c r="I1354">
        <f>IF($N1354=1,VALUE(LEFT($H1354,2)),"")</f>
        <v/>
      </c>
      <c r="J1354">
        <f>IF($N1354=1,VALUE(MID($H1354,9,2)),"")</f>
        <v/>
      </c>
      <c r="K1354">
        <f>IF($N1354=1,MOD($J1354-$I1354,24),0)</f>
        <v/>
      </c>
      <c r="L1354">
        <f>IF($N1354=1,$E1354*24+$I1354,"")</f>
        <v/>
      </c>
      <c r="M1354">
        <f>IF($N1354=1,$L1354+$K1354,"")</f>
        <v/>
      </c>
      <c r="N1354">
        <f>IF(ISNUMBER(SEARCH(" - ",$H1354&amp;"")),1,0)</f>
        <v/>
      </c>
      <c r="O1354">
        <f>IF(UPPER($H1354&amp;"")="LEAVE",1,0)</f>
        <v/>
      </c>
      <c r="P1354">
        <f>IF($N1354=1,$K1354,0)</f>
        <v/>
      </c>
      <c r="Q1354">
        <f>IF($N1354=0,"",IFERROR($L1354-LOOKUP(2,1/(($B$2:$B1353=$B1354)*($N$2:$N1353=1)),$M$2:$M1353),""))</f>
        <v/>
      </c>
    </row>
    <row r="1355">
      <c r="A1355" t="n">
        <v>1354</v>
      </c>
      <c r="B1355">
        <f>Schedule!$A$196</f>
        <v/>
      </c>
      <c r="C1355">
        <f>Schedule!$D$196</f>
        <v/>
      </c>
      <c r="D1355">
        <f>Schedule!$F$196</f>
        <v/>
      </c>
      <c r="E1355" t="n">
        <v>2</v>
      </c>
      <c r="F1355">
        <f>Schedule!$I$1</f>
        <v/>
      </c>
      <c r="G1355">
        <f>Schedule!$I$2</f>
        <v/>
      </c>
      <c r="H1355">
        <f>Schedule!$I$196</f>
        <v/>
      </c>
      <c r="I1355">
        <f>IF($N1355=1,VALUE(LEFT($H1355,2)),"")</f>
        <v/>
      </c>
      <c r="J1355">
        <f>IF($N1355=1,VALUE(MID($H1355,9,2)),"")</f>
        <v/>
      </c>
      <c r="K1355">
        <f>IF($N1355=1,MOD($J1355-$I1355,24),0)</f>
        <v/>
      </c>
      <c r="L1355">
        <f>IF($N1355=1,$E1355*24+$I1355,"")</f>
        <v/>
      </c>
      <c r="M1355">
        <f>IF($N1355=1,$L1355+$K1355,"")</f>
        <v/>
      </c>
      <c r="N1355">
        <f>IF(ISNUMBER(SEARCH(" - ",$H1355&amp;"")),1,0)</f>
        <v/>
      </c>
      <c r="O1355">
        <f>IF(UPPER($H1355&amp;"")="LEAVE",1,0)</f>
        <v/>
      </c>
      <c r="P1355">
        <f>IF($N1355=1,$K1355,0)</f>
        <v/>
      </c>
      <c r="Q1355">
        <f>IF($N1355=0,"",IFERROR($L1355-LOOKUP(2,1/(($B$2:$B1354=$B1355)*($N$2:$N1354=1)),$M$2:$M1354),""))</f>
        <v/>
      </c>
    </row>
    <row r="1356">
      <c r="A1356" t="n">
        <v>1355</v>
      </c>
      <c r="B1356">
        <f>Schedule!$A$196</f>
        <v/>
      </c>
      <c r="C1356">
        <f>Schedule!$D$196</f>
        <v/>
      </c>
      <c r="D1356">
        <f>Schedule!$F$196</f>
        <v/>
      </c>
      <c r="E1356" t="n">
        <v>3</v>
      </c>
      <c r="F1356">
        <f>Schedule!$J$1</f>
        <v/>
      </c>
      <c r="G1356">
        <f>Schedule!$J$2</f>
        <v/>
      </c>
      <c r="H1356">
        <f>Schedule!$J$196</f>
        <v/>
      </c>
      <c r="I1356">
        <f>IF($N1356=1,VALUE(LEFT($H1356,2)),"")</f>
        <v/>
      </c>
      <c r="J1356">
        <f>IF($N1356=1,VALUE(MID($H1356,9,2)),"")</f>
        <v/>
      </c>
      <c r="K1356">
        <f>IF($N1356=1,MOD($J1356-$I1356,24),0)</f>
        <v/>
      </c>
      <c r="L1356">
        <f>IF($N1356=1,$E1356*24+$I1356,"")</f>
        <v/>
      </c>
      <c r="M1356">
        <f>IF($N1356=1,$L1356+$K1356,"")</f>
        <v/>
      </c>
      <c r="N1356">
        <f>IF(ISNUMBER(SEARCH(" - ",$H1356&amp;"")),1,0)</f>
        <v/>
      </c>
      <c r="O1356">
        <f>IF(UPPER($H1356&amp;"")="LEAVE",1,0)</f>
        <v/>
      </c>
      <c r="P1356">
        <f>IF($N1356=1,$K1356,0)</f>
        <v/>
      </c>
      <c r="Q1356">
        <f>IF($N1356=0,"",IFERROR($L1356-LOOKUP(2,1/(($B$2:$B1355=$B1356)*($N$2:$N1355=1)),$M$2:$M1355),""))</f>
        <v/>
      </c>
    </row>
    <row r="1357">
      <c r="A1357" t="n">
        <v>1356</v>
      </c>
      <c r="B1357">
        <f>Schedule!$A$196</f>
        <v/>
      </c>
      <c r="C1357">
        <f>Schedule!$D$196</f>
        <v/>
      </c>
      <c r="D1357">
        <f>Schedule!$F$196</f>
        <v/>
      </c>
      <c r="E1357" t="n">
        <v>4</v>
      </c>
      <c r="F1357">
        <f>Schedule!$K$1</f>
        <v/>
      </c>
      <c r="G1357">
        <f>Schedule!$K$2</f>
        <v/>
      </c>
      <c r="H1357">
        <f>Schedule!$K$196</f>
        <v/>
      </c>
      <c r="I1357">
        <f>IF($N1357=1,VALUE(LEFT($H1357,2)),"")</f>
        <v/>
      </c>
      <c r="J1357">
        <f>IF($N1357=1,VALUE(MID($H1357,9,2)),"")</f>
        <v/>
      </c>
      <c r="K1357">
        <f>IF($N1357=1,MOD($J1357-$I1357,24),0)</f>
        <v/>
      </c>
      <c r="L1357">
        <f>IF($N1357=1,$E1357*24+$I1357,"")</f>
        <v/>
      </c>
      <c r="M1357">
        <f>IF($N1357=1,$L1357+$K1357,"")</f>
        <v/>
      </c>
      <c r="N1357">
        <f>IF(ISNUMBER(SEARCH(" - ",$H1357&amp;"")),1,0)</f>
        <v/>
      </c>
      <c r="O1357">
        <f>IF(UPPER($H1357&amp;"")="LEAVE",1,0)</f>
        <v/>
      </c>
      <c r="P1357">
        <f>IF($N1357=1,$K1357,0)</f>
        <v/>
      </c>
      <c r="Q1357">
        <f>IF($N1357=0,"",IFERROR($L1357-LOOKUP(2,1/(($B$2:$B1356=$B1357)*($N$2:$N1356=1)),$M$2:$M1356),""))</f>
        <v/>
      </c>
    </row>
    <row r="1358">
      <c r="A1358" t="n">
        <v>1357</v>
      </c>
      <c r="B1358">
        <f>Schedule!$A$196</f>
        <v/>
      </c>
      <c r="C1358">
        <f>Schedule!$D$196</f>
        <v/>
      </c>
      <c r="D1358">
        <f>Schedule!$F$196</f>
        <v/>
      </c>
      <c r="E1358" t="n">
        <v>5</v>
      </c>
      <c r="F1358">
        <f>Schedule!$L$1</f>
        <v/>
      </c>
      <c r="G1358">
        <f>Schedule!$L$2</f>
        <v/>
      </c>
      <c r="H1358">
        <f>Schedule!$L$196</f>
        <v/>
      </c>
      <c r="I1358">
        <f>IF($N1358=1,VALUE(LEFT($H1358,2)),"")</f>
        <v/>
      </c>
      <c r="J1358">
        <f>IF($N1358=1,VALUE(MID($H1358,9,2)),"")</f>
        <v/>
      </c>
      <c r="K1358">
        <f>IF($N1358=1,MOD($J1358-$I1358,24),0)</f>
        <v/>
      </c>
      <c r="L1358">
        <f>IF($N1358=1,$E1358*24+$I1358,"")</f>
        <v/>
      </c>
      <c r="M1358">
        <f>IF($N1358=1,$L1358+$K1358,"")</f>
        <v/>
      </c>
      <c r="N1358">
        <f>IF(ISNUMBER(SEARCH(" - ",$H1358&amp;"")),1,0)</f>
        <v/>
      </c>
      <c r="O1358">
        <f>IF(UPPER($H1358&amp;"")="LEAVE",1,0)</f>
        <v/>
      </c>
      <c r="P1358">
        <f>IF($N1358=1,$K1358,0)</f>
        <v/>
      </c>
      <c r="Q1358">
        <f>IF($N1358=0,"",IFERROR($L1358-LOOKUP(2,1/(($B$2:$B1357=$B1358)*($N$2:$N1357=1)),$M$2:$M1357),""))</f>
        <v/>
      </c>
    </row>
    <row r="1359">
      <c r="A1359" t="n">
        <v>1358</v>
      </c>
      <c r="B1359">
        <f>Schedule!$A$196</f>
        <v/>
      </c>
      <c r="C1359">
        <f>Schedule!$D$196</f>
        <v/>
      </c>
      <c r="D1359">
        <f>Schedule!$F$196</f>
        <v/>
      </c>
      <c r="E1359" t="n">
        <v>6</v>
      </c>
      <c r="F1359">
        <f>Schedule!$M$1</f>
        <v/>
      </c>
      <c r="G1359">
        <f>Schedule!$M$2</f>
        <v/>
      </c>
      <c r="H1359">
        <f>Schedule!$M$196</f>
        <v/>
      </c>
      <c r="I1359">
        <f>IF($N1359=1,VALUE(LEFT($H1359,2)),"")</f>
        <v/>
      </c>
      <c r="J1359">
        <f>IF($N1359=1,VALUE(MID($H1359,9,2)),"")</f>
        <v/>
      </c>
      <c r="K1359">
        <f>IF($N1359=1,MOD($J1359-$I1359,24),0)</f>
        <v/>
      </c>
      <c r="L1359">
        <f>IF($N1359=1,$E1359*24+$I1359,"")</f>
        <v/>
      </c>
      <c r="M1359">
        <f>IF($N1359=1,$L1359+$K1359,"")</f>
        <v/>
      </c>
      <c r="N1359">
        <f>IF(ISNUMBER(SEARCH(" - ",$H1359&amp;"")),1,0)</f>
        <v/>
      </c>
      <c r="O1359">
        <f>IF(UPPER($H1359&amp;"")="LEAVE",1,0)</f>
        <v/>
      </c>
      <c r="P1359">
        <f>IF($N1359=1,$K1359,0)</f>
        <v/>
      </c>
      <c r="Q1359">
        <f>IF($N1359=0,"",IFERROR($L1359-LOOKUP(2,1/(($B$2:$B1358=$B1359)*($N$2:$N1358=1)),$M$2:$M1358),""))</f>
        <v/>
      </c>
    </row>
    <row r="1360">
      <c r="A1360" t="n">
        <v>1359</v>
      </c>
      <c r="B1360">
        <f>Schedule!$A$197</f>
        <v/>
      </c>
      <c r="C1360">
        <f>Schedule!$D$197</f>
        <v/>
      </c>
      <c r="D1360">
        <f>Schedule!$F$197</f>
        <v/>
      </c>
      <c r="E1360" t="n">
        <v>0</v>
      </c>
      <c r="F1360">
        <f>Schedule!$G$1</f>
        <v/>
      </c>
      <c r="G1360">
        <f>Schedule!$G$2</f>
        <v/>
      </c>
      <c r="H1360">
        <f>Schedule!$G$197</f>
        <v/>
      </c>
      <c r="I1360">
        <f>IF($N1360=1,VALUE(LEFT($H1360,2)),"")</f>
        <v/>
      </c>
      <c r="J1360">
        <f>IF($N1360=1,VALUE(MID($H1360,9,2)),"")</f>
        <v/>
      </c>
      <c r="K1360">
        <f>IF($N1360=1,MOD($J1360-$I1360,24),0)</f>
        <v/>
      </c>
      <c r="L1360">
        <f>IF($N1360=1,$E1360*24+$I1360,"")</f>
        <v/>
      </c>
      <c r="M1360">
        <f>IF($N1360=1,$L1360+$K1360,"")</f>
        <v/>
      </c>
      <c r="N1360">
        <f>IF(ISNUMBER(SEARCH(" - ",$H1360&amp;"")),1,0)</f>
        <v/>
      </c>
      <c r="O1360">
        <f>IF(UPPER($H1360&amp;"")="LEAVE",1,0)</f>
        <v/>
      </c>
      <c r="P1360">
        <f>IF($N1360=1,$K1360,0)</f>
        <v/>
      </c>
      <c r="Q1360">
        <f>IF($N1360=0,"",IFERROR($L1360-'Previous Engine'!$M$196,""))</f>
        <v/>
      </c>
    </row>
    <row r="1361">
      <c r="A1361" t="n">
        <v>1360</v>
      </c>
      <c r="B1361">
        <f>Schedule!$A$197</f>
        <v/>
      </c>
      <c r="C1361">
        <f>Schedule!$D$197</f>
        <v/>
      </c>
      <c r="D1361">
        <f>Schedule!$F$197</f>
        <v/>
      </c>
      <c r="E1361" t="n">
        <v>1</v>
      </c>
      <c r="F1361">
        <f>Schedule!$H$1</f>
        <v/>
      </c>
      <c r="G1361">
        <f>Schedule!$H$2</f>
        <v/>
      </c>
      <c r="H1361">
        <f>Schedule!$H$197</f>
        <v/>
      </c>
      <c r="I1361">
        <f>IF($N1361=1,VALUE(LEFT($H1361,2)),"")</f>
        <v/>
      </c>
      <c r="J1361">
        <f>IF($N1361=1,VALUE(MID($H1361,9,2)),"")</f>
        <v/>
      </c>
      <c r="K1361">
        <f>IF($N1361=1,MOD($J1361-$I1361,24),0)</f>
        <v/>
      </c>
      <c r="L1361">
        <f>IF($N1361=1,$E1361*24+$I1361,"")</f>
        <v/>
      </c>
      <c r="M1361">
        <f>IF($N1361=1,$L1361+$K1361,"")</f>
        <v/>
      </c>
      <c r="N1361">
        <f>IF(ISNUMBER(SEARCH(" - ",$H1361&amp;"")),1,0)</f>
        <v/>
      </c>
      <c r="O1361">
        <f>IF(UPPER($H1361&amp;"")="LEAVE",1,0)</f>
        <v/>
      </c>
      <c r="P1361">
        <f>IF($N1361=1,$K1361,0)</f>
        <v/>
      </c>
      <c r="Q1361">
        <f>IF($N1361=0,"",IFERROR($L1361-LOOKUP(2,1/(($B$2:$B1360=$B1361)*($N$2:$N1360=1)),$M$2:$M1360),""))</f>
        <v/>
      </c>
    </row>
    <row r="1362">
      <c r="A1362" t="n">
        <v>1361</v>
      </c>
      <c r="B1362">
        <f>Schedule!$A$197</f>
        <v/>
      </c>
      <c r="C1362">
        <f>Schedule!$D$197</f>
        <v/>
      </c>
      <c r="D1362">
        <f>Schedule!$F$197</f>
        <v/>
      </c>
      <c r="E1362" t="n">
        <v>2</v>
      </c>
      <c r="F1362">
        <f>Schedule!$I$1</f>
        <v/>
      </c>
      <c r="G1362">
        <f>Schedule!$I$2</f>
        <v/>
      </c>
      <c r="H1362">
        <f>Schedule!$I$197</f>
        <v/>
      </c>
      <c r="I1362">
        <f>IF($N1362=1,VALUE(LEFT($H1362,2)),"")</f>
        <v/>
      </c>
      <c r="J1362">
        <f>IF($N1362=1,VALUE(MID($H1362,9,2)),"")</f>
        <v/>
      </c>
      <c r="K1362">
        <f>IF($N1362=1,MOD($J1362-$I1362,24),0)</f>
        <v/>
      </c>
      <c r="L1362">
        <f>IF($N1362=1,$E1362*24+$I1362,"")</f>
        <v/>
      </c>
      <c r="M1362">
        <f>IF($N1362=1,$L1362+$K1362,"")</f>
        <v/>
      </c>
      <c r="N1362">
        <f>IF(ISNUMBER(SEARCH(" - ",$H1362&amp;"")),1,0)</f>
        <v/>
      </c>
      <c r="O1362">
        <f>IF(UPPER($H1362&amp;"")="LEAVE",1,0)</f>
        <v/>
      </c>
      <c r="P1362">
        <f>IF($N1362=1,$K1362,0)</f>
        <v/>
      </c>
      <c r="Q1362">
        <f>IF($N1362=0,"",IFERROR($L1362-LOOKUP(2,1/(($B$2:$B1361=$B1362)*($N$2:$N1361=1)),$M$2:$M1361),""))</f>
        <v/>
      </c>
    </row>
    <row r="1363">
      <c r="A1363" t="n">
        <v>1362</v>
      </c>
      <c r="B1363">
        <f>Schedule!$A$197</f>
        <v/>
      </c>
      <c r="C1363">
        <f>Schedule!$D$197</f>
        <v/>
      </c>
      <c r="D1363">
        <f>Schedule!$F$197</f>
        <v/>
      </c>
      <c r="E1363" t="n">
        <v>3</v>
      </c>
      <c r="F1363">
        <f>Schedule!$J$1</f>
        <v/>
      </c>
      <c r="G1363">
        <f>Schedule!$J$2</f>
        <v/>
      </c>
      <c r="H1363">
        <f>Schedule!$J$197</f>
        <v/>
      </c>
      <c r="I1363">
        <f>IF($N1363=1,VALUE(LEFT($H1363,2)),"")</f>
        <v/>
      </c>
      <c r="J1363">
        <f>IF($N1363=1,VALUE(MID($H1363,9,2)),"")</f>
        <v/>
      </c>
      <c r="K1363">
        <f>IF($N1363=1,MOD($J1363-$I1363,24),0)</f>
        <v/>
      </c>
      <c r="L1363">
        <f>IF($N1363=1,$E1363*24+$I1363,"")</f>
        <v/>
      </c>
      <c r="M1363">
        <f>IF($N1363=1,$L1363+$K1363,"")</f>
        <v/>
      </c>
      <c r="N1363">
        <f>IF(ISNUMBER(SEARCH(" - ",$H1363&amp;"")),1,0)</f>
        <v/>
      </c>
      <c r="O1363">
        <f>IF(UPPER($H1363&amp;"")="LEAVE",1,0)</f>
        <v/>
      </c>
      <c r="P1363">
        <f>IF($N1363=1,$K1363,0)</f>
        <v/>
      </c>
      <c r="Q1363">
        <f>IF($N1363=0,"",IFERROR($L1363-LOOKUP(2,1/(($B$2:$B1362=$B1363)*($N$2:$N1362=1)),$M$2:$M1362),""))</f>
        <v/>
      </c>
    </row>
    <row r="1364">
      <c r="A1364" t="n">
        <v>1363</v>
      </c>
      <c r="B1364">
        <f>Schedule!$A$197</f>
        <v/>
      </c>
      <c r="C1364">
        <f>Schedule!$D$197</f>
        <v/>
      </c>
      <c r="D1364">
        <f>Schedule!$F$197</f>
        <v/>
      </c>
      <c r="E1364" t="n">
        <v>4</v>
      </c>
      <c r="F1364">
        <f>Schedule!$K$1</f>
        <v/>
      </c>
      <c r="G1364">
        <f>Schedule!$K$2</f>
        <v/>
      </c>
      <c r="H1364">
        <f>Schedule!$K$197</f>
        <v/>
      </c>
      <c r="I1364">
        <f>IF($N1364=1,VALUE(LEFT($H1364,2)),"")</f>
        <v/>
      </c>
      <c r="J1364">
        <f>IF($N1364=1,VALUE(MID($H1364,9,2)),"")</f>
        <v/>
      </c>
      <c r="K1364">
        <f>IF($N1364=1,MOD($J1364-$I1364,24),0)</f>
        <v/>
      </c>
      <c r="L1364">
        <f>IF($N1364=1,$E1364*24+$I1364,"")</f>
        <v/>
      </c>
      <c r="M1364">
        <f>IF($N1364=1,$L1364+$K1364,"")</f>
        <v/>
      </c>
      <c r="N1364">
        <f>IF(ISNUMBER(SEARCH(" - ",$H1364&amp;"")),1,0)</f>
        <v/>
      </c>
      <c r="O1364">
        <f>IF(UPPER($H1364&amp;"")="LEAVE",1,0)</f>
        <v/>
      </c>
      <c r="P1364">
        <f>IF($N1364=1,$K1364,0)</f>
        <v/>
      </c>
      <c r="Q1364">
        <f>IF($N1364=0,"",IFERROR($L1364-LOOKUP(2,1/(($B$2:$B1363=$B1364)*($N$2:$N1363=1)),$M$2:$M1363),""))</f>
        <v/>
      </c>
    </row>
    <row r="1365">
      <c r="A1365" t="n">
        <v>1364</v>
      </c>
      <c r="B1365">
        <f>Schedule!$A$197</f>
        <v/>
      </c>
      <c r="C1365">
        <f>Schedule!$D$197</f>
        <v/>
      </c>
      <c r="D1365">
        <f>Schedule!$F$197</f>
        <v/>
      </c>
      <c r="E1365" t="n">
        <v>5</v>
      </c>
      <c r="F1365">
        <f>Schedule!$L$1</f>
        <v/>
      </c>
      <c r="G1365">
        <f>Schedule!$L$2</f>
        <v/>
      </c>
      <c r="H1365">
        <f>Schedule!$L$197</f>
        <v/>
      </c>
      <c r="I1365">
        <f>IF($N1365=1,VALUE(LEFT($H1365,2)),"")</f>
        <v/>
      </c>
      <c r="J1365">
        <f>IF($N1365=1,VALUE(MID($H1365,9,2)),"")</f>
        <v/>
      </c>
      <c r="K1365">
        <f>IF($N1365=1,MOD($J1365-$I1365,24),0)</f>
        <v/>
      </c>
      <c r="L1365">
        <f>IF($N1365=1,$E1365*24+$I1365,"")</f>
        <v/>
      </c>
      <c r="M1365">
        <f>IF($N1365=1,$L1365+$K1365,"")</f>
        <v/>
      </c>
      <c r="N1365">
        <f>IF(ISNUMBER(SEARCH(" - ",$H1365&amp;"")),1,0)</f>
        <v/>
      </c>
      <c r="O1365">
        <f>IF(UPPER($H1365&amp;"")="LEAVE",1,0)</f>
        <v/>
      </c>
      <c r="P1365">
        <f>IF($N1365=1,$K1365,0)</f>
        <v/>
      </c>
      <c r="Q1365">
        <f>IF($N1365=0,"",IFERROR($L1365-LOOKUP(2,1/(($B$2:$B1364=$B1365)*($N$2:$N1364=1)),$M$2:$M1364),""))</f>
        <v/>
      </c>
    </row>
    <row r="1366">
      <c r="A1366" t="n">
        <v>1365</v>
      </c>
      <c r="B1366">
        <f>Schedule!$A$197</f>
        <v/>
      </c>
      <c r="C1366">
        <f>Schedule!$D$197</f>
        <v/>
      </c>
      <c r="D1366">
        <f>Schedule!$F$197</f>
        <v/>
      </c>
      <c r="E1366" t="n">
        <v>6</v>
      </c>
      <c r="F1366">
        <f>Schedule!$M$1</f>
        <v/>
      </c>
      <c r="G1366">
        <f>Schedule!$M$2</f>
        <v/>
      </c>
      <c r="H1366">
        <f>Schedule!$M$197</f>
        <v/>
      </c>
      <c r="I1366">
        <f>IF($N1366=1,VALUE(LEFT($H1366,2)),"")</f>
        <v/>
      </c>
      <c r="J1366">
        <f>IF($N1366=1,VALUE(MID($H1366,9,2)),"")</f>
        <v/>
      </c>
      <c r="K1366">
        <f>IF($N1366=1,MOD($J1366-$I1366,24),0)</f>
        <v/>
      </c>
      <c r="L1366">
        <f>IF($N1366=1,$E1366*24+$I1366,"")</f>
        <v/>
      </c>
      <c r="M1366">
        <f>IF($N1366=1,$L1366+$K1366,"")</f>
        <v/>
      </c>
      <c r="N1366">
        <f>IF(ISNUMBER(SEARCH(" - ",$H1366&amp;"")),1,0)</f>
        <v/>
      </c>
      <c r="O1366">
        <f>IF(UPPER($H1366&amp;"")="LEAVE",1,0)</f>
        <v/>
      </c>
      <c r="P1366">
        <f>IF($N1366=1,$K1366,0)</f>
        <v/>
      </c>
      <c r="Q1366">
        <f>IF($N1366=0,"",IFERROR($L1366-LOOKUP(2,1/(($B$2:$B1365=$B1366)*($N$2:$N1365=1)),$M$2:$M1365),""))</f>
        <v/>
      </c>
    </row>
    <row r="1367">
      <c r="A1367" t="n">
        <v>1366</v>
      </c>
      <c r="B1367">
        <f>Schedule!$A$198</f>
        <v/>
      </c>
      <c r="C1367">
        <f>Schedule!$D$198</f>
        <v/>
      </c>
      <c r="D1367">
        <f>Schedule!$F$198</f>
        <v/>
      </c>
      <c r="E1367" t="n">
        <v>0</v>
      </c>
      <c r="F1367">
        <f>Schedule!$G$1</f>
        <v/>
      </c>
      <c r="G1367">
        <f>Schedule!$G$2</f>
        <v/>
      </c>
      <c r="H1367">
        <f>Schedule!$G$198</f>
        <v/>
      </c>
      <c r="I1367">
        <f>IF($N1367=1,VALUE(LEFT($H1367,2)),"")</f>
        <v/>
      </c>
      <c r="J1367">
        <f>IF($N1367=1,VALUE(MID($H1367,9,2)),"")</f>
        <v/>
      </c>
      <c r="K1367">
        <f>IF($N1367=1,MOD($J1367-$I1367,24),0)</f>
        <v/>
      </c>
      <c r="L1367">
        <f>IF($N1367=1,$E1367*24+$I1367,"")</f>
        <v/>
      </c>
      <c r="M1367">
        <f>IF($N1367=1,$L1367+$K1367,"")</f>
        <v/>
      </c>
      <c r="N1367">
        <f>IF(ISNUMBER(SEARCH(" - ",$H1367&amp;"")),1,0)</f>
        <v/>
      </c>
      <c r="O1367">
        <f>IF(UPPER($H1367&amp;"")="LEAVE",1,0)</f>
        <v/>
      </c>
      <c r="P1367">
        <f>IF($N1367=1,$K1367,0)</f>
        <v/>
      </c>
      <c r="Q1367">
        <f>IF($N1367=0,"",IFERROR($L1367-'Previous Engine'!$M$197,""))</f>
        <v/>
      </c>
    </row>
    <row r="1368">
      <c r="A1368" t="n">
        <v>1367</v>
      </c>
      <c r="B1368">
        <f>Schedule!$A$198</f>
        <v/>
      </c>
      <c r="C1368">
        <f>Schedule!$D$198</f>
        <v/>
      </c>
      <c r="D1368">
        <f>Schedule!$F$198</f>
        <v/>
      </c>
      <c r="E1368" t="n">
        <v>1</v>
      </c>
      <c r="F1368">
        <f>Schedule!$H$1</f>
        <v/>
      </c>
      <c r="G1368">
        <f>Schedule!$H$2</f>
        <v/>
      </c>
      <c r="H1368">
        <f>Schedule!$H$198</f>
        <v/>
      </c>
      <c r="I1368">
        <f>IF($N1368=1,VALUE(LEFT($H1368,2)),"")</f>
        <v/>
      </c>
      <c r="J1368">
        <f>IF($N1368=1,VALUE(MID($H1368,9,2)),"")</f>
        <v/>
      </c>
      <c r="K1368">
        <f>IF($N1368=1,MOD($J1368-$I1368,24),0)</f>
        <v/>
      </c>
      <c r="L1368">
        <f>IF($N1368=1,$E1368*24+$I1368,"")</f>
        <v/>
      </c>
      <c r="M1368">
        <f>IF($N1368=1,$L1368+$K1368,"")</f>
        <v/>
      </c>
      <c r="N1368">
        <f>IF(ISNUMBER(SEARCH(" - ",$H1368&amp;"")),1,0)</f>
        <v/>
      </c>
      <c r="O1368">
        <f>IF(UPPER($H1368&amp;"")="LEAVE",1,0)</f>
        <v/>
      </c>
      <c r="P1368">
        <f>IF($N1368=1,$K1368,0)</f>
        <v/>
      </c>
      <c r="Q1368">
        <f>IF($N1368=0,"",IFERROR($L1368-LOOKUP(2,1/(($B$2:$B1367=$B1368)*($N$2:$N1367=1)),$M$2:$M1367),""))</f>
        <v/>
      </c>
    </row>
    <row r="1369">
      <c r="A1369" t="n">
        <v>1368</v>
      </c>
      <c r="B1369">
        <f>Schedule!$A$198</f>
        <v/>
      </c>
      <c r="C1369">
        <f>Schedule!$D$198</f>
        <v/>
      </c>
      <c r="D1369">
        <f>Schedule!$F$198</f>
        <v/>
      </c>
      <c r="E1369" t="n">
        <v>2</v>
      </c>
      <c r="F1369">
        <f>Schedule!$I$1</f>
        <v/>
      </c>
      <c r="G1369">
        <f>Schedule!$I$2</f>
        <v/>
      </c>
      <c r="H1369">
        <f>Schedule!$I$198</f>
        <v/>
      </c>
      <c r="I1369">
        <f>IF($N1369=1,VALUE(LEFT($H1369,2)),"")</f>
        <v/>
      </c>
      <c r="J1369">
        <f>IF($N1369=1,VALUE(MID($H1369,9,2)),"")</f>
        <v/>
      </c>
      <c r="K1369">
        <f>IF($N1369=1,MOD($J1369-$I1369,24),0)</f>
        <v/>
      </c>
      <c r="L1369">
        <f>IF($N1369=1,$E1369*24+$I1369,"")</f>
        <v/>
      </c>
      <c r="M1369">
        <f>IF($N1369=1,$L1369+$K1369,"")</f>
        <v/>
      </c>
      <c r="N1369">
        <f>IF(ISNUMBER(SEARCH(" - ",$H1369&amp;"")),1,0)</f>
        <v/>
      </c>
      <c r="O1369">
        <f>IF(UPPER($H1369&amp;"")="LEAVE",1,0)</f>
        <v/>
      </c>
      <c r="P1369">
        <f>IF($N1369=1,$K1369,0)</f>
        <v/>
      </c>
      <c r="Q1369">
        <f>IF($N1369=0,"",IFERROR($L1369-LOOKUP(2,1/(($B$2:$B1368=$B1369)*($N$2:$N1368=1)),$M$2:$M1368),""))</f>
        <v/>
      </c>
    </row>
    <row r="1370">
      <c r="A1370" t="n">
        <v>1369</v>
      </c>
      <c r="B1370">
        <f>Schedule!$A$198</f>
        <v/>
      </c>
      <c r="C1370">
        <f>Schedule!$D$198</f>
        <v/>
      </c>
      <c r="D1370">
        <f>Schedule!$F$198</f>
        <v/>
      </c>
      <c r="E1370" t="n">
        <v>3</v>
      </c>
      <c r="F1370">
        <f>Schedule!$J$1</f>
        <v/>
      </c>
      <c r="G1370">
        <f>Schedule!$J$2</f>
        <v/>
      </c>
      <c r="H1370">
        <f>Schedule!$J$198</f>
        <v/>
      </c>
      <c r="I1370">
        <f>IF($N1370=1,VALUE(LEFT($H1370,2)),"")</f>
        <v/>
      </c>
      <c r="J1370">
        <f>IF($N1370=1,VALUE(MID($H1370,9,2)),"")</f>
        <v/>
      </c>
      <c r="K1370">
        <f>IF($N1370=1,MOD($J1370-$I1370,24),0)</f>
        <v/>
      </c>
      <c r="L1370">
        <f>IF($N1370=1,$E1370*24+$I1370,"")</f>
        <v/>
      </c>
      <c r="M1370">
        <f>IF($N1370=1,$L1370+$K1370,"")</f>
        <v/>
      </c>
      <c r="N1370">
        <f>IF(ISNUMBER(SEARCH(" - ",$H1370&amp;"")),1,0)</f>
        <v/>
      </c>
      <c r="O1370">
        <f>IF(UPPER($H1370&amp;"")="LEAVE",1,0)</f>
        <v/>
      </c>
      <c r="P1370">
        <f>IF($N1370=1,$K1370,0)</f>
        <v/>
      </c>
      <c r="Q1370">
        <f>IF($N1370=0,"",IFERROR($L1370-LOOKUP(2,1/(($B$2:$B1369=$B1370)*($N$2:$N1369=1)),$M$2:$M1369),""))</f>
        <v/>
      </c>
    </row>
    <row r="1371">
      <c r="A1371" t="n">
        <v>1370</v>
      </c>
      <c r="B1371">
        <f>Schedule!$A$198</f>
        <v/>
      </c>
      <c r="C1371">
        <f>Schedule!$D$198</f>
        <v/>
      </c>
      <c r="D1371">
        <f>Schedule!$F$198</f>
        <v/>
      </c>
      <c r="E1371" t="n">
        <v>4</v>
      </c>
      <c r="F1371">
        <f>Schedule!$K$1</f>
        <v/>
      </c>
      <c r="G1371">
        <f>Schedule!$K$2</f>
        <v/>
      </c>
      <c r="H1371">
        <f>Schedule!$K$198</f>
        <v/>
      </c>
      <c r="I1371">
        <f>IF($N1371=1,VALUE(LEFT($H1371,2)),"")</f>
        <v/>
      </c>
      <c r="J1371">
        <f>IF($N1371=1,VALUE(MID($H1371,9,2)),"")</f>
        <v/>
      </c>
      <c r="K1371">
        <f>IF($N1371=1,MOD($J1371-$I1371,24),0)</f>
        <v/>
      </c>
      <c r="L1371">
        <f>IF($N1371=1,$E1371*24+$I1371,"")</f>
        <v/>
      </c>
      <c r="M1371">
        <f>IF($N1371=1,$L1371+$K1371,"")</f>
        <v/>
      </c>
      <c r="N1371">
        <f>IF(ISNUMBER(SEARCH(" - ",$H1371&amp;"")),1,0)</f>
        <v/>
      </c>
      <c r="O1371">
        <f>IF(UPPER($H1371&amp;"")="LEAVE",1,0)</f>
        <v/>
      </c>
      <c r="P1371">
        <f>IF($N1371=1,$K1371,0)</f>
        <v/>
      </c>
      <c r="Q1371">
        <f>IF($N1371=0,"",IFERROR($L1371-LOOKUP(2,1/(($B$2:$B1370=$B1371)*($N$2:$N1370=1)),$M$2:$M1370),""))</f>
        <v/>
      </c>
    </row>
    <row r="1372">
      <c r="A1372" t="n">
        <v>1371</v>
      </c>
      <c r="B1372">
        <f>Schedule!$A$198</f>
        <v/>
      </c>
      <c r="C1372">
        <f>Schedule!$D$198</f>
        <v/>
      </c>
      <c r="D1372">
        <f>Schedule!$F$198</f>
        <v/>
      </c>
      <c r="E1372" t="n">
        <v>5</v>
      </c>
      <c r="F1372">
        <f>Schedule!$L$1</f>
        <v/>
      </c>
      <c r="G1372">
        <f>Schedule!$L$2</f>
        <v/>
      </c>
      <c r="H1372">
        <f>Schedule!$L$198</f>
        <v/>
      </c>
      <c r="I1372">
        <f>IF($N1372=1,VALUE(LEFT($H1372,2)),"")</f>
        <v/>
      </c>
      <c r="J1372">
        <f>IF($N1372=1,VALUE(MID($H1372,9,2)),"")</f>
        <v/>
      </c>
      <c r="K1372">
        <f>IF($N1372=1,MOD($J1372-$I1372,24),0)</f>
        <v/>
      </c>
      <c r="L1372">
        <f>IF($N1372=1,$E1372*24+$I1372,"")</f>
        <v/>
      </c>
      <c r="M1372">
        <f>IF($N1372=1,$L1372+$K1372,"")</f>
        <v/>
      </c>
      <c r="N1372">
        <f>IF(ISNUMBER(SEARCH(" - ",$H1372&amp;"")),1,0)</f>
        <v/>
      </c>
      <c r="O1372">
        <f>IF(UPPER($H1372&amp;"")="LEAVE",1,0)</f>
        <v/>
      </c>
      <c r="P1372">
        <f>IF($N1372=1,$K1372,0)</f>
        <v/>
      </c>
      <c r="Q1372">
        <f>IF($N1372=0,"",IFERROR($L1372-LOOKUP(2,1/(($B$2:$B1371=$B1372)*($N$2:$N1371=1)),$M$2:$M1371),""))</f>
        <v/>
      </c>
    </row>
    <row r="1373">
      <c r="A1373" t="n">
        <v>1372</v>
      </c>
      <c r="B1373">
        <f>Schedule!$A$198</f>
        <v/>
      </c>
      <c r="C1373">
        <f>Schedule!$D$198</f>
        <v/>
      </c>
      <c r="D1373">
        <f>Schedule!$F$198</f>
        <v/>
      </c>
      <c r="E1373" t="n">
        <v>6</v>
      </c>
      <c r="F1373">
        <f>Schedule!$M$1</f>
        <v/>
      </c>
      <c r="G1373">
        <f>Schedule!$M$2</f>
        <v/>
      </c>
      <c r="H1373">
        <f>Schedule!$M$198</f>
        <v/>
      </c>
      <c r="I1373">
        <f>IF($N1373=1,VALUE(LEFT($H1373,2)),"")</f>
        <v/>
      </c>
      <c r="J1373">
        <f>IF($N1373=1,VALUE(MID($H1373,9,2)),"")</f>
        <v/>
      </c>
      <c r="K1373">
        <f>IF($N1373=1,MOD($J1373-$I1373,24),0)</f>
        <v/>
      </c>
      <c r="L1373">
        <f>IF($N1373=1,$E1373*24+$I1373,"")</f>
        <v/>
      </c>
      <c r="M1373">
        <f>IF($N1373=1,$L1373+$K1373,"")</f>
        <v/>
      </c>
      <c r="N1373">
        <f>IF(ISNUMBER(SEARCH(" - ",$H1373&amp;"")),1,0)</f>
        <v/>
      </c>
      <c r="O1373">
        <f>IF(UPPER($H1373&amp;"")="LEAVE",1,0)</f>
        <v/>
      </c>
      <c r="P1373">
        <f>IF($N1373=1,$K1373,0)</f>
        <v/>
      </c>
      <c r="Q1373">
        <f>IF($N1373=0,"",IFERROR($L1373-LOOKUP(2,1/(($B$2:$B1372=$B1373)*($N$2:$N1372=1)),$M$2:$M1372),""))</f>
        <v/>
      </c>
    </row>
    <row r="1374">
      <c r="A1374" t="n">
        <v>1373</v>
      </c>
      <c r="B1374">
        <f>Schedule!$A$199</f>
        <v/>
      </c>
      <c r="C1374">
        <f>Schedule!$D$199</f>
        <v/>
      </c>
      <c r="D1374">
        <f>Schedule!$F$199</f>
        <v/>
      </c>
      <c r="E1374" t="n">
        <v>0</v>
      </c>
      <c r="F1374">
        <f>Schedule!$G$1</f>
        <v/>
      </c>
      <c r="G1374">
        <f>Schedule!$G$2</f>
        <v/>
      </c>
      <c r="H1374">
        <f>Schedule!$G$199</f>
        <v/>
      </c>
      <c r="I1374">
        <f>IF($N1374=1,VALUE(LEFT($H1374,2)),"")</f>
        <v/>
      </c>
      <c r="J1374">
        <f>IF($N1374=1,VALUE(MID($H1374,9,2)),"")</f>
        <v/>
      </c>
      <c r="K1374">
        <f>IF($N1374=1,MOD($J1374-$I1374,24),0)</f>
        <v/>
      </c>
      <c r="L1374">
        <f>IF($N1374=1,$E1374*24+$I1374,"")</f>
        <v/>
      </c>
      <c r="M1374">
        <f>IF($N1374=1,$L1374+$K1374,"")</f>
        <v/>
      </c>
      <c r="N1374">
        <f>IF(ISNUMBER(SEARCH(" - ",$H1374&amp;"")),1,0)</f>
        <v/>
      </c>
      <c r="O1374">
        <f>IF(UPPER($H1374&amp;"")="LEAVE",1,0)</f>
        <v/>
      </c>
      <c r="P1374">
        <f>IF($N1374=1,$K1374,0)</f>
        <v/>
      </c>
      <c r="Q1374">
        <f>IF($N1374=0,"",IFERROR($L1374-'Previous Engine'!$M$198,""))</f>
        <v/>
      </c>
    </row>
    <row r="1375">
      <c r="A1375" t="n">
        <v>1374</v>
      </c>
      <c r="B1375">
        <f>Schedule!$A$199</f>
        <v/>
      </c>
      <c r="C1375">
        <f>Schedule!$D$199</f>
        <v/>
      </c>
      <c r="D1375">
        <f>Schedule!$F$199</f>
        <v/>
      </c>
      <c r="E1375" t="n">
        <v>1</v>
      </c>
      <c r="F1375">
        <f>Schedule!$H$1</f>
        <v/>
      </c>
      <c r="G1375">
        <f>Schedule!$H$2</f>
        <v/>
      </c>
      <c r="H1375">
        <f>Schedule!$H$199</f>
        <v/>
      </c>
      <c r="I1375">
        <f>IF($N1375=1,VALUE(LEFT($H1375,2)),"")</f>
        <v/>
      </c>
      <c r="J1375">
        <f>IF($N1375=1,VALUE(MID($H1375,9,2)),"")</f>
        <v/>
      </c>
      <c r="K1375">
        <f>IF($N1375=1,MOD($J1375-$I1375,24),0)</f>
        <v/>
      </c>
      <c r="L1375">
        <f>IF($N1375=1,$E1375*24+$I1375,"")</f>
        <v/>
      </c>
      <c r="M1375">
        <f>IF($N1375=1,$L1375+$K1375,"")</f>
        <v/>
      </c>
      <c r="N1375">
        <f>IF(ISNUMBER(SEARCH(" - ",$H1375&amp;"")),1,0)</f>
        <v/>
      </c>
      <c r="O1375">
        <f>IF(UPPER($H1375&amp;"")="LEAVE",1,0)</f>
        <v/>
      </c>
      <c r="P1375">
        <f>IF($N1375=1,$K1375,0)</f>
        <v/>
      </c>
      <c r="Q1375">
        <f>IF($N1375=0,"",IFERROR($L1375-LOOKUP(2,1/(($B$2:$B1374=$B1375)*($N$2:$N1374=1)),$M$2:$M1374),""))</f>
        <v/>
      </c>
    </row>
    <row r="1376">
      <c r="A1376" t="n">
        <v>1375</v>
      </c>
      <c r="B1376">
        <f>Schedule!$A$199</f>
        <v/>
      </c>
      <c r="C1376">
        <f>Schedule!$D$199</f>
        <v/>
      </c>
      <c r="D1376">
        <f>Schedule!$F$199</f>
        <v/>
      </c>
      <c r="E1376" t="n">
        <v>2</v>
      </c>
      <c r="F1376">
        <f>Schedule!$I$1</f>
        <v/>
      </c>
      <c r="G1376">
        <f>Schedule!$I$2</f>
        <v/>
      </c>
      <c r="H1376">
        <f>Schedule!$I$199</f>
        <v/>
      </c>
      <c r="I1376">
        <f>IF($N1376=1,VALUE(LEFT($H1376,2)),"")</f>
        <v/>
      </c>
      <c r="J1376">
        <f>IF($N1376=1,VALUE(MID($H1376,9,2)),"")</f>
        <v/>
      </c>
      <c r="K1376">
        <f>IF($N1376=1,MOD($J1376-$I1376,24),0)</f>
        <v/>
      </c>
      <c r="L1376">
        <f>IF($N1376=1,$E1376*24+$I1376,"")</f>
        <v/>
      </c>
      <c r="M1376">
        <f>IF($N1376=1,$L1376+$K1376,"")</f>
        <v/>
      </c>
      <c r="N1376">
        <f>IF(ISNUMBER(SEARCH(" - ",$H1376&amp;"")),1,0)</f>
        <v/>
      </c>
      <c r="O1376">
        <f>IF(UPPER($H1376&amp;"")="LEAVE",1,0)</f>
        <v/>
      </c>
      <c r="P1376">
        <f>IF($N1376=1,$K1376,0)</f>
        <v/>
      </c>
      <c r="Q1376">
        <f>IF($N1376=0,"",IFERROR($L1376-LOOKUP(2,1/(($B$2:$B1375=$B1376)*($N$2:$N1375=1)),$M$2:$M1375),""))</f>
        <v/>
      </c>
    </row>
    <row r="1377">
      <c r="A1377" t="n">
        <v>1376</v>
      </c>
      <c r="B1377">
        <f>Schedule!$A$199</f>
        <v/>
      </c>
      <c r="C1377">
        <f>Schedule!$D$199</f>
        <v/>
      </c>
      <c r="D1377">
        <f>Schedule!$F$199</f>
        <v/>
      </c>
      <c r="E1377" t="n">
        <v>3</v>
      </c>
      <c r="F1377">
        <f>Schedule!$J$1</f>
        <v/>
      </c>
      <c r="G1377">
        <f>Schedule!$J$2</f>
        <v/>
      </c>
      <c r="H1377">
        <f>Schedule!$J$199</f>
        <v/>
      </c>
      <c r="I1377">
        <f>IF($N1377=1,VALUE(LEFT($H1377,2)),"")</f>
        <v/>
      </c>
      <c r="J1377">
        <f>IF($N1377=1,VALUE(MID($H1377,9,2)),"")</f>
        <v/>
      </c>
      <c r="K1377">
        <f>IF($N1377=1,MOD($J1377-$I1377,24),0)</f>
        <v/>
      </c>
      <c r="L1377">
        <f>IF($N1377=1,$E1377*24+$I1377,"")</f>
        <v/>
      </c>
      <c r="M1377">
        <f>IF($N1377=1,$L1377+$K1377,"")</f>
        <v/>
      </c>
      <c r="N1377">
        <f>IF(ISNUMBER(SEARCH(" - ",$H1377&amp;"")),1,0)</f>
        <v/>
      </c>
      <c r="O1377">
        <f>IF(UPPER($H1377&amp;"")="LEAVE",1,0)</f>
        <v/>
      </c>
      <c r="P1377">
        <f>IF($N1377=1,$K1377,0)</f>
        <v/>
      </c>
      <c r="Q1377">
        <f>IF($N1377=0,"",IFERROR($L1377-LOOKUP(2,1/(($B$2:$B1376=$B1377)*($N$2:$N1376=1)),$M$2:$M1376),""))</f>
        <v/>
      </c>
    </row>
    <row r="1378">
      <c r="A1378" t="n">
        <v>1377</v>
      </c>
      <c r="B1378">
        <f>Schedule!$A$199</f>
        <v/>
      </c>
      <c r="C1378">
        <f>Schedule!$D$199</f>
        <v/>
      </c>
      <c r="D1378">
        <f>Schedule!$F$199</f>
        <v/>
      </c>
      <c r="E1378" t="n">
        <v>4</v>
      </c>
      <c r="F1378">
        <f>Schedule!$K$1</f>
        <v/>
      </c>
      <c r="G1378">
        <f>Schedule!$K$2</f>
        <v/>
      </c>
      <c r="H1378">
        <f>Schedule!$K$199</f>
        <v/>
      </c>
      <c r="I1378">
        <f>IF($N1378=1,VALUE(LEFT($H1378,2)),"")</f>
        <v/>
      </c>
      <c r="J1378">
        <f>IF($N1378=1,VALUE(MID($H1378,9,2)),"")</f>
        <v/>
      </c>
      <c r="K1378">
        <f>IF($N1378=1,MOD($J1378-$I1378,24),0)</f>
        <v/>
      </c>
      <c r="L1378">
        <f>IF($N1378=1,$E1378*24+$I1378,"")</f>
        <v/>
      </c>
      <c r="M1378">
        <f>IF($N1378=1,$L1378+$K1378,"")</f>
        <v/>
      </c>
      <c r="N1378">
        <f>IF(ISNUMBER(SEARCH(" - ",$H1378&amp;"")),1,0)</f>
        <v/>
      </c>
      <c r="O1378">
        <f>IF(UPPER($H1378&amp;"")="LEAVE",1,0)</f>
        <v/>
      </c>
      <c r="P1378">
        <f>IF($N1378=1,$K1378,0)</f>
        <v/>
      </c>
      <c r="Q1378">
        <f>IF($N1378=0,"",IFERROR($L1378-LOOKUP(2,1/(($B$2:$B1377=$B1378)*($N$2:$N1377=1)),$M$2:$M1377),""))</f>
        <v/>
      </c>
    </row>
    <row r="1379">
      <c r="A1379" t="n">
        <v>1378</v>
      </c>
      <c r="B1379">
        <f>Schedule!$A$199</f>
        <v/>
      </c>
      <c r="C1379">
        <f>Schedule!$D$199</f>
        <v/>
      </c>
      <c r="D1379">
        <f>Schedule!$F$199</f>
        <v/>
      </c>
      <c r="E1379" t="n">
        <v>5</v>
      </c>
      <c r="F1379">
        <f>Schedule!$L$1</f>
        <v/>
      </c>
      <c r="G1379">
        <f>Schedule!$L$2</f>
        <v/>
      </c>
      <c r="H1379">
        <f>Schedule!$L$199</f>
        <v/>
      </c>
      <c r="I1379">
        <f>IF($N1379=1,VALUE(LEFT($H1379,2)),"")</f>
        <v/>
      </c>
      <c r="J1379">
        <f>IF($N1379=1,VALUE(MID($H1379,9,2)),"")</f>
        <v/>
      </c>
      <c r="K1379">
        <f>IF($N1379=1,MOD($J1379-$I1379,24),0)</f>
        <v/>
      </c>
      <c r="L1379">
        <f>IF($N1379=1,$E1379*24+$I1379,"")</f>
        <v/>
      </c>
      <c r="M1379">
        <f>IF($N1379=1,$L1379+$K1379,"")</f>
        <v/>
      </c>
      <c r="N1379">
        <f>IF(ISNUMBER(SEARCH(" - ",$H1379&amp;"")),1,0)</f>
        <v/>
      </c>
      <c r="O1379">
        <f>IF(UPPER($H1379&amp;"")="LEAVE",1,0)</f>
        <v/>
      </c>
      <c r="P1379">
        <f>IF($N1379=1,$K1379,0)</f>
        <v/>
      </c>
      <c r="Q1379">
        <f>IF($N1379=0,"",IFERROR($L1379-LOOKUP(2,1/(($B$2:$B1378=$B1379)*($N$2:$N1378=1)),$M$2:$M1378),""))</f>
        <v/>
      </c>
    </row>
    <row r="1380">
      <c r="A1380" t="n">
        <v>1379</v>
      </c>
      <c r="B1380">
        <f>Schedule!$A$199</f>
        <v/>
      </c>
      <c r="C1380">
        <f>Schedule!$D$199</f>
        <v/>
      </c>
      <c r="D1380">
        <f>Schedule!$F$199</f>
        <v/>
      </c>
      <c r="E1380" t="n">
        <v>6</v>
      </c>
      <c r="F1380">
        <f>Schedule!$M$1</f>
        <v/>
      </c>
      <c r="G1380">
        <f>Schedule!$M$2</f>
        <v/>
      </c>
      <c r="H1380">
        <f>Schedule!$M$199</f>
        <v/>
      </c>
      <c r="I1380">
        <f>IF($N1380=1,VALUE(LEFT($H1380,2)),"")</f>
        <v/>
      </c>
      <c r="J1380">
        <f>IF($N1380=1,VALUE(MID($H1380,9,2)),"")</f>
        <v/>
      </c>
      <c r="K1380">
        <f>IF($N1380=1,MOD($J1380-$I1380,24),0)</f>
        <v/>
      </c>
      <c r="L1380">
        <f>IF($N1380=1,$E1380*24+$I1380,"")</f>
        <v/>
      </c>
      <c r="M1380">
        <f>IF($N1380=1,$L1380+$K1380,"")</f>
        <v/>
      </c>
      <c r="N1380">
        <f>IF(ISNUMBER(SEARCH(" - ",$H1380&amp;"")),1,0)</f>
        <v/>
      </c>
      <c r="O1380">
        <f>IF(UPPER($H1380&amp;"")="LEAVE",1,0)</f>
        <v/>
      </c>
      <c r="P1380">
        <f>IF($N1380=1,$K1380,0)</f>
        <v/>
      </c>
      <c r="Q1380">
        <f>IF($N1380=0,"",IFERROR($L1380-LOOKUP(2,1/(($B$2:$B1379=$B1380)*($N$2:$N1379=1)),$M$2:$M1379),""))</f>
        <v/>
      </c>
    </row>
    <row r="1381">
      <c r="A1381" t="n">
        <v>1380</v>
      </c>
      <c r="B1381">
        <f>Schedule!$A$200</f>
        <v/>
      </c>
      <c r="C1381">
        <f>Schedule!$D$200</f>
        <v/>
      </c>
      <c r="D1381">
        <f>Schedule!$F$200</f>
        <v/>
      </c>
      <c r="E1381" t="n">
        <v>0</v>
      </c>
      <c r="F1381">
        <f>Schedule!$G$1</f>
        <v/>
      </c>
      <c r="G1381">
        <f>Schedule!$G$2</f>
        <v/>
      </c>
      <c r="H1381">
        <f>Schedule!$G$200</f>
        <v/>
      </c>
      <c r="I1381">
        <f>IF($N1381=1,VALUE(LEFT($H1381,2)),"")</f>
        <v/>
      </c>
      <c r="J1381">
        <f>IF($N1381=1,VALUE(MID($H1381,9,2)),"")</f>
        <v/>
      </c>
      <c r="K1381">
        <f>IF($N1381=1,MOD($J1381-$I1381,24),0)</f>
        <v/>
      </c>
      <c r="L1381">
        <f>IF($N1381=1,$E1381*24+$I1381,"")</f>
        <v/>
      </c>
      <c r="M1381">
        <f>IF($N1381=1,$L1381+$K1381,"")</f>
        <v/>
      </c>
      <c r="N1381">
        <f>IF(ISNUMBER(SEARCH(" - ",$H1381&amp;"")),1,0)</f>
        <v/>
      </c>
      <c r="O1381">
        <f>IF(UPPER($H1381&amp;"")="LEAVE",1,0)</f>
        <v/>
      </c>
      <c r="P1381">
        <f>IF($N1381=1,$K1381,0)</f>
        <v/>
      </c>
      <c r="Q1381">
        <f>IF($N1381=0,"",IFERROR($L1381-'Previous Engine'!$M$199,""))</f>
        <v/>
      </c>
    </row>
    <row r="1382">
      <c r="A1382" t="n">
        <v>1381</v>
      </c>
      <c r="B1382">
        <f>Schedule!$A$200</f>
        <v/>
      </c>
      <c r="C1382">
        <f>Schedule!$D$200</f>
        <v/>
      </c>
      <c r="D1382">
        <f>Schedule!$F$200</f>
        <v/>
      </c>
      <c r="E1382" t="n">
        <v>1</v>
      </c>
      <c r="F1382">
        <f>Schedule!$H$1</f>
        <v/>
      </c>
      <c r="G1382">
        <f>Schedule!$H$2</f>
        <v/>
      </c>
      <c r="H1382">
        <f>Schedule!$H$200</f>
        <v/>
      </c>
      <c r="I1382">
        <f>IF($N1382=1,VALUE(LEFT($H1382,2)),"")</f>
        <v/>
      </c>
      <c r="J1382">
        <f>IF($N1382=1,VALUE(MID($H1382,9,2)),"")</f>
        <v/>
      </c>
      <c r="K1382">
        <f>IF($N1382=1,MOD($J1382-$I1382,24),0)</f>
        <v/>
      </c>
      <c r="L1382">
        <f>IF($N1382=1,$E1382*24+$I1382,"")</f>
        <v/>
      </c>
      <c r="M1382">
        <f>IF($N1382=1,$L1382+$K1382,"")</f>
        <v/>
      </c>
      <c r="N1382">
        <f>IF(ISNUMBER(SEARCH(" - ",$H1382&amp;"")),1,0)</f>
        <v/>
      </c>
      <c r="O1382">
        <f>IF(UPPER($H1382&amp;"")="LEAVE",1,0)</f>
        <v/>
      </c>
      <c r="P1382">
        <f>IF($N1382=1,$K1382,0)</f>
        <v/>
      </c>
      <c r="Q1382">
        <f>IF($N1382=0,"",IFERROR($L1382-LOOKUP(2,1/(($B$2:$B1381=$B1382)*($N$2:$N1381=1)),$M$2:$M1381),""))</f>
        <v/>
      </c>
    </row>
    <row r="1383">
      <c r="A1383" t="n">
        <v>1382</v>
      </c>
      <c r="B1383">
        <f>Schedule!$A$200</f>
        <v/>
      </c>
      <c r="C1383">
        <f>Schedule!$D$200</f>
        <v/>
      </c>
      <c r="D1383">
        <f>Schedule!$F$200</f>
        <v/>
      </c>
      <c r="E1383" t="n">
        <v>2</v>
      </c>
      <c r="F1383">
        <f>Schedule!$I$1</f>
        <v/>
      </c>
      <c r="G1383">
        <f>Schedule!$I$2</f>
        <v/>
      </c>
      <c r="H1383">
        <f>Schedule!$I$200</f>
        <v/>
      </c>
      <c r="I1383">
        <f>IF($N1383=1,VALUE(LEFT($H1383,2)),"")</f>
        <v/>
      </c>
      <c r="J1383">
        <f>IF($N1383=1,VALUE(MID($H1383,9,2)),"")</f>
        <v/>
      </c>
      <c r="K1383">
        <f>IF($N1383=1,MOD($J1383-$I1383,24),0)</f>
        <v/>
      </c>
      <c r="L1383">
        <f>IF($N1383=1,$E1383*24+$I1383,"")</f>
        <v/>
      </c>
      <c r="M1383">
        <f>IF($N1383=1,$L1383+$K1383,"")</f>
        <v/>
      </c>
      <c r="N1383">
        <f>IF(ISNUMBER(SEARCH(" - ",$H1383&amp;"")),1,0)</f>
        <v/>
      </c>
      <c r="O1383">
        <f>IF(UPPER($H1383&amp;"")="LEAVE",1,0)</f>
        <v/>
      </c>
      <c r="P1383">
        <f>IF($N1383=1,$K1383,0)</f>
        <v/>
      </c>
      <c r="Q1383">
        <f>IF($N1383=0,"",IFERROR($L1383-LOOKUP(2,1/(($B$2:$B1382=$B1383)*($N$2:$N1382=1)),$M$2:$M1382),""))</f>
        <v/>
      </c>
    </row>
    <row r="1384">
      <c r="A1384" t="n">
        <v>1383</v>
      </c>
      <c r="B1384">
        <f>Schedule!$A$200</f>
        <v/>
      </c>
      <c r="C1384">
        <f>Schedule!$D$200</f>
        <v/>
      </c>
      <c r="D1384">
        <f>Schedule!$F$200</f>
        <v/>
      </c>
      <c r="E1384" t="n">
        <v>3</v>
      </c>
      <c r="F1384">
        <f>Schedule!$J$1</f>
        <v/>
      </c>
      <c r="G1384">
        <f>Schedule!$J$2</f>
        <v/>
      </c>
      <c r="H1384">
        <f>Schedule!$J$200</f>
        <v/>
      </c>
      <c r="I1384">
        <f>IF($N1384=1,VALUE(LEFT($H1384,2)),"")</f>
        <v/>
      </c>
      <c r="J1384">
        <f>IF($N1384=1,VALUE(MID($H1384,9,2)),"")</f>
        <v/>
      </c>
      <c r="K1384">
        <f>IF($N1384=1,MOD($J1384-$I1384,24),0)</f>
        <v/>
      </c>
      <c r="L1384">
        <f>IF($N1384=1,$E1384*24+$I1384,"")</f>
        <v/>
      </c>
      <c r="M1384">
        <f>IF($N1384=1,$L1384+$K1384,"")</f>
        <v/>
      </c>
      <c r="N1384">
        <f>IF(ISNUMBER(SEARCH(" - ",$H1384&amp;"")),1,0)</f>
        <v/>
      </c>
      <c r="O1384">
        <f>IF(UPPER($H1384&amp;"")="LEAVE",1,0)</f>
        <v/>
      </c>
      <c r="P1384">
        <f>IF($N1384=1,$K1384,0)</f>
        <v/>
      </c>
      <c r="Q1384">
        <f>IF($N1384=0,"",IFERROR($L1384-LOOKUP(2,1/(($B$2:$B1383=$B1384)*($N$2:$N1383=1)),$M$2:$M1383),""))</f>
        <v/>
      </c>
    </row>
    <row r="1385">
      <c r="A1385" t="n">
        <v>1384</v>
      </c>
      <c r="B1385">
        <f>Schedule!$A$200</f>
        <v/>
      </c>
      <c r="C1385">
        <f>Schedule!$D$200</f>
        <v/>
      </c>
      <c r="D1385">
        <f>Schedule!$F$200</f>
        <v/>
      </c>
      <c r="E1385" t="n">
        <v>4</v>
      </c>
      <c r="F1385">
        <f>Schedule!$K$1</f>
        <v/>
      </c>
      <c r="G1385">
        <f>Schedule!$K$2</f>
        <v/>
      </c>
      <c r="H1385">
        <f>Schedule!$K$200</f>
        <v/>
      </c>
      <c r="I1385">
        <f>IF($N1385=1,VALUE(LEFT($H1385,2)),"")</f>
        <v/>
      </c>
      <c r="J1385">
        <f>IF($N1385=1,VALUE(MID($H1385,9,2)),"")</f>
        <v/>
      </c>
      <c r="K1385">
        <f>IF($N1385=1,MOD($J1385-$I1385,24),0)</f>
        <v/>
      </c>
      <c r="L1385">
        <f>IF($N1385=1,$E1385*24+$I1385,"")</f>
        <v/>
      </c>
      <c r="M1385">
        <f>IF($N1385=1,$L1385+$K1385,"")</f>
        <v/>
      </c>
      <c r="N1385">
        <f>IF(ISNUMBER(SEARCH(" - ",$H1385&amp;"")),1,0)</f>
        <v/>
      </c>
      <c r="O1385">
        <f>IF(UPPER($H1385&amp;"")="LEAVE",1,0)</f>
        <v/>
      </c>
      <c r="P1385">
        <f>IF($N1385=1,$K1385,0)</f>
        <v/>
      </c>
      <c r="Q1385">
        <f>IF($N1385=0,"",IFERROR($L1385-LOOKUP(2,1/(($B$2:$B1384=$B1385)*($N$2:$N1384=1)),$M$2:$M1384),""))</f>
        <v/>
      </c>
    </row>
    <row r="1386">
      <c r="A1386" t="n">
        <v>1385</v>
      </c>
      <c r="B1386">
        <f>Schedule!$A$200</f>
        <v/>
      </c>
      <c r="C1386">
        <f>Schedule!$D$200</f>
        <v/>
      </c>
      <c r="D1386">
        <f>Schedule!$F$200</f>
        <v/>
      </c>
      <c r="E1386" t="n">
        <v>5</v>
      </c>
      <c r="F1386">
        <f>Schedule!$L$1</f>
        <v/>
      </c>
      <c r="G1386">
        <f>Schedule!$L$2</f>
        <v/>
      </c>
      <c r="H1386">
        <f>Schedule!$L$200</f>
        <v/>
      </c>
      <c r="I1386">
        <f>IF($N1386=1,VALUE(LEFT($H1386,2)),"")</f>
        <v/>
      </c>
      <c r="J1386">
        <f>IF($N1386=1,VALUE(MID($H1386,9,2)),"")</f>
        <v/>
      </c>
      <c r="K1386">
        <f>IF($N1386=1,MOD($J1386-$I1386,24),0)</f>
        <v/>
      </c>
      <c r="L1386">
        <f>IF($N1386=1,$E1386*24+$I1386,"")</f>
        <v/>
      </c>
      <c r="M1386">
        <f>IF($N1386=1,$L1386+$K1386,"")</f>
        <v/>
      </c>
      <c r="N1386">
        <f>IF(ISNUMBER(SEARCH(" - ",$H1386&amp;"")),1,0)</f>
        <v/>
      </c>
      <c r="O1386">
        <f>IF(UPPER($H1386&amp;"")="LEAVE",1,0)</f>
        <v/>
      </c>
      <c r="P1386">
        <f>IF($N1386=1,$K1386,0)</f>
        <v/>
      </c>
      <c r="Q1386">
        <f>IF($N1386=0,"",IFERROR($L1386-LOOKUP(2,1/(($B$2:$B1385=$B1386)*($N$2:$N1385=1)),$M$2:$M1385),""))</f>
        <v/>
      </c>
    </row>
    <row r="1387">
      <c r="A1387" t="n">
        <v>1386</v>
      </c>
      <c r="B1387">
        <f>Schedule!$A$200</f>
        <v/>
      </c>
      <c r="C1387">
        <f>Schedule!$D$200</f>
        <v/>
      </c>
      <c r="D1387">
        <f>Schedule!$F$200</f>
        <v/>
      </c>
      <c r="E1387" t="n">
        <v>6</v>
      </c>
      <c r="F1387">
        <f>Schedule!$M$1</f>
        <v/>
      </c>
      <c r="G1387">
        <f>Schedule!$M$2</f>
        <v/>
      </c>
      <c r="H1387">
        <f>Schedule!$M$200</f>
        <v/>
      </c>
      <c r="I1387">
        <f>IF($N1387=1,VALUE(LEFT($H1387,2)),"")</f>
        <v/>
      </c>
      <c r="J1387">
        <f>IF($N1387=1,VALUE(MID($H1387,9,2)),"")</f>
        <v/>
      </c>
      <c r="K1387">
        <f>IF($N1387=1,MOD($J1387-$I1387,24),0)</f>
        <v/>
      </c>
      <c r="L1387">
        <f>IF($N1387=1,$E1387*24+$I1387,"")</f>
        <v/>
      </c>
      <c r="M1387">
        <f>IF($N1387=1,$L1387+$K1387,"")</f>
        <v/>
      </c>
      <c r="N1387">
        <f>IF(ISNUMBER(SEARCH(" - ",$H1387&amp;"")),1,0)</f>
        <v/>
      </c>
      <c r="O1387">
        <f>IF(UPPER($H1387&amp;"")="LEAVE",1,0)</f>
        <v/>
      </c>
      <c r="P1387">
        <f>IF($N1387=1,$K1387,0)</f>
        <v/>
      </c>
      <c r="Q1387">
        <f>IF($N1387=0,"",IFERROR($L1387-LOOKUP(2,1/(($B$2:$B1386=$B1387)*($N$2:$N1386=1)),$M$2:$M1386),""))</f>
        <v/>
      </c>
    </row>
    <row r="1388">
      <c r="A1388" t="n">
        <v>1387</v>
      </c>
      <c r="B1388">
        <f>Schedule!$A$201</f>
        <v/>
      </c>
      <c r="C1388">
        <f>Schedule!$D$201</f>
        <v/>
      </c>
      <c r="D1388">
        <f>Schedule!$F$201</f>
        <v/>
      </c>
      <c r="E1388" t="n">
        <v>0</v>
      </c>
      <c r="F1388">
        <f>Schedule!$G$1</f>
        <v/>
      </c>
      <c r="G1388">
        <f>Schedule!$G$2</f>
        <v/>
      </c>
      <c r="H1388">
        <f>Schedule!$G$201</f>
        <v/>
      </c>
      <c r="I1388">
        <f>IF($N1388=1,VALUE(LEFT($H1388,2)),"")</f>
        <v/>
      </c>
      <c r="J1388">
        <f>IF($N1388=1,VALUE(MID($H1388,9,2)),"")</f>
        <v/>
      </c>
      <c r="K1388">
        <f>IF($N1388=1,MOD($J1388-$I1388,24),0)</f>
        <v/>
      </c>
      <c r="L1388">
        <f>IF($N1388=1,$E1388*24+$I1388,"")</f>
        <v/>
      </c>
      <c r="M1388">
        <f>IF($N1388=1,$L1388+$K1388,"")</f>
        <v/>
      </c>
      <c r="N1388">
        <f>IF(ISNUMBER(SEARCH(" - ",$H1388&amp;"")),1,0)</f>
        <v/>
      </c>
      <c r="O1388">
        <f>IF(UPPER($H1388&amp;"")="LEAVE",1,0)</f>
        <v/>
      </c>
      <c r="P1388">
        <f>IF($N1388=1,$K1388,0)</f>
        <v/>
      </c>
      <c r="Q1388">
        <f>IF($N1388=0,"",IFERROR($L1388-'Previous Engine'!$M$200,""))</f>
        <v/>
      </c>
    </row>
    <row r="1389">
      <c r="A1389" t="n">
        <v>1388</v>
      </c>
      <c r="B1389">
        <f>Schedule!$A$201</f>
        <v/>
      </c>
      <c r="C1389">
        <f>Schedule!$D$201</f>
        <v/>
      </c>
      <c r="D1389">
        <f>Schedule!$F$201</f>
        <v/>
      </c>
      <c r="E1389" t="n">
        <v>1</v>
      </c>
      <c r="F1389">
        <f>Schedule!$H$1</f>
        <v/>
      </c>
      <c r="G1389">
        <f>Schedule!$H$2</f>
        <v/>
      </c>
      <c r="H1389">
        <f>Schedule!$H$201</f>
        <v/>
      </c>
      <c r="I1389">
        <f>IF($N1389=1,VALUE(LEFT($H1389,2)),"")</f>
        <v/>
      </c>
      <c r="J1389">
        <f>IF($N1389=1,VALUE(MID($H1389,9,2)),"")</f>
        <v/>
      </c>
      <c r="K1389">
        <f>IF($N1389=1,MOD($J1389-$I1389,24),0)</f>
        <v/>
      </c>
      <c r="L1389">
        <f>IF($N1389=1,$E1389*24+$I1389,"")</f>
        <v/>
      </c>
      <c r="M1389">
        <f>IF($N1389=1,$L1389+$K1389,"")</f>
        <v/>
      </c>
      <c r="N1389">
        <f>IF(ISNUMBER(SEARCH(" - ",$H1389&amp;"")),1,0)</f>
        <v/>
      </c>
      <c r="O1389">
        <f>IF(UPPER($H1389&amp;"")="LEAVE",1,0)</f>
        <v/>
      </c>
      <c r="P1389">
        <f>IF($N1389=1,$K1389,0)</f>
        <v/>
      </c>
      <c r="Q1389">
        <f>IF($N1389=0,"",IFERROR($L1389-LOOKUP(2,1/(($B$2:$B1388=$B1389)*($N$2:$N1388=1)),$M$2:$M1388),""))</f>
        <v/>
      </c>
    </row>
    <row r="1390">
      <c r="A1390" t="n">
        <v>1389</v>
      </c>
      <c r="B1390">
        <f>Schedule!$A$201</f>
        <v/>
      </c>
      <c r="C1390">
        <f>Schedule!$D$201</f>
        <v/>
      </c>
      <c r="D1390">
        <f>Schedule!$F$201</f>
        <v/>
      </c>
      <c r="E1390" t="n">
        <v>2</v>
      </c>
      <c r="F1390">
        <f>Schedule!$I$1</f>
        <v/>
      </c>
      <c r="G1390">
        <f>Schedule!$I$2</f>
        <v/>
      </c>
      <c r="H1390">
        <f>Schedule!$I$201</f>
        <v/>
      </c>
      <c r="I1390">
        <f>IF($N1390=1,VALUE(LEFT($H1390,2)),"")</f>
        <v/>
      </c>
      <c r="J1390">
        <f>IF($N1390=1,VALUE(MID($H1390,9,2)),"")</f>
        <v/>
      </c>
      <c r="K1390">
        <f>IF($N1390=1,MOD($J1390-$I1390,24),0)</f>
        <v/>
      </c>
      <c r="L1390">
        <f>IF($N1390=1,$E1390*24+$I1390,"")</f>
        <v/>
      </c>
      <c r="M1390">
        <f>IF($N1390=1,$L1390+$K1390,"")</f>
        <v/>
      </c>
      <c r="N1390">
        <f>IF(ISNUMBER(SEARCH(" - ",$H1390&amp;"")),1,0)</f>
        <v/>
      </c>
      <c r="O1390">
        <f>IF(UPPER($H1390&amp;"")="LEAVE",1,0)</f>
        <v/>
      </c>
      <c r="P1390">
        <f>IF($N1390=1,$K1390,0)</f>
        <v/>
      </c>
      <c r="Q1390">
        <f>IF($N1390=0,"",IFERROR($L1390-LOOKUP(2,1/(($B$2:$B1389=$B1390)*($N$2:$N1389=1)),$M$2:$M1389),""))</f>
        <v/>
      </c>
    </row>
    <row r="1391">
      <c r="A1391" t="n">
        <v>1390</v>
      </c>
      <c r="B1391">
        <f>Schedule!$A$201</f>
        <v/>
      </c>
      <c r="C1391">
        <f>Schedule!$D$201</f>
        <v/>
      </c>
      <c r="D1391">
        <f>Schedule!$F$201</f>
        <v/>
      </c>
      <c r="E1391" t="n">
        <v>3</v>
      </c>
      <c r="F1391">
        <f>Schedule!$J$1</f>
        <v/>
      </c>
      <c r="G1391">
        <f>Schedule!$J$2</f>
        <v/>
      </c>
      <c r="H1391">
        <f>Schedule!$J$201</f>
        <v/>
      </c>
      <c r="I1391">
        <f>IF($N1391=1,VALUE(LEFT($H1391,2)),"")</f>
        <v/>
      </c>
      <c r="J1391">
        <f>IF($N1391=1,VALUE(MID($H1391,9,2)),"")</f>
        <v/>
      </c>
      <c r="K1391">
        <f>IF($N1391=1,MOD($J1391-$I1391,24),0)</f>
        <v/>
      </c>
      <c r="L1391">
        <f>IF($N1391=1,$E1391*24+$I1391,"")</f>
        <v/>
      </c>
      <c r="M1391">
        <f>IF($N1391=1,$L1391+$K1391,"")</f>
        <v/>
      </c>
      <c r="N1391">
        <f>IF(ISNUMBER(SEARCH(" - ",$H1391&amp;"")),1,0)</f>
        <v/>
      </c>
      <c r="O1391">
        <f>IF(UPPER($H1391&amp;"")="LEAVE",1,0)</f>
        <v/>
      </c>
      <c r="P1391">
        <f>IF($N1391=1,$K1391,0)</f>
        <v/>
      </c>
      <c r="Q1391">
        <f>IF($N1391=0,"",IFERROR($L1391-LOOKUP(2,1/(($B$2:$B1390=$B1391)*($N$2:$N1390=1)),$M$2:$M1390),""))</f>
        <v/>
      </c>
    </row>
    <row r="1392">
      <c r="A1392" t="n">
        <v>1391</v>
      </c>
      <c r="B1392">
        <f>Schedule!$A$201</f>
        <v/>
      </c>
      <c r="C1392">
        <f>Schedule!$D$201</f>
        <v/>
      </c>
      <c r="D1392">
        <f>Schedule!$F$201</f>
        <v/>
      </c>
      <c r="E1392" t="n">
        <v>4</v>
      </c>
      <c r="F1392">
        <f>Schedule!$K$1</f>
        <v/>
      </c>
      <c r="G1392">
        <f>Schedule!$K$2</f>
        <v/>
      </c>
      <c r="H1392">
        <f>Schedule!$K$201</f>
        <v/>
      </c>
      <c r="I1392">
        <f>IF($N1392=1,VALUE(LEFT($H1392,2)),"")</f>
        <v/>
      </c>
      <c r="J1392">
        <f>IF($N1392=1,VALUE(MID($H1392,9,2)),"")</f>
        <v/>
      </c>
      <c r="K1392">
        <f>IF($N1392=1,MOD($J1392-$I1392,24),0)</f>
        <v/>
      </c>
      <c r="L1392">
        <f>IF($N1392=1,$E1392*24+$I1392,"")</f>
        <v/>
      </c>
      <c r="M1392">
        <f>IF($N1392=1,$L1392+$K1392,"")</f>
        <v/>
      </c>
      <c r="N1392">
        <f>IF(ISNUMBER(SEARCH(" - ",$H1392&amp;"")),1,0)</f>
        <v/>
      </c>
      <c r="O1392">
        <f>IF(UPPER($H1392&amp;"")="LEAVE",1,0)</f>
        <v/>
      </c>
      <c r="P1392">
        <f>IF($N1392=1,$K1392,0)</f>
        <v/>
      </c>
      <c r="Q1392">
        <f>IF($N1392=0,"",IFERROR($L1392-LOOKUP(2,1/(($B$2:$B1391=$B1392)*($N$2:$N1391=1)),$M$2:$M1391),""))</f>
        <v/>
      </c>
    </row>
    <row r="1393">
      <c r="A1393" t="n">
        <v>1392</v>
      </c>
      <c r="B1393">
        <f>Schedule!$A$201</f>
        <v/>
      </c>
      <c r="C1393">
        <f>Schedule!$D$201</f>
        <v/>
      </c>
      <c r="D1393">
        <f>Schedule!$F$201</f>
        <v/>
      </c>
      <c r="E1393" t="n">
        <v>5</v>
      </c>
      <c r="F1393">
        <f>Schedule!$L$1</f>
        <v/>
      </c>
      <c r="G1393">
        <f>Schedule!$L$2</f>
        <v/>
      </c>
      <c r="H1393">
        <f>Schedule!$L$201</f>
        <v/>
      </c>
      <c r="I1393">
        <f>IF($N1393=1,VALUE(LEFT($H1393,2)),"")</f>
        <v/>
      </c>
      <c r="J1393">
        <f>IF($N1393=1,VALUE(MID($H1393,9,2)),"")</f>
        <v/>
      </c>
      <c r="K1393">
        <f>IF($N1393=1,MOD($J1393-$I1393,24),0)</f>
        <v/>
      </c>
      <c r="L1393">
        <f>IF($N1393=1,$E1393*24+$I1393,"")</f>
        <v/>
      </c>
      <c r="M1393">
        <f>IF($N1393=1,$L1393+$K1393,"")</f>
        <v/>
      </c>
      <c r="N1393">
        <f>IF(ISNUMBER(SEARCH(" - ",$H1393&amp;"")),1,0)</f>
        <v/>
      </c>
      <c r="O1393">
        <f>IF(UPPER($H1393&amp;"")="LEAVE",1,0)</f>
        <v/>
      </c>
      <c r="P1393">
        <f>IF($N1393=1,$K1393,0)</f>
        <v/>
      </c>
      <c r="Q1393">
        <f>IF($N1393=0,"",IFERROR($L1393-LOOKUP(2,1/(($B$2:$B1392=$B1393)*($N$2:$N1392=1)),$M$2:$M1392),""))</f>
        <v/>
      </c>
    </row>
    <row r="1394">
      <c r="A1394" t="n">
        <v>1393</v>
      </c>
      <c r="B1394">
        <f>Schedule!$A$201</f>
        <v/>
      </c>
      <c r="C1394">
        <f>Schedule!$D$201</f>
        <v/>
      </c>
      <c r="D1394">
        <f>Schedule!$F$201</f>
        <v/>
      </c>
      <c r="E1394" t="n">
        <v>6</v>
      </c>
      <c r="F1394">
        <f>Schedule!$M$1</f>
        <v/>
      </c>
      <c r="G1394">
        <f>Schedule!$M$2</f>
        <v/>
      </c>
      <c r="H1394">
        <f>Schedule!$M$201</f>
        <v/>
      </c>
      <c r="I1394">
        <f>IF($N1394=1,VALUE(LEFT($H1394,2)),"")</f>
        <v/>
      </c>
      <c r="J1394">
        <f>IF($N1394=1,VALUE(MID($H1394,9,2)),"")</f>
        <v/>
      </c>
      <c r="K1394">
        <f>IF($N1394=1,MOD($J1394-$I1394,24),0)</f>
        <v/>
      </c>
      <c r="L1394">
        <f>IF($N1394=1,$E1394*24+$I1394,"")</f>
        <v/>
      </c>
      <c r="M1394">
        <f>IF($N1394=1,$L1394+$K1394,"")</f>
        <v/>
      </c>
      <c r="N1394">
        <f>IF(ISNUMBER(SEARCH(" - ",$H1394&amp;"")),1,0)</f>
        <v/>
      </c>
      <c r="O1394">
        <f>IF(UPPER($H1394&amp;"")="LEAVE",1,0)</f>
        <v/>
      </c>
      <c r="P1394">
        <f>IF($N1394=1,$K1394,0)</f>
        <v/>
      </c>
      <c r="Q1394">
        <f>IF($N1394=0,"",IFERROR($L1394-LOOKUP(2,1/(($B$2:$B1393=$B1394)*($N$2:$N1393=1)),$M$2:$M1393),""))</f>
        <v/>
      </c>
    </row>
    <row r="1395">
      <c r="A1395" t="n">
        <v>1394</v>
      </c>
      <c r="B1395">
        <f>Schedule!$A$202</f>
        <v/>
      </c>
      <c r="C1395">
        <f>Schedule!$D$202</f>
        <v/>
      </c>
      <c r="D1395">
        <f>Schedule!$F$202</f>
        <v/>
      </c>
      <c r="E1395" t="n">
        <v>0</v>
      </c>
      <c r="F1395">
        <f>Schedule!$G$1</f>
        <v/>
      </c>
      <c r="G1395">
        <f>Schedule!$G$2</f>
        <v/>
      </c>
      <c r="H1395">
        <f>Schedule!$G$202</f>
        <v/>
      </c>
      <c r="I1395">
        <f>IF($N1395=1,VALUE(LEFT($H1395,2)),"")</f>
        <v/>
      </c>
      <c r="J1395">
        <f>IF($N1395=1,VALUE(MID($H1395,9,2)),"")</f>
        <v/>
      </c>
      <c r="K1395">
        <f>IF($N1395=1,MOD($J1395-$I1395,24),0)</f>
        <v/>
      </c>
      <c r="L1395">
        <f>IF($N1395=1,$E1395*24+$I1395,"")</f>
        <v/>
      </c>
      <c r="M1395">
        <f>IF($N1395=1,$L1395+$K1395,"")</f>
        <v/>
      </c>
      <c r="N1395">
        <f>IF(ISNUMBER(SEARCH(" - ",$H1395&amp;"")),1,0)</f>
        <v/>
      </c>
      <c r="O1395">
        <f>IF(UPPER($H1395&amp;"")="LEAVE",1,0)</f>
        <v/>
      </c>
      <c r="P1395">
        <f>IF($N1395=1,$K1395,0)</f>
        <v/>
      </c>
      <c r="Q1395">
        <f>IF($N1395=0,"",IFERROR($L1395-'Previous Engine'!$M$201,""))</f>
        <v/>
      </c>
    </row>
    <row r="1396">
      <c r="A1396" t="n">
        <v>1395</v>
      </c>
      <c r="B1396">
        <f>Schedule!$A$202</f>
        <v/>
      </c>
      <c r="C1396">
        <f>Schedule!$D$202</f>
        <v/>
      </c>
      <c r="D1396">
        <f>Schedule!$F$202</f>
        <v/>
      </c>
      <c r="E1396" t="n">
        <v>1</v>
      </c>
      <c r="F1396">
        <f>Schedule!$H$1</f>
        <v/>
      </c>
      <c r="G1396">
        <f>Schedule!$H$2</f>
        <v/>
      </c>
      <c r="H1396">
        <f>Schedule!$H$202</f>
        <v/>
      </c>
      <c r="I1396">
        <f>IF($N1396=1,VALUE(LEFT($H1396,2)),"")</f>
        <v/>
      </c>
      <c r="J1396">
        <f>IF($N1396=1,VALUE(MID($H1396,9,2)),"")</f>
        <v/>
      </c>
      <c r="K1396">
        <f>IF($N1396=1,MOD($J1396-$I1396,24),0)</f>
        <v/>
      </c>
      <c r="L1396">
        <f>IF($N1396=1,$E1396*24+$I1396,"")</f>
        <v/>
      </c>
      <c r="M1396">
        <f>IF($N1396=1,$L1396+$K1396,"")</f>
        <v/>
      </c>
      <c r="N1396">
        <f>IF(ISNUMBER(SEARCH(" - ",$H1396&amp;"")),1,0)</f>
        <v/>
      </c>
      <c r="O1396">
        <f>IF(UPPER($H1396&amp;"")="LEAVE",1,0)</f>
        <v/>
      </c>
      <c r="P1396">
        <f>IF($N1396=1,$K1396,0)</f>
        <v/>
      </c>
      <c r="Q1396">
        <f>IF($N1396=0,"",IFERROR($L1396-LOOKUP(2,1/(($B$2:$B1395=$B1396)*($N$2:$N1395=1)),$M$2:$M1395),""))</f>
        <v/>
      </c>
    </row>
    <row r="1397">
      <c r="A1397" t="n">
        <v>1396</v>
      </c>
      <c r="B1397">
        <f>Schedule!$A$202</f>
        <v/>
      </c>
      <c r="C1397">
        <f>Schedule!$D$202</f>
        <v/>
      </c>
      <c r="D1397">
        <f>Schedule!$F$202</f>
        <v/>
      </c>
      <c r="E1397" t="n">
        <v>2</v>
      </c>
      <c r="F1397">
        <f>Schedule!$I$1</f>
        <v/>
      </c>
      <c r="G1397">
        <f>Schedule!$I$2</f>
        <v/>
      </c>
      <c r="H1397">
        <f>Schedule!$I$202</f>
        <v/>
      </c>
      <c r="I1397">
        <f>IF($N1397=1,VALUE(LEFT($H1397,2)),"")</f>
        <v/>
      </c>
      <c r="J1397">
        <f>IF($N1397=1,VALUE(MID($H1397,9,2)),"")</f>
        <v/>
      </c>
      <c r="K1397">
        <f>IF($N1397=1,MOD($J1397-$I1397,24),0)</f>
        <v/>
      </c>
      <c r="L1397">
        <f>IF($N1397=1,$E1397*24+$I1397,"")</f>
        <v/>
      </c>
      <c r="M1397">
        <f>IF($N1397=1,$L1397+$K1397,"")</f>
        <v/>
      </c>
      <c r="N1397">
        <f>IF(ISNUMBER(SEARCH(" - ",$H1397&amp;"")),1,0)</f>
        <v/>
      </c>
      <c r="O1397">
        <f>IF(UPPER($H1397&amp;"")="LEAVE",1,0)</f>
        <v/>
      </c>
      <c r="P1397">
        <f>IF($N1397=1,$K1397,0)</f>
        <v/>
      </c>
      <c r="Q1397">
        <f>IF($N1397=0,"",IFERROR($L1397-LOOKUP(2,1/(($B$2:$B1396=$B1397)*($N$2:$N1396=1)),$M$2:$M1396),""))</f>
        <v/>
      </c>
    </row>
    <row r="1398">
      <c r="A1398" t="n">
        <v>1397</v>
      </c>
      <c r="B1398">
        <f>Schedule!$A$202</f>
        <v/>
      </c>
      <c r="C1398">
        <f>Schedule!$D$202</f>
        <v/>
      </c>
      <c r="D1398">
        <f>Schedule!$F$202</f>
        <v/>
      </c>
      <c r="E1398" t="n">
        <v>3</v>
      </c>
      <c r="F1398">
        <f>Schedule!$J$1</f>
        <v/>
      </c>
      <c r="G1398">
        <f>Schedule!$J$2</f>
        <v/>
      </c>
      <c r="H1398">
        <f>Schedule!$J$202</f>
        <v/>
      </c>
      <c r="I1398">
        <f>IF($N1398=1,VALUE(LEFT($H1398,2)),"")</f>
        <v/>
      </c>
      <c r="J1398">
        <f>IF($N1398=1,VALUE(MID($H1398,9,2)),"")</f>
        <v/>
      </c>
      <c r="K1398">
        <f>IF($N1398=1,MOD($J1398-$I1398,24),0)</f>
        <v/>
      </c>
      <c r="L1398">
        <f>IF($N1398=1,$E1398*24+$I1398,"")</f>
        <v/>
      </c>
      <c r="M1398">
        <f>IF($N1398=1,$L1398+$K1398,"")</f>
        <v/>
      </c>
      <c r="N1398">
        <f>IF(ISNUMBER(SEARCH(" - ",$H1398&amp;"")),1,0)</f>
        <v/>
      </c>
      <c r="O1398">
        <f>IF(UPPER($H1398&amp;"")="LEAVE",1,0)</f>
        <v/>
      </c>
      <c r="P1398">
        <f>IF($N1398=1,$K1398,0)</f>
        <v/>
      </c>
      <c r="Q1398">
        <f>IF($N1398=0,"",IFERROR($L1398-LOOKUP(2,1/(($B$2:$B1397=$B1398)*($N$2:$N1397=1)),$M$2:$M1397),""))</f>
        <v/>
      </c>
    </row>
    <row r="1399">
      <c r="A1399" t="n">
        <v>1398</v>
      </c>
      <c r="B1399">
        <f>Schedule!$A$202</f>
        <v/>
      </c>
      <c r="C1399">
        <f>Schedule!$D$202</f>
        <v/>
      </c>
      <c r="D1399">
        <f>Schedule!$F$202</f>
        <v/>
      </c>
      <c r="E1399" t="n">
        <v>4</v>
      </c>
      <c r="F1399">
        <f>Schedule!$K$1</f>
        <v/>
      </c>
      <c r="G1399">
        <f>Schedule!$K$2</f>
        <v/>
      </c>
      <c r="H1399">
        <f>Schedule!$K$202</f>
        <v/>
      </c>
      <c r="I1399">
        <f>IF($N1399=1,VALUE(LEFT($H1399,2)),"")</f>
        <v/>
      </c>
      <c r="J1399">
        <f>IF($N1399=1,VALUE(MID($H1399,9,2)),"")</f>
        <v/>
      </c>
      <c r="K1399">
        <f>IF($N1399=1,MOD($J1399-$I1399,24),0)</f>
        <v/>
      </c>
      <c r="L1399">
        <f>IF($N1399=1,$E1399*24+$I1399,"")</f>
        <v/>
      </c>
      <c r="M1399">
        <f>IF($N1399=1,$L1399+$K1399,"")</f>
        <v/>
      </c>
      <c r="N1399">
        <f>IF(ISNUMBER(SEARCH(" - ",$H1399&amp;"")),1,0)</f>
        <v/>
      </c>
      <c r="O1399">
        <f>IF(UPPER($H1399&amp;"")="LEAVE",1,0)</f>
        <v/>
      </c>
      <c r="P1399">
        <f>IF($N1399=1,$K1399,0)</f>
        <v/>
      </c>
      <c r="Q1399">
        <f>IF($N1399=0,"",IFERROR($L1399-LOOKUP(2,1/(($B$2:$B1398=$B1399)*($N$2:$N1398=1)),$M$2:$M1398),""))</f>
        <v/>
      </c>
    </row>
    <row r="1400">
      <c r="A1400" t="n">
        <v>1399</v>
      </c>
      <c r="B1400">
        <f>Schedule!$A$202</f>
        <v/>
      </c>
      <c r="C1400">
        <f>Schedule!$D$202</f>
        <v/>
      </c>
      <c r="D1400">
        <f>Schedule!$F$202</f>
        <v/>
      </c>
      <c r="E1400" t="n">
        <v>5</v>
      </c>
      <c r="F1400">
        <f>Schedule!$L$1</f>
        <v/>
      </c>
      <c r="G1400">
        <f>Schedule!$L$2</f>
        <v/>
      </c>
      <c r="H1400">
        <f>Schedule!$L$202</f>
        <v/>
      </c>
      <c r="I1400">
        <f>IF($N1400=1,VALUE(LEFT($H1400,2)),"")</f>
        <v/>
      </c>
      <c r="J1400">
        <f>IF($N1400=1,VALUE(MID($H1400,9,2)),"")</f>
        <v/>
      </c>
      <c r="K1400">
        <f>IF($N1400=1,MOD($J1400-$I1400,24),0)</f>
        <v/>
      </c>
      <c r="L1400">
        <f>IF($N1400=1,$E1400*24+$I1400,"")</f>
        <v/>
      </c>
      <c r="M1400">
        <f>IF($N1400=1,$L1400+$K1400,"")</f>
        <v/>
      </c>
      <c r="N1400">
        <f>IF(ISNUMBER(SEARCH(" - ",$H1400&amp;"")),1,0)</f>
        <v/>
      </c>
      <c r="O1400">
        <f>IF(UPPER($H1400&amp;"")="LEAVE",1,0)</f>
        <v/>
      </c>
      <c r="P1400">
        <f>IF($N1400=1,$K1400,0)</f>
        <v/>
      </c>
      <c r="Q1400">
        <f>IF($N1400=0,"",IFERROR($L1400-LOOKUP(2,1/(($B$2:$B1399=$B1400)*($N$2:$N1399=1)),$M$2:$M1399),""))</f>
        <v/>
      </c>
    </row>
    <row r="1401">
      <c r="A1401" t="n">
        <v>1400</v>
      </c>
      <c r="B1401">
        <f>Schedule!$A$202</f>
        <v/>
      </c>
      <c r="C1401">
        <f>Schedule!$D$202</f>
        <v/>
      </c>
      <c r="D1401">
        <f>Schedule!$F$202</f>
        <v/>
      </c>
      <c r="E1401" t="n">
        <v>6</v>
      </c>
      <c r="F1401">
        <f>Schedule!$M$1</f>
        <v/>
      </c>
      <c r="G1401">
        <f>Schedule!$M$2</f>
        <v/>
      </c>
      <c r="H1401">
        <f>Schedule!$M$202</f>
        <v/>
      </c>
      <c r="I1401">
        <f>IF($N1401=1,VALUE(LEFT($H1401,2)),"")</f>
        <v/>
      </c>
      <c r="J1401">
        <f>IF($N1401=1,VALUE(MID($H1401,9,2)),"")</f>
        <v/>
      </c>
      <c r="K1401">
        <f>IF($N1401=1,MOD($J1401-$I1401,24),0)</f>
        <v/>
      </c>
      <c r="L1401">
        <f>IF($N1401=1,$E1401*24+$I1401,"")</f>
        <v/>
      </c>
      <c r="M1401">
        <f>IF($N1401=1,$L1401+$K1401,"")</f>
        <v/>
      </c>
      <c r="N1401">
        <f>IF(ISNUMBER(SEARCH(" - ",$H1401&amp;"")),1,0)</f>
        <v/>
      </c>
      <c r="O1401">
        <f>IF(UPPER($H1401&amp;"")="LEAVE",1,0)</f>
        <v/>
      </c>
      <c r="P1401">
        <f>IF($N1401=1,$K1401,0)</f>
        <v/>
      </c>
      <c r="Q1401">
        <f>IF($N1401=0,"",IFERROR($L1401-LOOKUP(2,1/(($B$2:$B1400=$B1401)*($N$2:$N1400=1)),$M$2:$M1400),""))</f>
        <v/>
      </c>
    </row>
    <row r="1402">
      <c r="A1402" t="n">
        <v>1401</v>
      </c>
      <c r="B1402">
        <f>Schedule!$A$203</f>
        <v/>
      </c>
      <c r="C1402">
        <f>Schedule!$D$203</f>
        <v/>
      </c>
      <c r="D1402">
        <f>Schedule!$F$203</f>
        <v/>
      </c>
      <c r="E1402" t="n">
        <v>0</v>
      </c>
      <c r="F1402">
        <f>Schedule!$G$1</f>
        <v/>
      </c>
      <c r="G1402">
        <f>Schedule!$G$2</f>
        <v/>
      </c>
      <c r="H1402">
        <f>Schedule!$G$203</f>
        <v/>
      </c>
      <c r="I1402">
        <f>IF($N1402=1,VALUE(LEFT($H1402,2)),"")</f>
        <v/>
      </c>
      <c r="J1402">
        <f>IF($N1402=1,VALUE(MID($H1402,9,2)),"")</f>
        <v/>
      </c>
      <c r="K1402">
        <f>IF($N1402=1,MOD($J1402-$I1402,24),0)</f>
        <v/>
      </c>
      <c r="L1402">
        <f>IF($N1402=1,$E1402*24+$I1402,"")</f>
        <v/>
      </c>
      <c r="M1402">
        <f>IF($N1402=1,$L1402+$K1402,"")</f>
        <v/>
      </c>
      <c r="N1402">
        <f>IF(ISNUMBER(SEARCH(" - ",$H1402&amp;"")),1,0)</f>
        <v/>
      </c>
      <c r="O1402">
        <f>IF(UPPER($H1402&amp;"")="LEAVE",1,0)</f>
        <v/>
      </c>
      <c r="P1402">
        <f>IF($N1402=1,$K1402,0)</f>
        <v/>
      </c>
      <c r="Q1402">
        <f>IF($N1402=0,"",IFERROR($L1402-'Previous Engine'!$M$202,""))</f>
        <v/>
      </c>
    </row>
    <row r="1403">
      <c r="A1403" t="n">
        <v>1402</v>
      </c>
      <c r="B1403">
        <f>Schedule!$A$203</f>
        <v/>
      </c>
      <c r="C1403">
        <f>Schedule!$D$203</f>
        <v/>
      </c>
      <c r="D1403">
        <f>Schedule!$F$203</f>
        <v/>
      </c>
      <c r="E1403" t="n">
        <v>1</v>
      </c>
      <c r="F1403">
        <f>Schedule!$H$1</f>
        <v/>
      </c>
      <c r="G1403">
        <f>Schedule!$H$2</f>
        <v/>
      </c>
      <c r="H1403">
        <f>Schedule!$H$203</f>
        <v/>
      </c>
      <c r="I1403">
        <f>IF($N1403=1,VALUE(LEFT($H1403,2)),"")</f>
        <v/>
      </c>
      <c r="J1403">
        <f>IF($N1403=1,VALUE(MID($H1403,9,2)),"")</f>
        <v/>
      </c>
      <c r="K1403">
        <f>IF($N1403=1,MOD($J1403-$I1403,24),0)</f>
        <v/>
      </c>
      <c r="L1403">
        <f>IF($N1403=1,$E1403*24+$I1403,"")</f>
        <v/>
      </c>
      <c r="M1403">
        <f>IF($N1403=1,$L1403+$K1403,"")</f>
        <v/>
      </c>
      <c r="N1403">
        <f>IF(ISNUMBER(SEARCH(" - ",$H1403&amp;"")),1,0)</f>
        <v/>
      </c>
      <c r="O1403">
        <f>IF(UPPER($H1403&amp;"")="LEAVE",1,0)</f>
        <v/>
      </c>
      <c r="P1403">
        <f>IF($N1403=1,$K1403,0)</f>
        <v/>
      </c>
      <c r="Q1403">
        <f>IF($N1403=0,"",IFERROR($L1403-LOOKUP(2,1/(($B$2:$B1402=$B1403)*($N$2:$N1402=1)),$M$2:$M1402),""))</f>
        <v/>
      </c>
    </row>
    <row r="1404">
      <c r="A1404" t="n">
        <v>1403</v>
      </c>
      <c r="B1404">
        <f>Schedule!$A$203</f>
        <v/>
      </c>
      <c r="C1404">
        <f>Schedule!$D$203</f>
        <v/>
      </c>
      <c r="D1404">
        <f>Schedule!$F$203</f>
        <v/>
      </c>
      <c r="E1404" t="n">
        <v>2</v>
      </c>
      <c r="F1404">
        <f>Schedule!$I$1</f>
        <v/>
      </c>
      <c r="G1404">
        <f>Schedule!$I$2</f>
        <v/>
      </c>
      <c r="H1404">
        <f>Schedule!$I$203</f>
        <v/>
      </c>
      <c r="I1404">
        <f>IF($N1404=1,VALUE(LEFT($H1404,2)),"")</f>
        <v/>
      </c>
      <c r="J1404">
        <f>IF($N1404=1,VALUE(MID($H1404,9,2)),"")</f>
        <v/>
      </c>
      <c r="K1404">
        <f>IF($N1404=1,MOD($J1404-$I1404,24),0)</f>
        <v/>
      </c>
      <c r="L1404">
        <f>IF($N1404=1,$E1404*24+$I1404,"")</f>
        <v/>
      </c>
      <c r="M1404">
        <f>IF($N1404=1,$L1404+$K1404,"")</f>
        <v/>
      </c>
      <c r="N1404">
        <f>IF(ISNUMBER(SEARCH(" - ",$H1404&amp;"")),1,0)</f>
        <v/>
      </c>
      <c r="O1404">
        <f>IF(UPPER($H1404&amp;"")="LEAVE",1,0)</f>
        <v/>
      </c>
      <c r="P1404">
        <f>IF($N1404=1,$K1404,0)</f>
        <v/>
      </c>
      <c r="Q1404">
        <f>IF($N1404=0,"",IFERROR($L1404-LOOKUP(2,1/(($B$2:$B1403=$B1404)*($N$2:$N1403=1)),$M$2:$M1403),""))</f>
        <v/>
      </c>
    </row>
    <row r="1405">
      <c r="A1405" t="n">
        <v>1404</v>
      </c>
      <c r="B1405">
        <f>Schedule!$A$203</f>
        <v/>
      </c>
      <c r="C1405">
        <f>Schedule!$D$203</f>
        <v/>
      </c>
      <c r="D1405">
        <f>Schedule!$F$203</f>
        <v/>
      </c>
      <c r="E1405" t="n">
        <v>3</v>
      </c>
      <c r="F1405">
        <f>Schedule!$J$1</f>
        <v/>
      </c>
      <c r="G1405">
        <f>Schedule!$J$2</f>
        <v/>
      </c>
      <c r="H1405">
        <f>Schedule!$J$203</f>
        <v/>
      </c>
      <c r="I1405">
        <f>IF($N1405=1,VALUE(LEFT($H1405,2)),"")</f>
        <v/>
      </c>
      <c r="J1405">
        <f>IF($N1405=1,VALUE(MID($H1405,9,2)),"")</f>
        <v/>
      </c>
      <c r="K1405">
        <f>IF($N1405=1,MOD($J1405-$I1405,24),0)</f>
        <v/>
      </c>
      <c r="L1405">
        <f>IF($N1405=1,$E1405*24+$I1405,"")</f>
        <v/>
      </c>
      <c r="M1405">
        <f>IF($N1405=1,$L1405+$K1405,"")</f>
        <v/>
      </c>
      <c r="N1405">
        <f>IF(ISNUMBER(SEARCH(" - ",$H1405&amp;"")),1,0)</f>
        <v/>
      </c>
      <c r="O1405">
        <f>IF(UPPER($H1405&amp;"")="LEAVE",1,0)</f>
        <v/>
      </c>
      <c r="P1405">
        <f>IF($N1405=1,$K1405,0)</f>
        <v/>
      </c>
      <c r="Q1405">
        <f>IF($N1405=0,"",IFERROR($L1405-LOOKUP(2,1/(($B$2:$B1404=$B1405)*($N$2:$N1404=1)),$M$2:$M1404),""))</f>
        <v/>
      </c>
    </row>
    <row r="1406">
      <c r="A1406" t="n">
        <v>1405</v>
      </c>
      <c r="B1406">
        <f>Schedule!$A$203</f>
        <v/>
      </c>
      <c r="C1406">
        <f>Schedule!$D$203</f>
        <v/>
      </c>
      <c r="D1406">
        <f>Schedule!$F$203</f>
        <v/>
      </c>
      <c r="E1406" t="n">
        <v>4</v>
      </c>
      <c r="F1406">
        <f>Schedule!$K$1</f>
        <v/>
      </c>
      <c r="G1406">
        <f>Schedule!$K$2</f>
        <v/>
      </c>
      <c r="H1406">
        <f>Schedule!$K$203</f>
        <v/>
      </c>
      <c r="I1406">
        <f>IF($N1406=1,VALUE(LEFT($H1406,2)),"")</f>
        <v/>
      </c>
      <c r="J1406">
        <f>IF($N1406=1,VALUE(MID($H1406,9,2)),"")</f>
        <v/>
      </c>
      <c r="K1406">
        <f>IF($N1406=1,MOD($J1406-$I1406,24),0)</f>
        <v/>
      </c>
      <c r="L1406">
        <f>IF($N1406=1,$E1406*24+$I1406,"")</f>
        <v/>
      </c>
      <c r="M1406">
        <f>IF($N1406=1,$L1406+$K1406,"")</f>
        <v/>
      </c>
      <c r="N1406">
        <f>IF(ISNUMBER(SEARCH(" - ",$H1406&amp;"")),1,0)</f>
        <v/>
      </c>
      <c r="O1406">
        <f>IF(UPPER($H1406&amp;"")="LEAVE",1,0)</f>
        <v/>
      </c>
      <c r="P1406">
        <f>IF($N1406=1,$K1406,0)</f>
        <v/>
      </c>
      <c r="Q1406">
        <f>IF($N1406=0,"",IFERROR($L1406-LOOKUP(2,1/(($B$2:$B1405=$B1406)*($N$2:$N1405=1)),$M$2:$M1405),""))</f>
        <v/>
      </c>
    </row>
    <row r="1407">
      <c r="A1407" t="n">
        <v>1406</v>
      </c>
      <c r="B1407">
        <f>Schedule!$A$203</f>
        <v/>
      </c>
      <c r="C1407">
        <f>Schedule!$D$203</f>
        <v/>
      </c>
      <c r="D1407">
        <f>Schedule!$F$203</f>
        <v/>
      </c>
      <c r="E1407" t="n">
        <v>5</v>
      </c>
      <c r="F1407">
        <f>Schedule!$L$1</f>
        <v/>
      </c>
      <c r="G1407">
        <f>Schedule!$L$2</f>
        <v/>
      </c>
      <c r="H1407">
        <f>Schedule!$L$203</f>
        <v/>
      </c>
      <c r="I1407">
        <f>IF($N1407=1,VALUE(LEFT($H1407,2)),"")</f>
        <v/>
      </c>
      <c r="J1407">
        <f>IF($N1407=1,VALUE(MID($H1407,9,2)),"")</f>
        <v/>
      </c>
      <c r="K1407">
        <f>IF($N1407=1,MOD($J1407-$I1407,24),0)</f>
        <v/>
      </c>
      <c r="L1407">
        <f>IF($N1407=1,$E1407*24+$I1407,"")</f>
        <v/>
      </c>
      <c r="M1407">
        <f>IF($N1407=1,$L1407+$K1407,"")</f>
        <v/>
      </c>
      <c r="N1407">
        <f>IF(ISNUMBER(SEARCH(" - ",$H1407&amp;"")),1,0)</f>
        <v/>
      </c>
      <c r="O1407">
        <f>IF(UPPER($H1407&amp;"")="LEAVE",1,0)</f>
        <v/>
      </c>
      <c r="P1407">
        <f>IF($N1407=1,$K1407,0)</f>
        <v/>
      </c>
      <c r="Q1407">
        <f>IF($N1407=0,"",IFERROR($L1407-LOOKUP(2,1/(($B$2:$B1406=$B1407)*($N$2:$N1406=1)),$M$2:$M1406),""))</f>
        <v/>
      </c>
    </row>
    <row r="1408">
      <c r="A1408" t="n">
        <v>1407</v>
      </c>
      <c r="B1408">
        <f>Schedule!$A$203</f>
        <v/>
      </c>
      <c r="C1408">
        <f>Schedule!$D$203</f>
        <v/>
      </c>
      <c r="D1408">
        <f>Schedule!$F$203</f>
        <v/>
      </c>
      <c r="E1408" t="n">
        <v>6</v>
      </c>
      <c r="F1408">
        <f>Schedule!$M$1</f>
        <v/>
      </c>
      <c r="G1408">
        <f>Schedule!$M$2</f>
        <v/>
      </c>
      <c r="H1408">
        <f>Schedule!$M$203</f>
        <v/>
      </c>
      <c r="I1408">
        <f>IF($N1408=1,VALUE(LEFT($H1408,2)),"")</f>
        <v/>
      </c>
      <c r="J1408">
        <f>IF($N1408=1,VALUE(MID($H1408,9,2)),"")</f>
        <v/>
      </c>
      <c r="K1408">
        <f>IF($N1408=1,MOD($J1408-$I1408,24),0)</f>
        <v/>
      </c>
      <c r="L1408">
        <f>IF($N1408=1,$E1408*24+$I1408,"")</f>
        <v/>
      </c>
      <c r="M1408">
        <f>IF($N1408=1,$L1408+$K1408,"")</f>
        <v/>
      </c>
      <c r="N1408">
        <f>IF(ISNUMBER(SEARCH(" - ",$H1408&amp;"")),1,0)</f>
        <v/>
      </c>
      <c r="O1408">
        <f>IF(UPPER($H1408&amp;"")="LEAVE",1,0)</f>
        <v/>
      </c>
      <c r="P1408">
        <f>IF($N1408=1,$K1408,0)</f>
        <v/>
      </c>
      <c r="Q1408">
        <f>IF($N1408=0,"",IFERROR($L1408-LOOKUP(2,1/(($B$2:$B1407=$B1408)*($N$2:$N1407=1)),$M$2:$M1407),""))</f>
        <v/>
      </c>
    </row>
    <row r="1409">
      <c r="A1409" t="n">
        <v>1408</v>
      </c>
      <c r="B1409">
        <f>Schedule!$A$204</f>
        <v/>
      </c>
      <c r="C1409">
        <f>Schedule!$D$204</f>
        <v/>
      </c>
      <c r="D1409">
        <f>Schedule!$F$204</f>
        <v/>
      </c>
      <c r="E1409" t="n">
        <v>0</v>
      </c>
      <c r="F1409">
        <f>Schedule!$G$1</f>
        <v/>
      </c>
      <c r="G1409">
        <f>Schedule!$G$2</f>
        <v/>
      </c>
      <c r="H1409">
        <f>Schedule!$G$204</f>
        <v/>
      </c>
      <c r="I1409">
        <f>IF($N1409=1,VALUE(LEFT($H1409,2)),"")</f>
        <v/>
      </c>
      <c r="J1409">
        <f>IF($N1409=1,VALUE(MID($H1409,9,2)),"")</f>
        <v/>
      </c>
      <c r="K1409">
        <f>IF($N1409=1,MOD($J1409-$I1409,24),0)</f>
        <v/>
      </c>
      <c r="L1409">
        <f>IF($N1409=1,$E1409*24+$I1409,"")</f>
        <v/>
      </c>
      <c r="M1409">
        <f>IF($N1409=1,$L1409+$K1409,"")</f>
        <v/>
      </c>
      <c r="N1409">
        <f>IF(ISNUMBER(SEARCH(" - ",$H1409&amp;"")),1,0)</f>
        <v/>
      </c>
      <c r="O1409">
        <f>IF(UPPER($H1409&amp;"")="LEAVE",1,0)</f>
        <v/>
      </c>
      <c r="P1409">
        <f>IF($N1409=1,$K1409,0)</f>
        <v/>
      </c>
      <c r="Q1409">
        <f>IF($N1409=0,"",IFERROR($L1409-'Previous Engine'!$M$203,""))</f>
        <v/>
      </c>
    </row>
    <row r="1410">
      <c r="A1410" t="n">
        <v>1409</v>
      </c>
      <c r="B1410">
        <f>Schedule!$A$204</f>
        <v/>
      </c>
      <c r="C1410">
        <f>Schedule!$D$204</f>
        <v/>
      </c>
      <c r="D1410">
        <f>Schedule!$F$204</f>
        <v/>
      </c>
      <c r="E1410" t="n">
        <v>1</v>
      </c>
      <c r="F1410">
        <f>Schedule!$H$1</f>
        <v/>
      </c>
      <c r="G1410">
        <f>Schedule!$H$2</f>
        <v/>
      </c>
      <c r="H1410">
        <f>Schedule!$H$204</f>
        <v/>
      </c>
      <c r="I1410">
        <f>IF($N1410=1,VALUE(LEFT($H1410,2)),"")</f>
        <v/>
      </c>
      <c r="J1410">
        <f>IF($N1410=1,VALUE(MID($H1410,9,2)),"")</f>
        <v/>
      </c>
      <c r="K1410">
        <f>IF($N1410=1,MOD($J1410-$I1410,24),0)</f>
        <v/>
      </c>
      <c r="L1410">
        <f>IF($N1410=1,$E1410*24+$I1410,"")</f>
        <v/>
      </c>
      <c r="M1410">
        <f>IF($N1410=1,$L1410+$K1410,"")</f>
        <v/>
      </c>
      <c r="N1410">
        <f>IF(ISNUMBER(SEARCH(" - ",$H1410&amp;"")),1,0)</f>
        <v/>
      </c>
      <c r="O1410">
        <f>IF(UPPER($H1410&amp;"")="LEAVE",1,0)</f>
        <v/>
      </c>
      <c r="P1410">
        <f>IF($N1410=1,$K1410,0)</f>
        <v/>
      </c>
      <c r="Q1410">
        <f>IF($N1410=0,"",IFERROR($L1410-LOOKUP(2,1/(($B$2:$B1409=$B1410)*($N$2:$N1409=1)),$M$2:$M1409),""))</f>
        <v/>
      </c>
    </row>
    <row r="1411">
      <c r="A1411" t="n">
        <v>1410</v>
      </c>
      <c r="B1411">
        <f>Schedule!$A$204</f>
        <v/>
      </c>
      <c r="C1411">
        <f>Schedule!$D$204</f>
        <v/>
      </c>
      <c r="D1411">
        <f>Schedule!$F$204</f>
        <v/>
      </c>
      <c r="E1411" t="n">
        <v>2</v>
      </c>
      <c r="F1411">
        <f>Schedule!$I$1</f>
        <v/>
      </c>
      <c r="G1411">
        <f>Schedule!$I$2</f>
        <v/>
      </c>
      <c r="H1411">
        <f>Schedule!$I$204</f>
        <v/>
      </c>
      <c r="I1411">
        <f>IF($N1411=1,VALUE(LEFT($H1411,2)),"")</f>
        <v/>
      </c>
      <c r="J1411">
        <f>IF($N1411=1,VALUE(MID($H1411,9,2)),"")</f>
        <v/>
      </c>
      <c r="K1411">
        <f>IF($N1411=1,MOD($J1411-$I1411,24),0)</f>
        <v/>
      </c>
      <c r="L1411">
        <f>IF($N1411=1,$E1411*24+$I1411,"")</f>
        <v/>
      </c>
      <c r="M1411">
        <f>IF($N1411=1,$L1411+$K1411,"")</f>
        <v/>
      </c>
      <c r="N1411">
        <f>IF(ISNUMBER(SEARCH(" - ",$H1411&amp;"")),1,0)</f>
        <v/>
      </c>
      <c r="O1411">
        <f>IF(UPPER($H1411&amp;"")="LEAVE",1,0)</f>
        <v/>
      </c>
      <c r="P1411">
        <f>IF($N1411=1,$K1411,0)</f>
        <v/>
      </c>
      <c r="Q1411">
        <f>IF($N1411=0,"",IFERROR($L1411-LOOKUP(2,1/(($B$2:$B1410=$B1411)*($N$2:$N1410=1)),$M$2:$M1410),""))</f>
        <v/>
      </c>
    </row>
    <row r="1412">
      <c r="A1412" t="n">
        <v>1411</v>
      </c>
      <c r="B1412">
        <f>Schedule!$A$204</f>
        <v/>
      </c>
      <c r="C1412">
        <f>Schedule!$D$204</f>
        <v/>
      </c>
      <c r="D1412">
        <f>Schedule!$F$204</f>
        <v/>
      </c>
      <c r="E1412" t="n">
        <v>3</v>
      </c>
      <c r="F1412">
        <f>Schedule!$J$1</f>
        <v/>
      </c>
      <c r="G1412">
        <f>Schedule!$J$2</f>
        <v/>
      </c>
      <c r="H1412">
        <f>Schedule!$J$204</f>
        <v/>
      </c>
      <c r="I1412">
        <f>IF($N1412=1,VALUE(LEFT($H1412,2)),"")</f>
        <v/>
      </c>
      <c r="J1412">
        <f>IF($N1412=1,VALUE(MID($H1412,9,2)),"")</f>
        <v/>
      </c>
      <c r="K1412">
        <f>IF($N1412=1,MOD($J1412-$I1412,24),0)</f>
        <v/>
      </c>
      <c r="L1412">
        <f>IF($N1412=1,$E1412*24+$I1412,"")</f>
        <v/>
      </c>
      <c r="M1412">
        <f>IF($N1412=1,$L1412+$K1412,"")</f>
        <v/>
      </c>
      <c r="N1412">
        <f>IF(ISNUMBER(SEARCH(" - ",$H1412&amp;"")),1,0)</f>
        <v/>
      </c>
      <c r="O1412">
        <f>IF(UPPER($H1412&amp;"")="LEAVE",1,0)</f>
        <v/>
      </c>
      <c r="P1412">
        <f>IF($N1412=1,$K1412,0)</f>
        <v/>
      </c>
      <c r="Q1412">
        <f>IF($N1412=0,"",IFERROR($L1412-LOOKUP(2,1/(($B$2:$B1411=$B1412)*($N$2:$N1411=1)),$M$2:$M1411),""))</f>
        <v/>
      </c>
    </row>
    <row r="1413">
      <c r="A1413" t="n">
        <v>1412</v>
      </c>
      <c r="B1413">
        <f>Schedule!$A$204</f>
        <v/>
      </c>
      <c r="C1413">
        <f>Schedule!$D$204</f>
        <v/>
      </c>
      <c r="D1413">
        <f>Schedule!$F$204</f>
        <v/>
      </c>
      <c r="E1413" t="n">
        <v>4</v>
      </c>
      <c r="F1413">
        <f>Schedule!$K$1</f>
        <v/>
      </c>
      <c r="G1413">
        <f>Schedule!$K$2</f>
        <v/>
      </c>
      <c r="H1413">
        <f>Schedule!$K$204</f>
        <v/>
      </c>
      <c r="I1413">
        <f>IF($N1413=1,VALUE(LEFT($H1413,2)),"")</f>
        <v/>
      </c>
      <c r="J1413">
        <f>IF($N1413=1,VALUE(MID($H1413,9,2)),"")</f>
        <v/>
      </c>
      <c r="K1413">
        <f>IF($N1413=1,MOD($J1413-$I1413,24),0)</f>
        <v/>
      </c>
      <c r="L1413">
        <f>IF($N1413=1,$E1413*24+$I1413,"")</f>
        <v/>
      </c>
      <c r="M1413">
        <f>IF($N1413=1,$L1413+$K1413,"")</f>
        <v/>
      </c>
      <c r="N1413">
        <f>IF(ISNUMBER(SEARCH(" - ",$H1413&amp;"")),1,0)</f>
        <v/>
      </c>
      <c r="O1413">
        <f>IF(UPPER($H1413&amp;"")="LEAVE",1,0)</f>
        <v/>
      </c>
      <c r="P1413">
        <f>IF($N1413=1,$K1413,0)</f>
        <v/>
      </c>
      <c r="Q1413">
        <f>IF($N1413=0,"",IFERROR($L1413-LOOKUP(2,1/(($B$2:$B1412=$B1413)*($N$2:$N1412=1)),$M$2:$M1412),""))</f>
        <v/>
      </c>
    </row>
    <row r="1414">
      <c r="A1414" t="n">
        <v>1413</v>
      </c>
      <c r="B1414">
        <f>Schedule!$A$204</f>
        <v/>
      </c>
      <c r="C1414">
        <f>Schedule!$D$204</f>
        <v/>
      </c>
      <c r="D1414">
        <f>Schedule!$F$204</f>
        <v/>
      </c>
      <c r="E1414" t="n">
        <v>5</v>
      </c>
      <c r="F1414">
        <f>Schedule!$L$1</f>
        <v/>
      </c>
      <c r="G1414">
        <f>Schedule!$L$2</f>
        <v/>
      </c>
      <c r="H1414">
        <f>Schedule!$L$204</f>
        <v/>
      </c>
      <c r="I1414">
        <f>IF($N1414=1,VALUE(LEFT($H1414,2)),"")</f>
        <v/>
      </c>
      <c r="J1414">
        <f>IF($N1414=1,VALUE(MID($H1414,9,2)),"")</f>
        <v/>
      </c>
      <c r="K1414">
        <f>IF($N1414=1,MOD($J1414-$I1414,24),0)</f>
        <v/>
      </c>
      <c r="L1414">
        <f>IF($N1414=1,$E1414*24+$I1414,"")</f>
        <v/>
      </c>
      <c r="M1414">
        <f>IF($N1414=1,$L1414+$K1414,"")</f>
        <v/>
      </c>
      <c r="N1414">
        <f>IF(ISNUMBER(SEARCH(" - ",$H1414&amp;"")),1,0)</f>
        <v/>
      </c>
      <c r="O1414">
        <f>IF(UPPER($H1414&amp;"")="LEAVE",1,0)</f>
        <v/>
      </c>
      <c r="P1414">
        <f>IF($N1414=1,$K1414,0)</f>
        <v/>
      </c>
      <c r="Q1414">
        <f>IF($N1414=0,"",IFERROR($L1414-LOOKUP(2,1/(($B$2:$B1413=$B1414)*($N$2:$N1413=1)),$M$2:$M1413),""))</f>
        <v/>
      </c>
    </row>
    <row r="1415">
      <c r="A1415" t="n">
        <v>1414</v>
      </c>
      <c r="B1415">
        <f>Schedule!$A$204</f>
        <v/>
      </c>
      <c r="C1415">
        <f>Schedule!$D$204</f>
        <v/>
      </c>
      <c r="D1415">
        <f>Schedule!$F$204</f>
        <v/>
      </c>
      <c r="E1415" t="n">
        <v>6</v>
      </c>
      <c r="F1415">
        <f>Schedule!$M$1</f>
        <v/>
      </c>
      <c r="G1415">
        <f>Schedule!$M$2</f>
        <v/>
      </c>
      <c r="H1415">
        <f>Schedule!$M$204</f>
        <v/>
      </c>
      <c r="I1415">
        <f>IF($N1415=1,VALUE(LEFT($H1415,2)),"")</f>
        <v/>
      </c>
      <c r="J1415">
        <f>IF($N1415=1,VALUE(MID($H1415,9,2)),"")</f>
        <v/>
      </c>
      <c r="K1415">
        <f>IF($N1415=1,MOD($J1415-$I1415,24),0)</f>
        <v/>
      </c>
      <c r="L1415">
        <f>IF($N1415=1,$E1415*24+$I1415,"")</f>
        <v/>
      </c>
      <c r="M1415">
        <f>IF($N1415=1,$L1415+$K1415,"")</f>
        <v/>
      </c>
      <c r="N1415">
        <f>IF(ISNUMBER(SEARCH(" - ",$H1415&amp;"")),1,0)</f>
        <v/>
      </c>
      <c r="O1415">
        <f>IF(UPPER($H1415&amp;"")="LEAVE",1,0)</f>
        <v/>
      </c>
      <c r="P1415">
        <f>IF($N1415=1,$K1415,0)</f>
        <v/>
      </c>
      <c r="Q1415">
        <f>IF($N1415=0,"",IFERROR($L1415-LOOKUP(2,1/(($B$2:$B1414=$B1415)*($N$2:$N1414=1)),$M$2:$M1414),""))</f>
        <v/>
      </c>
    </row>
    <row r="1416">
      <c r="A1416" t="n">
        <v>1415</v>
      </c>
      <c r="B1416">
        <f>Schedule!$A$205</f>
        <v/>
      </c>
      <c r="C1416">
        <f>Schedule!$D$205</f>
        <v/>
      </c>
      <c r="D1416">
        <f>Schedule!$F$205</f>
        <v/>
      </c>
      <c r="E1416" t="n">
        <v>0</v>
      </c>
      <c r="F1416">
        <f>Schedule!$G$1</f>
        <v/>
      </c>
      <c r="G1416">
        <f>Schedule!$G$2</f>
        <v/>
      </c>
      <c r="H1416">
        <f>Schedule!$G$205</f>
        <v/>
      </c>
      <c r="I1416">
        <f>IF($N1416=1,VALUE(LEFT($H1416,2)),"")</f>
        <v/>
      </c>
      <c r="J1416">
        <f>IF($N1416=1,VALUE(MID($H1416,9,2)),"")</f>
        <v/>
      </c>
      <c r="K1416">
        <f>IF($N1416=1,MOD($J1416-$I1416,24),0)</f>
        <v/>
      </c>
      <c r="L1416">
        <f>IF($N1416=1,$E1416*24+$I1416,"")</f>
        <v/>
      </c>
      <c r="M1416">
        <f>IF($N1416=1,$L1416+$K1416,"")</f>
        <v/>
      </c>
      <c r="N1416">
        <f>IF(ISNUMBER(SEARCH(" - ",$H1416&amp;"")),1,0)</f>
        <v/>
      </c>
      <c r="O1416">
        <f>IF(UPPER($H1416&amp;"")="LEAVE",1,0)</f>
        <v/>
      </c>
      <c r="P1416">
        <f>IF($N1416=1,$K1416,0)</f>
        <v/>
      </c>
      <c r="Q1416">
        <f>IF($N1416=0,"",IFERROR($L1416-'Previous Engine'!$M$204,""))</f>
        <v/>
      </c>
    </row>
    <row r="1417">
      <c r="A1417" t="n">
        <v>1416</v>
      </c>
      <c r="B1417">
        <f>Schedule!$A$205</f>
        <v/>
      </c>
      <c r="C1417">
        <f>Schedule!$D$205</f>
        <v/>
      </c>
      <c r="D1417">
        <f>Schedule!$F$205</f>
        <v/>
      </c>
      <c r="E1417" t="n">
        <v>1</v>
      </c>
      <c r="F1417">
        <f>Schedule!$H$1</f>
        <v/>
      </c>
      <c r="G1417">
        <f>Schedule!$H$2</f>
        <v/>
      </c>
      <c r="H1417">
        <f>Schedule!$H$205</f>
        <v/>
      </c>
      <c r="I1417">
        <f>IF($N1417=1,VALUE(LEFT($H1417,2)),"")</f>
        <v/>
      </c>
      <c r="J1417">
        <f>IF($N1417=1,VALUE(MID($H1417,9,2)),"")</f>
        <v/>
      </c>
      <c r="K1417">
        <f>IF($N1417=1,MOD($J1417-$I1417,24),0)</f>
        <v/>
      </c>
      <c r="L1417">
        <f>IF($N1417=1,$E1417*24+$I1417,"")</f>
        <v/>
      </c>
      <c r="M1417">
        <f>IF($N1417=1,$L1417+$K1417,"")</f>
        <v/>
      </c>
      <c r="N1417">
        <f>IF(ISNUMBER(SEARCH(" - ",$H1417&amp;"")),1,0)</f>
        <v/>
      </c>
      <c r="O1417">
        <f>IF(UPPER($H1417&amp;"")="LEAVE",1,0)</f>
        <v/>
      </c>
      <c r="P1417">
        <f>IF($N1417=1,$K1417,0)</f>
        <v/>
      </c>
      <c r="Q1417">
        <f>IF($N1417=0,"",IFERROR($L1417-LOOKUP(2,1/(($B$2:$B1416=$B1417)*($N$2:$N1416=1)),$M$2:$M1416),""))</f>
        <v/>
      </c>
    </row>
    <row r="1418">
      <c r="A1418" t="n">
        <v>1417</v>
      </c>
      <c r="B1418">
        <f>Schedule!$A$205</f>
        <v/>
      </c>
      <c r="C1418">
        <f>Schedule!$D$205</f>
        <v/>
      </c>
      <c r="D1418">
        <f>Schedule!$F$205</f>
        <v/>
      </c>
      <c r="E1418" t="n">
        <v>2</v>
      </c>
      <c r="F1418">
        <f>Schedule!$I$1</f>
        <v/>
      </c>
      <c r="G1418">
        <f>Schedule!$I$2</f>
        <v/>
      </c>
      <c r="H1418">
        <f>Schedule!$I$205</f>
        <v/>
      </c>
      <c r="I1418">
        <f>IF($N1418=1,VALUE(LEFT($H1418,2)),"")</f>
        <v/>
      </c>
      <c r="J1418">
        <f>IF($N1418=1,VALUE(MID($H1418,9,2)),"")</f>
        <v/>
      </c>
      <c r="K1418">
        <f>IF($N1418=1,MOD($J1418-$I1418,24),0)</f>
        <v/>
      </c>
      <c r="L1418">
        <f>IF($N1418=1,$E1418*24+$I1418,"")</f>
        <v/>
      </c>
      <c r="M1418">
        <f>IF($N1418=1,$L1418+$K1418,"")</f>
        <v/>
      </c>
      <c r="N1418">
        <f>IF(ISNUMBER(SEARCH(" - ",$H1418&amp;"")),1,0)</f>
        <v/>
      </c>
      <c r="O1418">
        <f>IF(UPPER($H1418&amp;"")="LEAVE",1,0)</f>
        <v/>
      </c>
      <c r="P1418">
        <f>IF($N1418=1,$K1418,0)</f>
        <v/>
      </c>
      <c r="Q1418">
        <f>IF($N1418=0,"",IFERROR($L1418-LOOKUP(2,1/(($B$2:$B1417=$B1418)*($N$2:$N1417=1)),$M$2:$M1417),""))</f>
        <v/>
      </c>
    </row>
    <row r="1419">
      <c r="A1419" t="n">
        <v>1418</v>
      </c>
      <c r="B1419">
        <f>Schedule!$A$205</f>
        <v/>
      </c>
      <c r="C1419">
        <f>Schedule!$D$205</f>
        <v/>
      </c>
      <c r="D1419">
        <f>Schedule!$F$205</f>
        <v/>
      </c>
      <c r="E1419" t="n">
        <v>3</v>
      </c>
      <c r="F1419">
        <f>Schedule!$J$1</f>
        <v/>
      </c>
      <c r="G1419">
        <f>Schedule!$J$2</f>
        <v/>
      </c>
      <c r="H1419">
        <f>Schedule!$J$205</f>
        <v/>
      </c>
      <c r="I1419">
        <f>IF($N1419=1,VALUE(LEFT($H1419,2)),"")</f>
        <v/>
      </c>
      <c r="J1419">
        <f>IF($N1419=1,VALUE(MID($H1419,9,2)),"")</f>
        <v/>
      </c>
      <c r="K1419">
        <f>IF($N1419=1,MOD($J1419-$I1419,24),0)</f>
        <v/>
      </c>
      <c r="L1419">
        <f>IF($N1419=1,$E1419*24+$I1419,"")</f>
        <v/>
      </c>
      <c r="M1419">
        <f>IF($N1419=1,$L1419+$K1419,"")</f>
        <v/>
      </c>
      <c r="N1419">
        <f>IF(ISNUMBER(SEARCH(" - ",$H1419&amp;"")),1,0)</f>
        <v/>
      </c>
      <c r="O1419">
        <f>IF(UPPER($H1419&amp;"")="LEAVE",1,0)</f>
        <v/>
      </c>
      <c r="P1419">
        <f>IF($N1419=1,$K1419,0)</f>
        <v/>
      </c>
      <c r="Q1419">
        <f>IF($N1419=0,"",IFERROR($L1419-LOOKUP(2,1/(($B$2:$B1418=$B1419)*($N$2:$N1418=1)),$M$2:$M1418),""))</f>
        <v/>
      </c>
    </row>
    <row r="1420">
      <c r="A1420" t="n">
        <v>1419</v>
      </c>
      <c r="B1420">
        <f>Schedule!$A$205</f>
        <v/>
      </c>
      <c r="C1420">
        <f>Schedule!$D$205</f>
        <v/>
      </c>
      <c r="D1420">
        <f>Schedule!$F$205</f>
        <v/>
      </c>
      <c r="E1420" t="n">
        <v>4</v>
      </c>
      <c r="F1420">
        <f>Schedule!$K$1</f>
        <v/>
      </c>
      <c r="G1420">
        <f>Schedule!$K$2</f>
        <v/>
      </c>
      <c r="H1420">
        <f>Schedule!$K$205</f>
        <v/>
      </c>
      <c r="I1420">
        <f>IF($N1420=1,VALUE(LEFT($H1420,2)),"")</f>
        <v/>
      </c>
      <c r="J1420">
        <f>IF($N1420=1,VALUE(MID($H1420,9,2)),"")</f>
        <v/>
      </c>
      <c r="K1420">
        <f>IF($N1420=1,MOD($J1420-$I1420,24),0)</f>
        <v/>
      </c>
      <c r="L1420">
        <f>IF($N1420=1,$E1420*24+$I1420,"")</f>
        <v/>
      </c>
      <c r="M1420">
        <f>IF($N1420=1,$L1420+$K1420,"")</f>
        <v/>
      </c>
      <c r="N1420">
        <f>IF(ISNUMBER(SEARCH(" - ",$H1420&amp;"")),1,0)</f>
        <v/>
      </c>
      <c r="O1420">
        <f>IF(UPPER($H1420&amp;"")="LEAVE",1,0)</f>
        <v/>
      </c>
      <c r="P1420">
        <f>IF($N1420=1,$K1420,0)</f>
        <v/>
      </c>
      <c r="Q1420">
        <f>IF($N1420=0,"",IFERROR($L1420-LOOKUP(2,1/(($B$2:$B1419=$B1420)*($N$2:$N1419=1)),$M$2:$M1419),""))</f>
        <v/>
      </c>
    </row>
    <row r="1421">
      <c r="A1421" t="n">
        <v>1420</v>
      </c>
      <c r="B1421">
        <f>Schedule!$A$205</f>
        <v/>
      </c>
      <c r="C1421">
        <f>Schedule!$D$205</f>
        <v/>
      </c>
      <c r="D1421">
        <f>Schedule!$F$205</f>
        <v/>
      </c>
      <c r="E1421" t="n">
        <v>5</v>
      </c>
      <c r="F1421">
        <f>Schedule!$L$1</f>
        <v/>
      </c>
      <c r="G1421">
        <f>Schedule!$L$2</f>
        <v/>
      </c>
      <c r="H1421">
        <f>Schedule!$L$205</f>
        <v/>
      </c>
      <c r="I1421">
        <f>IF($N1421=1,VALUE(LEFT($H1421,2)),"")</f>
        <v/>
      </c>
      <c r="J1421">
        <f>IF($N1421=1,VALUE(MID($H1421,9,2)),"")</f>
        <v/>
      </c>
      <c r="K1421">
        <f>IF($N1421=1,MOD($J1421-$I1421,24),0)</f>
        <v/>
      </c>
      <c r="L1421">
        <f>IF($N1421=1,$E1421*24+$I1421,"")</f>
        <v/>
      </c>
      <c r="M1421">
        <f>IF($N1421=1,$L1421+$K1421,"")</f>
        <v/>
      </c>
      <c r="N1421">
        <f>IF(ISNUMBER(SEARCH(" - ",$H1421&amp;"")),1,0)</f>
        <v/>
      </c>
      <c r="O1421">
        <f>IF(UPPER($H1421&amp;"")="LEAVE",1,0)</f>
        <v/>
      </c>
      <c r="P1421">
        <f>IF($N1421=1,$K1421,0)</f>
        <v/>
      </c>
      <c r="Q1421">
        <f>IF($N1421=0,"",IFERROR($L1421-LOOKUP(2,1/(($B$2:$B1420=$B1421)*($N$2:$N1420=1)),$M$2:$M1420),""))</f>
        <v/>
      </c>
    </row>
    <row r="1422">
      <c r="A1422" t="n">
        <v>1421</v>
      </c>
      <c r="B1422">
        <f>Schedule!$A$205</f>
        <v/>
      </c>
      <c r="C1422">
        <f>Schedule!$D$205</f>
        <v/>
      </c>
      <c r="D1422">
        <f>Schedule!$F$205</f>
        <v/>
      </c>
      <c r="E1422" t="n">
        <v>6</v>
      </c>
      <c r="F1422">
        <f>Schedule!$M$1</f>
        <v/>
      </c>
      <c r="G1422">
        <f>Schedule!$M$2</f>
        <v/>
      </c>
      <c r="H1422">
        <f>Schedule!$M$205</f>
        <v/>
      </c>
      <c r="I1422">
        <f>IF($N1422=1,VALUE(LEFT($H1422,2)),"")</f>
        <v/>
      </c>
      <c r="J1422">
        <f>IF($N1422=1,VALUE(MID($H1422,9,2)),"")</f>
        <v/>
      </c>
      <c r="K1422">
        <f>IF($N1422=1,MOD($J1422-$I1422,24),0)</f>
        <v/>
      </c>
      <c r="L1422">
        <f>IF($N1422=1,$E1422*24+$I1422,"")</f>
        <v/>
      </c>
      <c r="M1422">
        <f>IF($N1422=1,$L1422+$K1422,"")</f>
        <v/>
      </c>
      <c r="N1422">
        <f>IF(ISNUMBER(SEARCH(" - ",$H1422&amp;"")),1,0)</f>
        <v/>
      </c>
      <c r="O1422">
        <f>IF(UPPER($H1422&amp;"")="LEAVE",1,0)</f>
        <v/>
      </c>
      <c r="P1422">
        <f>IF($N1422=1,$K1422,0)</f>
        <v/>
      </c>
      <c r="Q1422">
        <f>IF($N1422=0,"",IFERROR($L1422-LOOKUP(2,1/(($B$2:$B1421=$B1422)*($N$2:$N1421=1)),$M$2:$M1421),""))</f>
        <v/>
      </c>
    </row>
    <row r="1423">
      <c r="A1423" t="n">
        <v>1422</v>
      </c>
      <c r="B1423">
        <f>Schedule!$A$206</f>
        <v/>
      </c>
      <c r="C1423">
        <f>Schedule!$D$206</f>
        <v/>
      </c>
      <c r="D1423">
        <f>Schedule!$F$206</f>
        <v/>
      </c>
      <c r="E1423" t="n">
        <v>0</v>
      </c>
      <c r="F1423">
        <f>Schedule!$G$1</f>
        <v/>
      </c>
      <c r="G1423">
        <f>Schedule!$G$2</f>
        <v/>
      </c>
      <c r="H1423">
        <f>Schedule!$G$206</f>
        <v/>
      </c>
      <c r="I1423">
        <f>IF($N1423=1,VALUE(LEFT($H1423,2)),"")</f>
        <v/>
      </c>
      <c r="J1423">
        <f>IF($N1423=1,VALUE(MID($H1423,9,2)),"")</f>
        <v/>
      </c>
      <c r="K1423">
        <f>IF($N1423=1,MOD($J1423-$I1423,24),0)</f>
        <v/>
      </c>
      <c r="L1423">
        <f>IF($N1423=1,$E1423*24+$I1423,"")</f>
        <v/>
      </c>
      <c r="M1423">
        <f>IF($N1423=1,$L1423+$K1423,"")</f>
        <v/>
      </c>
      <c r="N1423">
        <f>IF(ISNUMBER(SEARCH(" - ",$H1423&amp;"")),1,0)</f>
        <v/>
      </c>
      <c r="O1423">
        <f>IF(UPPER($H1423&amp;"")="LEAVE",1,0)</f>
        <v/>
      </c>
      <c r="P1423">
        <f>IF($N1423=1,$K1423,0)</f>
        <v/>
      </c>
      <c r="Q1423">
        <f>IF($N1423=0,"",IFERROR($L1423-'Previous Engine'!$M$205,""))</f>
        <v/>
      </c>
    </row>
    <row r="1424">
      <c r="A1424" t="n">
        <v>1423</v>
      </c>
      <c r="B1424">
        <f>Schedule!$A$206</f>
        <v/>
      </c>
      <c r="C1424">
        <f>Schedule!$D$206</f>
        <v/>
      </c>
      <c r="D1424">
        <f>Schedule!$F$206</f>
        <v/>
      </c>
      <c r="E1424" t="n">
        <v>1</v>
      </c>
      <c r="F1424">
        <f>Schedule!$H$1</f>
        <v/>
      </c>
      <c r="G1424">
        <f>Schedule!$H$2</f>
        <v/>
      </c>
      <c r="H1424">
        <f>Schedule!$H$206</f>
        <v/>
      </c>
      <c r="I1424">
        <f>IF($N1424=1,VALUE(LEFT($H1424,2)),"")</f>
        <v/>
      </c>
      <c r="J1424">
        <f>IF($N1424=1,VALUE(MID($H1424,9,2)),"")</f>
        <v/>
      </c>
      <c r="K1424">
        <f>IF($N1424=1,MOD($J1424-$I1424,24),0)</f>
        <v/>
      </c>
      <c r="L1424">
        <f>IF($N1424=1,$E1424*24+$I1424,"")</f>
        <v/>
      </c>
      <c r="M1424">
        <f>IF($N1424=1,$L1424+$K1424,"")</f>
        <v/>
      </c>
      <c r="N1424">
        <f>IF(ISNUMBER(SEARCH(" - ",$H1424&amp;"")),1,0)</f>
        <v/>
      </c>
      <c r="O1424">
        <f>IF(UPPER($H1424&amp;"")="LEAVE",1,0)</f>
        <v/>
      </c>
      <c r="P1424">
        <f>IF($N1424=1,$K1424,0)</f>
        <v/>
      </c>
      <c r="Q1424">
        <f>IF($N1424=0,"",IFERROR($L1424-LOOKUP(2,1/(($B$2:$B1423=$B1424)*($N$2:$N1423=1)),$M$2:$M1423),""))</f>
        <v/>
      </c>
    </row>
    <row r="1425">
      <c r="A1425" t="n">
        <v>1424</v>
      </c>
      <c r="B1425">
        <f>Schedule!$A$206</f>
        <v/>
      </c>
      <c r="C1425">
        <f>Schedule!$D$206</f>
        <v/>
      </c>
      <c r="D1425">
        <f>Schedule!$F$206</f>
        <v/>
      </c>
      <c r="E1425" t="n">
        <v>2</v>
      </c>
      <c r="F1425">
        <f>Schedule!$I$1</f>
        <v/>
      </c>
      <c r="G1425">
        <f>Schedule!$I$2</f>
        <v/>
      </c>
      <c r="H1425">
        <f>Schedule!$I$206</f>
        <v/>
      </c>
      <c r="I1425">
        <f>IF($N1425=1,VALUE(LEFT($H1425,2)),"")</f>
        <v/>
      </c>
      <c r="J1425">
        <f>IF($N1425=1,VALUE(MID($H1425,9,2)),"")</f>
        <v/>
      </c>
      <c r="K1425">
        <f>IF($N1425=1,MOD($J1425-$I1425,24),0)</f>
        <v/>
      </c>
      <c r="L1425">
        <f>IF($N1425=1,$E1425*24+$I1425,"")</f>
        <v/>
      </c>
      <c r="M1425">
        <f>IF($N1425=1,$L1425+$K1425,"")</f>
        <v/>
      </c>
      <c r="N1425">
        <f>IF(ISNUMBER(SEARCH(" - ",$H1425&amp;"")),1,0)</f>
        <v/>
      </c>
      <c r="O1425">
        <f>IF(UPPER($H1425&amp;"")="LEAVE",1,0)</f>
        <v/>
      </c>
      <c r="P1425">
        <f>IF($N1425=1,$K1425,0)</f>
        <v/>
      </c>
      <c r="Q1425">
        <f>IF($N1425=0,"",IFERROR($L1425-LOOKUP(2,1/(($B$2:$B1424=$B1425)*($N$2:$N1424=1)),$M$2:$M1424),""))</f>
        <v/>
      </c>
    </row>
    <row r="1426">
      <c r="A1426" t="n">
        <v>1425</v>
      </c>
      <c r="B1426">
        <f>Schedule!$A$206</f>
        <v/>
      </c>
      <c r="C1426">
        <f>Schedule!$D$206</f>
        <v/>
      </c>
      <c r="D1426">
        <f>Schedule!$F$206</f>
        <v/>
      </c>
      <c r="E1426" t="n">
        <v>3</v>
      </c>
      <c r="F1426">
        <f>Schedule!$J$1</f>
        <v/>
      </c>
      <c r="G1426">
        <f>Schedule!$J$2</f>
        <v/>
      </c>
      <c r="H1426">
        <f>Schedule!$J$206</f>
        <v/>
      </c>
      <c r="I1426">
        <f>IF($N1426=1,VALUE(LEFT($H1426,2)),"")</f>
        <v/>
      </c>
      <c r="J1426">
        <f>IF($N1426=1,VALUE(MID($H1426,9,2)),"")</f>
        <v/>
      </c>
      <c r="K1426">
        <f>IF($N1426=1,MOD($J1426-$I1426,24),0)</f>
        <v/>
      </c>
      <c r="L1426">
        <f>IF($N1426=1,$E1426*24+$I1426,"")</f>
        <v/>
      </c>
      <c r="M1426">
        <f>IF($N1426=1,$L1426+$K1426,"")</f>
        <v/>
      </c>
      <c r="N1426">
        <f>IF(ISNUMBER(SEARCH(" - ",$H1426&amp;"")),1,0)</f>
        <v/>
      </c>
      <c r="O1426">
        <f>IF(UPPER($H1426&amp;"")="LEAVE",1,0)</f>
        <v/>
      </c>
      <c r="P1426">
        <f>IF($N1426=1,$K1426,0)</f>
        <v/>
      </c>
      <c r="Q1426">
        <f>IF($N1426=0,"",IFERROR($L1426-LOOKUP(2,1/(($B$2:$B1425=$B1426)*($N$2:$N1425=1)),$M$2:$M1425),""))</f>
        <v/>
      </c>
    </row>
    <row r="1427">
      <c r="A1427" t="n">
        <v>1426</v>
      </c>
      <c r="B1427">
        <f>Schedule!$A$206</f>
        <v/>
      </c>
      <c r="C1427">
        <f>Schedule!$D$206</f>
        <v/>
      </c>
      <c r="D1427">
        <f>Schedule!$F$206</f>
        <v/>
      </c>
      <c r="E1427" t="n">
        <v>4</v>
      </c>
      <c r="F1427">
        <f>Schedule!$K$1</f>
        <v/>
      </c>
      <c r="G1427">
        <f>Schedule!$K$2</f>
        <v/>
      </c>
      <c r="H1427">
        <f>Schedule!$K$206</f>
        <v/>
      </c>
      <c r="I1427">
        <f>IF($N1427=1,VALUE(LEFT($H1427,2)),"")</f>
        <v/>
      </c>
      <c r="J1427">
        <f>IF($N1427=1,VALUE(MID($H1427,9,2)),"")</f>
        <v/>
      </c>
      <c r="K1427">
        <f>IF($N1427=1,MOD($J1427-$I1427,24),0)</f>
        <v/>
      </c>
      <c r="L1427">
        <f>IF($N1427=1,$E1427*24+$I1427,"")</f>
        <v/>
      </c>
      <c r="M1427">
        <f>IF($N1427=1,$L1427+$K1427,"")</f>
        <v/>
      </c>
      <c r="N1427">
        <f>IF(ISNUMBER(SEARCH(" - ",$H1427&amp;"")),1,0)</f>
        <v/>
      </c>
      <c r="O1427">
        <f>IF(UPPER($H1427&amp;"")="LEAVE",1,0)</f>
        <v/>
      </c>
      <c r="P1427">
        <f>IF($N1427=1,$K1427,0)</f>
        <v/>
      </c>
      <c r="Q1427">
        <f>IF($N1427=0,"",IFERROR($L1427-LOOKUP(2,1/(($B$2:$B1426=$B1427)*($N$2:$N1426=1)),$M$2:$M1426),""))</f>
        <v/>
      </c>
    </row>
    <row r="1428">
      <c r="A1428" t="n">
        <v>1427</v>
      </c>
      <c r="B1428">
        <f>Schedule!$A$206</f>
        <v/>
      </c>
      <c r="C1428">
        <f>Schedule!$D$206</f>
        <v/>
      </c>
      <c r="D1428">
        <f>Schedule!$F$206</f>
        <v/>
      </c>
      <c r="E1428" t="n">
        <v>5</v>
      </c>
      <c r="F1428">
        <f>Schedule!$L$1</f>
        <v/>
      </c>
      <c r="G1428">
        <f>Schedule!$L$2</f>
        <v/>
      </c>
      <c r="H1428">
        <f>Schedule!$L$206</f>
        <v/>
      </c>
      <c r="I1428">
        <f>IF($N1428=1,VALUE(LEFT($H1428,2)),"")</f>
        <v/>
      </c>
      <c r="J1428">
        <f>IF($N1428=1,VALUE(MID($H1428,9,2)),"")</f>
        <v/>
      </c>
      <c r="K1428">
        <f>IF($N1428=1,MOD($J1428-$I1428,24),0)</f>
        <v/>
      </c>
      <c r="L1428">
        <f>IF($N1428=1,$E1428*24+$I1428,"")</f>
        <v/>
      </c>
      <c r="M1428">
        <f>IF($N1428=1,$L1428+$K1428,"")</f>
        <v/>
      </c>
      <c r="N1428">
        <f>IF(ISNUMBER(SEARCH(" - ",$H1428&amp;"")),1,0)</f>
        <v/>
      </c>
      <c r="O1428">
        <f>IF(UPPER($H1428&amp;"")="LEAVE",1,0)</f>
        <v/>
      </c>
      <c r="P1428">
        <f>IF($N1428=1,$K1428,0)</f>
        <v/>
      </c>
      <c r="Q1428">
        <f>IF($N1428=0,"",IFERROR($L1428-LOOKUP(2,1/(($B$2:$B1427=$B1428)*($N$2:$N1427=1)),$M$2:$M1427),""))</f>
        <v/>
      </c>
    </row>
    <row r="1429">
      <c r="A1429" t="n">
        <v>1428</v>
      </c>
      <c r="B1429">
        <f>Schedule!$A$206</f>
        <v/>
      </c>
      <c r="C1429">
        <f>Schedule!$D$206</f>
        <v/>
      </c>
      <c r="D1429">
        <f>Schedule!$F$206</f>
        <v/>
      </c>
      <c r="E1429" t="n">
        <v>6</v>
      </c>
      <c r="F1429">
        <f>Schedule!$M$1</f>
        <v/>
      </c>
      <c r="G1429">
        <f>Schedule!$M$2</f>
        <v/>
      </c>
      <c r="H1429">
        <f>Schedule!$M$206</f>
        <v/>
      </c>
      <c r="I1429">
        <f>IF($N1429=1,VALUE(LEFT($H1429,2)),"")</f>
        <v/>
      </c>
      <c r="J1429">
        <f>IF($N1429=1,VALUE(MID($H1429,9,2)),"")</f>
        <v/>
      </c>
      <c r="K1429">
        <f>IF($N1429=1,MOD($J1429-$I1429,24),0)</f>
        <v/>
      </c>
      <c r="L1429">
        <f>IF($N1429=1,$E1429*24+$I1429,"")</f>
        <v/>
      </c>
      <c r="M1429">
        <f>IF($N1429=1,$L1429+$K1429,"")</f>
        <v/>
      </c>
      <c r="N1429">
        <f>IF(ISNUMBER(SEARCH(" - ",$H1429&amp;"")),1,0)</f>
        <v/>
      </c>
      <c r="O1429">
        <f>IF(UPPER($H1429&amp;"")="LEAVE",1,0)</f>
        <v/>
      </c>
      <c r="P1429">
        <f>IF($N1429=1,$K1429,0)</f>
        <v/>
      </c>
      <c r="Q1429">
        <f>IF($N1429=0,"",IFERROR($L1429-LOOKUP(2,1/(($B$2:$B1428=$B1429)*($N$2:$N1428=1)),$M$2:$M1428),""))</f>
        <v/>
      </c>
    </row>
    <row r="1430">
      <c r="A1430" t="n">
        <v>1429</v>
      </c>
      <c r="B1430">
        <f>Schedule!$A$207</f>
        <v/>
      </c>
      <c r="C1430">
        <f>Schedule!$D$207</f>
        <v/>
      </c>
      <c r="D1430">
        <f>Schedule!$F$207</f>
        <v/>
      </c>
      <c r="E1430" t="n">
        <v>0</v>
      </c>
      <c r="F1430">
        <f>Schedule!$G$1</f>
        <v/>
      </c>
      <c r="G1430">
        <f>Schedule!$G$2</f>
        <v/>
      </c>
      <c r="H1430">
        <f>Schedule!$G$207</f>
        <v/>
      </c>
      <c r="I1430">
        <f>IF($N1430=1,VALUE(LEFT($H1430,2)),"")</f>
        <v/>
      </c>
      <c r="J1430">
        <f>IF($N1430=1,VALUE(MID($H1430,9,2)),"")</f>
        <v/>
      </c>
      <c r="K1430">
        <f>IF($N1430=1,MOD($J1430-$I1430,24),0)</f>
        <v/>
      </c>
      <c r="L1430">
        <f>IF($N1430=1,$E1430*24+$I1430,"")</f>
        <v/>
      </c>
      <c r="M1430">
        <f>IF($N1430=1,$L1430+$K1430,"")</f>
        <v/>
      </c>
      <c r="N1430">
        <f>IF(ISNUMBER(SEARCH(" - ",$H1430&amp;"")),1,0)</f>
        <v/>
      </c>
      <c r="O1430">
        <f>IF(UPPER($H1430&amp;"")="LEAVE",1,0)</f>
        <v/>
      </c>
      <c r="P1430">
        <f>IF($N1430=1,$K1430,0)</f>
        <v/>
      </c>
      <c r="Q1430">
        <f>IF($N1430=0,"",IFERROR($L1430-'Previous Engine'!$M$206,""))</f>
        <v/>
      </c>
    </row>
    <row r="1431">
      <c r="A1431" t="n">
        <v>1430</v>
      </c>
      <c r="B1431">
        <f>Schedule!$A$207</f>
        <v/>
      </c>
      <c r="C1431">
        <f>Schedule!$D$207</f>
        <v/>
      </c>
      <c r="D1431">
        <f>Schedule!$F$207</f>
        <v/>
      </c>
      <c r="E1431" t="n">
        <v>1</v>
      </c>
      <c r="F1431">
        <f>Schedule!$H$1</f>
        <v/>
      </c>
      <c r="G1431">
        <f>Schedule!$H$2</f>
        <v/>
      </c>
      <c r="H1431">
        <f>Schedule!$H$207</f>
        <v/>
      </c>
      <c r="I1431">
        <f>IF($N1431=1,VALUE(LEFT($H1431,2)),"")</f>
        <v/>
      </c>
      <c r="J1431">
        <f>IF($N1431=1,VALUE(MID($H1431,9,2)),"")</f>
        <v/>
      </c>
      <c r="K1431">
        <f>IF($N1431=1,MOD($J1431-$I1431,24),0)</f>
        <v/>
      </c>
      <c r="L1431">
        <f>IF($N1431=1,$E1431*24+$I1431,"")</f>
        <v/>
      </c>
      <c r="M1431">
        <f>IF($N1431=1,$L1431+$K1431,"")</f>
        <v/>
      </c>
      <c r="N1431">
        <f>IF(ISNUMBER(SEARCH(" - ",$H1431&amp;"")),1,0)</f>
        <v/>
      </c>
      <c r="O1431">
        <f>IF(UPPER($H1431&amp;"")="LEAVE",1,0)</f>
        <v/>
      </c>
      <c r="P1431">
        <f>IF($N1431=1,$K1431,0)</f>
        <v/>
      </c>
      <c r="Q1431">
        <f>IF($N1431=0,"",IFERROR($L1431-LOOKUP(2,1/(($B$2:$B1430=$B1431)*($N$2:$N1430=1)),$M$2:$M1430),""))</f>
        <v/>
      </c>
    </row>
    <row r="1432">
      <c r="A1432" t="n">
        <v>1431</v>
      </c>
      <c r="B1432">
        <f>Schedule!$A$207</f>
        <v/>
      </c>
      <c r="C1432">
        <f>Schedule!$D$207</f>
        <v/>
      </c>
      <c r="D1432">
        <f>Schedule!$F$207</f>
        <v/>
      </c>
      <c r="E1432" t="n">
        <v>2</v>
      </c>
      <c r="F1432">
        <f>Schedule!$I$1</f>
        <v/>
      </c>
      <c r="G1432">
        <f>Schedule!$I$2</f>
        <v/>
      </c>
      <c r="H1432">
        <f>Schedule!$I$207</f>
        <v/>
      </c>
      <c r="I1432">
        <f>IF($N1432=1,VALUE(LEFT($H1432,2)),"")</f>
        <v/>
      </c>
      <c r="J1432">
        <f>IF($N1432=1,VALUE(MID($H1432,9,2)),"")</f>
        <v/>
      </c>
      <c r="K1432">
        <f>IF($N1432=1,MOD($J1432-$I1432,24),0)</f>
        <v/>
      </c>
      <c r="L1432">
        <f>IF($N1432=1,$E1432*24+$I1432,"")</f>
        <v/>
      </c>
      <c r="M1432">
        <f>IF($N1432=1,$L1432+$K1432,"")</f>
        <v/>
      </c>
      <c r="N1432">
        <f>IF(ISNUMBER(SEARCH(" - ",$H1432&amp;"")),1,0)</f>
        <v/>
      </c>
      <c r="O1432">
        <f>IF(UPPER($H1432&amp;"")="LEAVE",1,0)</f>
        <v/>
      </c>
      <c r="P1432">
        <f>IF($N1432=1,$K1432,0)</f>
        <v/>
      </c>
      <c r="Q1432">
        <f>IF($N1432=0,"",IFERROR($L1432-LOOKUP(2,1/(($B$2:$B1431=$B1432)*($N$2:$N1431=1)),$M$2:$M1431),""))</f>
        <v/>
      </c>
    </row>
    <row r="1433">
      <c r="A1433" t="n">
        <v>1432</v>
      </c>
      <c r="B1433">
        <f>Schedule!$A$207</f>
        <v/>
      </c>
      <c r="C1433">
        <f>Schedule!$D$207</f>
        <v/>
      </c>
      <c r="D1433">
        <f>Schedule!$F$207</f>
        <v/>
      </c>
      <c r="E1433" t="n">
        <v>3</v>
      </c>
      <c r="F1433">
        <f>Schedule!$J$1</f>
        <v/>
      </c>
      <c r="G1433">
        <f>Schedule!$J$2</f>
        <v/>
      </c>
      <c r="H1433">
        <f>Schedule!$J$207</f>
        <v/>
      </c>
      <c r="I1433">
        <f>IF($N1433=1,VALUE(LEFT($H1433,2)),"")</f>
        <v/>
      </c>
      <c r="J1433">
        <f>IF($N1433=1,VALUE(MID($H1433,9,2)),"")</f>
        <v/>
      </c>
      <c r="K1433">
        <f>IF($N1433=1,MOD($J1433-$I1433,24),0)</f>
        <v/>
      </c>
      <c r="L1433">
        <f>IF($N1433=1,$E1433*24+$I1433,"")</f>
        <v/>
      </c>
      <c r="M1433">
        <f>IF($N1433=1,$L1433+$K1433,"")</f>
        <v/>
      </c>
      <c r="N1433">
        <f>IF(ISNUMBER(SEARCH(" - ",$H1433&amp;"")),1,0)</f>
        <v/>
      </c>
      <c r="O1433">
        <f>IF(UPPER($H1433&amp;"")="LEAVE",1,0)</f>
        <v/>
      </c>
      <c r="P1433">
        <f>IF($N1433=1,$K1433,0)</f>
        <v/>
      </c>
      <c r="Q1433">
        <f>IF($N1433=0,"",IFERROR($L1433-LOOKUP(2,1/(($B$2:$B1432=$B1433)*($N$2:$N1432=1)),$M$2:$M1432),""))</f>
        <v/>
      </c>
    </row>
    <row r="1434">
      <c r="A1434" t="n">
        <v>1433</v>
      </c>
      <c r="B1434">
        <f>Schedule!$A$207</f>
        <v/>
      </c>
      <c r="C1434">
        <f>Schedule!$D$207</f>
        <v/>
      </c>
      <c r="D1434">
        <f>Schedule!$F$207</f>
        <v/>
      </c>
      <c r="E1434" t="n">
        <v>4</v>
      </c>
      <c r="F1434">
        <f>Schedule!$K$1</f>
        <v/>
      </c>
      <c r="G1434">
        <f>Schedule!$K$2</f>
        <v/>
      </c>
      <c r="H1434">
        <f>Schedule!$K$207</f>
        <v/>
      </c>
      <c r="I1434">
        <f>IF($N1434=1,VALUE(LEFT($H1434,2)),"")</f>
        <v/>
      </c>
      <c r="J1434">
        <f>IF($N1434=1,VALUE(MID($H1434,9,2)),"")</f>
        <v/>
      </c>
      <c r="K1434">
        <f>IF($N1434=1,MOD($J1434-$I1434,24),0)</f>
        <v/>
      </c>
      <c r="L1434">
        <f>IF($N1434=1,$E1434*24+$I1434,"")</f>
        <v/>
      </c>
      <c r="M1434">
        <f>IF($N1434=1,$L1434+$K1434,"")</f>
        <v/>
      </c>
      <c r="N1434">
        <f>IF(ISNUMBER(SEARCH(" - ",$H1434&amp;"")),1,0)</f>
        <v/>
      </c>
      <c r="O1434">
        <f>IF(UPPER($H1434&amp;"")="LEAVE",1,0)</f>
        <v/>
      </c>
      <c r="P1434">
        <f>IF($N1434=1,$K1434,0)</f>
        <v/>
      </c>
      <c r="Q1434">
        <f>IF($N1434=0,"",IFERROR($L1434-LOOKUP(2,1/(($B$2:$B1433=$B1434)*($N$2:$N1433=1)),$M$2:$M1433),""))</f>
        <v/>
      </c>
    </row>
    <row r="1435">
      <c r="A1435" t="n">
        <v>1434</v>
      </c>
      <c r="B1435">
        <f>Schedule!$A$207</f>
        <v/>
      </c>
      <c r="C1435">
        <f>Schedule!$D$207</f>
        <v/>
      </c>
      <c r="D1435">
        <f>Schedule!$F$207</f>
        <v/>
      </c>
      <c r="E1435" t="n">
        <v>5</v>
      </c>
      <c r="F1435">
        <f>Schedule!$L$1</f>
        <v/>
      </c>
      <c r="G1435">
        <f>Schedule!$L$2</f>
        <v/>
      </c>
      <c r="H1435">
        <f>Schedule!$L$207</f>
        <v/>
      </c>
      <c r="I1435">
        <f>IF($N1435=1,VALUE(LEFT($H1435,2)),"")</f>
        <v/>
      </c>
      <c r="J1435">
        <f>IF($N1435=1,VALUE(MID($H1435,9,2)),"")</f>
        <v/>
      </c>
      <c r="K1435">
        <f>IF($N1435=1,MOD($J1435-$I1435,24),0)</f>
        <v/>
      </c>
      <c r="L1435">
        <f>IF($N1435=1,$E1435*24+$I1435,"")</f>
        <v/>
      </c>
      <c r="M1435">
        <f>IF($N1435=1,$L1435+$K1435,"")</f>
        <v/>
      </c>
      <c r="N1435">
        <f>IF(ISNUMBER(SEARCH(" - ",$H1435&amp;"")),1,0)</f>
        <v/>
      </c>
      <c r="O1435">
        <f>IF(UPPER($H1435&amp;"")="LEAVE",1,0)</f>
        <v/>
      </c>
      <c r="P1435">
        <f>IF($N1435=1,$K1435,0)</f>
        <v/>
      </c>
      <c r="Q1435">
        <f>IF($N1435=0,"",IFERROR($L1435-LOOKUP(2,1/(($B$2:$B1434=$B1435)*($N$2:$N1434=1)),$M$2:$M1434),""))</f>
        <v/>
      </c>
    </row>
    <row r="1436">
      <c r="A1436" t="n">
        <v>1435</v>
      </c>
      <c r="B1436">
        <f>Schedule!$A$207</f>
        <v/>
      </c>
      <c r="C1436">
        <f>Schedule!$D$207</f>
        <v/>
      </c>
      <c r="D1436">
        <f>Schedule!$F$207</f>
        <v/>
      </c>
      <c r="E1436" t="n">
        <v>6</v>
      </c>
      <c r="F1436">
        <f>Schedule!$M$1</f>
        <v/>
      </c>
      <c r="G1436">
        <f>Schedule!$M$2</f>
        <v/>
      </c>
      <c r="H1436">
        <f>Schedule!$M$207</f>
        <v/>
      </c>
      <c r="I1436">
        <f>IF($N1436=1,VALUE(LEFT($H1436,2)),"")</f>
        <v/>
      </c>
      <c r="J1436">
        <f>IF($N1436=1,VALUE(MID($H1436,9,2)),"")</f>
        <v/>
      </c>
      <c r="K1436">
        <f>IF($N1436=1,MOD($J1436-$I1436,24),0)</f>
        <v/>
      </c>
      <c r="L1436">
        <f>IF($N1436=1,$E1436*24+$I1436,"")</f>
        <v/>
      </c>
      <c r="M1436">
        <f>IF($N1436=1,$L1436+$K1436,"")</f>
        <v/>
      </c>
      <c r="N1436">
        <f>IF(ISNUMBER(SEARCH(" - ",$H1436&amp;"")),1,0)</f>
        <v/>
      </c>
      <c r="O1436">
        <f>IF(UPPER($H1436&amp;"")="LEAVE",1,0)</f>
        <v/>
      </c>
      <c r="P1436">
        <f>IF($N1436=1,$K1436,0)</f>
        <v/>
      </c>
      <c r="Q1436">
        <f>IF($N1436=0,"",IFERROR($L1436-LOOKUP(2,1/(($B$2:$B1435=$B1436)*($N$2:$N1435=1)),$M$2:$M1435),""))</f>
        <v/>
      </c>
    </row>
    <row r="1437">
      <c r="A1437" t="n">
        <v>1436</v>
      </c>
      <c r="B1437">
        <f>Schedule!$A$208</f>
        <v/>
      </c>
      <c r="C1437">
        <f>Schedule!$D$208</f>
        <v/>
      </c>
      <c r="D1437">
        <f>Schedule!$F$208</f>
        <v/>
      </c>
      <c r="E1437" t="n">
        <v>0</v>
      </c>
      <c r="F1437">
        <f>Schedule!$G$1</f>
        <v/>
      </c>
      <c r="G1437">
        <f>Schedule!$G$2</f>
        <v/>
      </c>
      <c r="H1437">
        <f>Schedule!$G$208</f>
        <v/>
      </c>
      <c r="I1437">
        <f>IF($N1437=1,VALUE(LEFT($H1437,2)),"")</f>
        <v/>
      </c>
      <c r="J1437">
        <f>IF($N1437=1,VALUE(MID($H1437,9,2)),"")</f>
        <v/>
      </c>
      <c r="K1437">
        <f>IF($N1437=1,MOD($J1437-$I1437,24),0)</f>
        <v/>
      </c>
      <c r="L1437">
        <f>IF($N1437=1,$E1437*24+$I1437,"")</f>
        <v/>
      </c>
      <c r="M1437">
        <f>IF($N1437=1,$L1437+$K1437,"")</f>
        <v/>
      </c>
      <c r="N1437">
        <f>IF(ISNUMBER(SEARCH(" - ",$H1437&amp;"")),1,0)</f>
        <v/>
      </c>
      <c r="O1437">
        <f>IF(UPPER($H1437&amp;"")="LEAVE",1,0)</f>
        <v/>
      </c>
      <c r="P1437">
        <f>IF($N1437=1,$K1437,0)</f>
        <v/>
      </c>
      <c r="Q1437">
        <f>IF($N1437=0,"",IFERROR($L1437-'Previous Engine'!$M$207,""))</f>
        <v/>
      </c>
    </row>
    <row r="1438">
      <c r="A1438" t="n">
        <v>1437</v>
      </c>
      <c r="B1438">
        <f>Schedule!$A$208</f>
        <v/>
      </c>
      <c r="C1438">
        <f>Schedule!$D$208</f>
        <v/>
      </c>
      <c r="D1438">
        <f>Schedule!$F$208</f>
        <v/>
      </c>
      <c r="E1438" t="n">
        <v>1</v>
      </c>
      <c r="F1438">
        <f>Schedule!$H$1</f>
        <v/>
      </c>
      <c r="G1438">
        <f>Schedule!$H$2</f>
        <v/>
      </c>
      <c r="H1438">
        <f>Schedule!$H$208</f>
        <v/>
      </c>
      <c r="I1438">
        <f>IF($N1438=1,VALUE(LEFT($H1438,2)),"")</f>
        <v/>
      </c>
      <c r="J1438">
        <f>IF($N1438=1,VALUE(MID($H1438,9,2)),"")</f>
        <v/>
      </c>
      <c r="K1438">
        <f>IF($N1438=1,MOD($J1438-$I1438,24),0)</f>
        <v/>
      </c>
      <c r="L1438">
        <f>IF($N1438=1,$E1438*24+$I1438,"")</f>
        <v/>
      </c>
      <c r="M1438">
        <f>IF($N1438=1,$L1438+$K1438,"")</f>
        <v/>
      </c>
      <c r="N1438">
        <f>IF(ISNUMBER(SEARCH(" - ",$H1438&amp;"")),1,0)</f>
        <v/>
      </c>
      <c r="O1438">
        <f>IF(UPPER($H1438&amp;"")="LEAVE",1,0)</f>
        <v/>
      </c>
      <c r="P1438">
        <f>IF($N1438=1,$K1438,0)</f>
        <v/>
      </c>
      <c r="Q1438">
        <f>IF($N1438=0,"",IFERROR($L1438-LOOKUP(2,1/(($B$2:$B1437=$B1438)*($N$2:$N1437=1)),$M$2:$M1437),""))</f>
        <v/>
      </c>
    </row>
    <row r="1439">
      <c r="A1439" t="n">
        <v>1438</v>
      </c>
      <c r="B1439">
        <f>Schedule!$A$208</f>
        <v/>
      </c>
      <c r="C1439">
        <f>Schedule!$D$208</f>
        <v/>
      </c>
      <c r="D1439">
        <f>Schedule!$F$208</f>
        <v/>
      </c>
      <c r="E1439" t="n">
        <v>2</v>
      </c>
      <c r="F1439">
        <f>Schedule!$I$1</f>
        <v/>
      </c>
      <c r="G1439">
        <f>Schedule!$I$2</f>
        <v/>
      </c>
      <c r="H1439">
        <f>Schedule!$I$208</f>
        <v/>
      </c>
      <c r="I1439">
        <f>IF($N1439=1,VALUE(LEFT($H1439,2)),"")</f>
        <v/>
      </c>
      <c r="J1439">
        <f>IF($N1439=1,VALUE(MID($H1439,9,2)),"")</f>
        <v/>
      </c>
      <c r="K1439">
        <f>IF($N1439=1,MOD($J1439-$I1439,24),0)</f>
        <v/>
      </c>
      <c r="L1439">
        <f>IF($N1439=1,$E1439*24+$I1439,"")</f>
        <v/>
      </c>
      <c r="M1439">
        <f>IF($N1439=1,$L1439+$K1439,"")</f>
        <v/>
      </c>
      <c r="N1439">
        <f>IF(ISNUMBER(SEARCH(" - ",$H1439&amp;"")),1,0)</f>
        <v/>
      </c>
      <c r="O1439">
        <f>IF(UPPER($H1439&amp;"")="LEAVE",1,0)</f>
        <v/>
      </c>
      <c r="P1439">
        <f>IF($N1439=1,$K1439,0)</f>
        <v/>
      </c>
      <c r="Q1439">
        <f>IF($N1439=0,"",IFERROR($L1439-LOOKUP(2,1/(($B$2:$B1438=$B1439)*($N$2:$N1438=1)),$M$2:$M1438),""))</f>
        <v/>
      </c>
    </row>
    <row r="1440">
      <c r="A1440" t="n">
        <v>1439</v>
      </c>
      <c r="B1440">
        <f>Schedule!$A$208</f>
        <v/>
      </c>
      <c r="C1440">
        <f>Schedule!$D$208</f>
        <v/>
      </c>
      <c r="D1440">
        <f>Schedule!$F$208</f>
        <v/>
      </c>
      <c r="E1440" t="n">
        <v>3</v>
      </c>
      <c r="F1440">
        <f>Schedule!$J$1</f>
        <v/>
      </c>
      <c r="G1440">
        <f>Schedule!$J$2</f>
        <v/>
      </c>
      <c r="H1440">
        <f>Schedule!$J$208</f>
        <v/>
      </c>
      <c r="I1440">
        <f>IF($N1440=1,VALUE(LEFT($H1440,2)),"")</f>
        <v/>
      </c>
      <c r="J1440">
        <f>IF($N1440=1,VALUE(MID($H1440,9,2)),"")</f>
        <v/>
      </c>
      <c r="K1440">
        <f>IF($N1440=1,MOD($J1440-$I1440,24),0)</f>
        <v/>
      </c>
      <c r="L1440">
        <f>IF($N1440=1,$E1440*24+$I1440,"")</f>
        <v/>
      </c>
      <c r="M1440">
        <f>IF($N1440=1,$L1440+$K1440,"")</f>
        <v/>
      </c>
      <c r="N1440">
        <f>IF(ISNUMBER(SEARCH(" - ",$H1440&amp;"")),1,0)</f>
        <v/>
      </c>
      <c r="O1440">
        <f>IF(UPPER($H1440&amp;"")="LEAVE",1,0)</f>
        <v/>
      </c>
      <c r="P1440">
        <f>IF($N1440=1,$K1440,0)</f>
        <v/>
      </c>
      <c r="Q1440">
        <f>IF($N1440=0,"",IFERROR($L1440-LOOKUP(2,1/(($B$2:$B1439=$B1440)*($N$2:$N1439=1)),$M$2:$M1439),""))</f>
        <v/>
      </c>
    </row>
    <row r="1441">
      <c r="A1441" t="n">
        <v>1440</v>
      </c>
      <c r="B1441">
        <f>Schedule!$A$208</f>
        <v/>
      </c>
      <c r="C1441">
        <f>Schedule!$D$208</f>
        <v/>
      </c>
      <c r="D1441">
        <f>Schedule!$F$208</f>
        <v/>
      </c>
      <c r="E1441" t="n">
        <v>4</v>
      </c>
      <c r="F1441">
        <f>Schedule!$K$1</f>
        <v/>
      </c>
      <c r="G1441">
        <f>Schedule!$K$2</f>
        <v/>
      </c>
      <c r="H1441">
        <f>Schedule!$K$208</f>
        <v/>
      </c>
      <c r="I1441">
        <f>IF($N1441=1,VALUE(LEFT($H1441,2)),"")</f>
        <v/>
      </c>
      <c r="J1441">
        <f>IF($N1441=1,VALUE(MID($H1441,9,2)),"")</f>
        <v/>
      </c>
      <c r="K1441">
        <f>IF($N1441=1,MOD($J1441-$I1441,24),0)</f>
        <v/>
      </c>
      <c r="L1441">
        <f>IF($N1441=1,$E1441*24+$I1441,"")</f>
        <v/>
      </c>
      <c r="M1441">
        <f>IF($N1441=1,$L1441+$K1441,"")</f>
        <v/>
      </c>
      <c r="N1441">
        <f>IF(ISNUMBER(SEARCH(" - ",$H1441&amp;"")),1,0)</f>
        <v/>
      </c>
      <c r="O1441">
        <f>IF(UPPER($H1441&amp;"")="LEAVE",1,0)</f>
        <v/>
      </c>
      <c r="P1441">
        <f>IF($N1441=1,$K1441,0)</f>
        <v/>
      </c>
      <c r="Q1441">
        <f>IF($N1441=0,"",IFERROR($L1441-LOOKUP(2,1/(($B$2:$B1440=$B1441)*($N$2:$N1440=1)),$M$2:$M1440),""))</f>
        <v/>
      </c>
    </row>
    <row r="1442">
      <c r="A1442" t="n">
        <v>1441</v>
      </c>
      <c r="B1442">
        <f>Schedule!$A$208</f>
        <v/>
      </c>
      <c r="C1442">
        <f>Schedule!$D$208</f>
        <v/>
      </c>
      <c r="D1442">
        <f>Schedule!$F$208</f>
        <v/>
      </c>
      <c r="E1442" t="n">
        <v>5</v>
      </c>
      <c r="F1442">
        <f>Schedule!$L$1</f>
        <v/>
      </c>
      <c r="G1442">
        <f>Schedule!$L$2</f>
        <v/>
      </c>
      <c r="H1442">
        <f>Schedule!$L$208</f>
        <v/>
      </c>
      <c r="I1442">
        <f>IF($N1442=1,VALUE(LEFT($H1442,2)),"")</f>
        <v/>
      </c>
      <c r="J1442">
        <f>IF($N1442=1,VALUE(MID($H1442,9,2)),"")</f>
        <v/>
      </c>
      <c r="K1442">
        <f>IF($N1442=1,MOD($J1442-$I1442,24),0)</f>
        <v/>
      </c>
      <c r="L1442">
        <f>IF($N1442=1,$E1442*24+$I1442,"")</f>
        <v/>
      </c>
      <c r="M1442">
        <f>IF($N1442=1,$L1442+$K1442,"")</f>
        <v/>
      </c>
      <c r="N1442">
        <f>IF(ISNUMBER(SEARCH(" - ",$H1442&amp;"")),1,0)</f>
        <v/>
      </c>
      <c r="O1442">
        <f>IF(UPPER($H1442&amp;"")="LEAVE",1,0)</f>
        <v/>
      </c>
      <c r="P1442">
        <f>IF($N1442=1,$K1442,0)</f>
        <v/>
      </c>
      <c r="Q1442">
        <f>IF($N1442=0,"",IFERROR($L1442-LOOKUP(2,1/(($B$2:$B1441=$B1442)*($N$2:$N1441=1)),$M$2:$M1441),""))</f>
        <v/>
      </c>
    </row>
    <row r="1443">
      <c r="A1443" t="n">
        <v>1442</v>
      </c>
      <c r="B1443">
        <f>Schedule!$A$208</f>
        <v/>
      </c>
      <c r="C1443">
        <f>Schedule!$D$208</f>
        <v/>
      </c>
      <c r="D1443">
        <f>Schedule!$F$208</f>
        <v/>
      </c>
      <c r="E1443" t="n">
        <v>6</v>
      </c>
      <c r="F1443">
        <f>Schedule!$M$1</f>
        <v/>
      </c>
      <c r="G1443">
        <f>Schedule!$M$2</f>
        <v/>
      </c>
      <c r="H1443">
        <f>Schedule!$M$208</f>
        <v/>
      </c>
      <c r="I1443">
        <f>IF($N1443=1,VALUE(LEFT($H1443,2)),"")</f>
        <v/>
      </c>
      <c r="J1443">
        <f>IF($N1443=1,VALUE(MID($H1443,9,2)),"")</f>
        <v/>
      </c>
      <c r="K1443">
        <f>IF($N1443=1,MOD($J1443-$I1443,24),0)</f>
        <v/>
      </c>
      <c r="L1443">
        <f>IF($N1443=1,$E1443*24+$I1443,"")</f>
        <v/>
      </c>
      <c r="M1443">
        <f>IF($N1443=1,$L1443+$K1443,"")</f>
        <v/>
      </c>
      <c r="N1443">
        <f>IF(ISNUMBER(SEARCH(" - ",$H1443&amp;"")),1,0)</f>
        <v/>
      </c>
      <c r="O1443">
        <f>IF(UPPER($H1443&amp;"")="LEAVE",1,0)</f>
        <v/>
      </c>
      <c r="P1443">
        <f>IF($N1443=1,$K1443,0)</f>
        <v/>
      </c>
      <c r="Q1443">
        <f>IF($N1443=0,"",IFERROR($L1443-LOOKUP(2,1/(($B$2:$B1442=$B1443)*($N$2:$N1442=1)),$M$2:$M1442),""))</f>
        <v/>
      </c>
    </row>
    <row r="1444">
      <c r="A1444" t="n">
        <v>1443</v>
      </c>
      <c r="B1444">
        <f>Schedule!$A$209</f>
        <v/>
      </c>
      <c r="C1444">
        <f>Schedule!$D$209</f>
        <v/>
      </c>
      <c r="D1444">
        <f>Schedule!$F$209</f>
        <v/>
      </c>
      <c r="E1444" t="n">
        <v>0</v>
      </c>
      <c r="F1444">
        <f>Schedule!$G$1</f>
        <v/>
      </c>
      <c r="G1444">
        <f>Schedule!$G$2</f>
        <v/>
      </c>
      <c r="H1444">
        <f>Schedule!$G$209</f>
        <v/>
      </c>
      <c r="I1444">
        <f>IF($N1444=1,VALUE(LEFT($H1444,2)),"")</f>
        <v/>
      </c>
      <c r="J1444">
        <f>IF($N1444=1,VALUE(MID($H1444,9,2)),"")</f>
        <v/>
      </c>
      <c r="K1444">
        <f>IF($N1444=1,MOD($J1444-$I1444,24),0)</f>
        <v/>
      </c>
      <c r="L1444">
        <f>IF($N1444=1,$E1444*24+$I1444,"")</f>
        <v/>
      </c>
      <c r="M1444">
        <f>IF($N1444=1,$L1444+$K1444,"")</f>
        <v/>
      </c>
      <c r="N1444">
        <f>IF(ISNUMBER(SEARCH(" - ",$H1444&amp;"")),1,0)</f>
        <v/>
      </c>
      <c r="O1444">
        <f>IF(UPPER($H1444&amp;"")="LEAVE",1,0)</f>
        <v/>
      </c>
      <c r="P1444">
        <f>IF($N1444=1,$K1444,0)</f>
        <v/>
      </c>
      <c r="Q1444">
        <f>IF($N1444=0,"",IFERROR($L1444-'Previous Engine'!$M$208,""))</f>
        <v/>
      </c>
    </row>
    <row r="1445">
      <c r="A1445" t="n">
        <v>1444</v>
      </c>
      <c r="B1445">
        <f>Schedule!$A$209</f>
        <v/>
      </c>
      <c r="C1445">
        <f>Schedule!$D$209</f>
        <v/>
      </c>
      <c r="D1445">
        <f>Schedule!$F$209</f>
        <v/>
      </c>
      <c r="E1445" t="n">
        <v>1</v>
      </c>
      <c r="F1445">
        <f>Schedule!$H$1</f>
        <v/>
      </c>
      <c r="G1445">
        <f>Schedule!$H$2</f>
        <v/>
      </c>
      <c r="H1445">
        <f>Schedule!$H$209</f>
        <v/>
      </c>
      <c r="I1445">
        <f>IF($N1445=1,VALUE(LEFT($H1445,2)),"")</f>
        <v/>
      </c>
      <c r="J1445">
        <f>IF($N1445=1,VALUE(MID($H1445,9,2)),"")</f>
        <v/>
      </c>
      <c r="K1445">
        <f>IF($N1445=1,MOD($J1445-$I1445,24),0)</f>
        <v/>
      </c>
      <c r="L1445">
        <f>IF($N1445=1,$E1445*24+$I1445,"")</f>
        <v/>
      </c>
      <c r="M1445">
        <f>IF($N1445=1,$L1445+$K1445,"")</f>
        <v/>
      </c>
      <c r="N1445">
        <f>IF(ISNUMBER(SEARCH(" - ",$H1445&amp;"")),1,0)</f>
        <v/>
      </c>
      <c r="O1445">
        <f>IF(UPPER($H1445&amp;"")="LEAVE",1,0)</f>
        <v/>
      </c>
      <c r="P1445">
        <f>IF($N1445=1,$K1445,0)</f>
        <v/>
      </c>
      <c r="Q1445">
        <f>IF($N1445=0,"",IFERROR($L1445-LOOKUP(2,1/(($B$2:$B1444=$B1445)*($N$2:$N1444=1)),$M$2:$M1444),""))</f>
        <v/>
      </c>
    </row>
    <row r="1446">
      <c r="A1446" t="n">
        <v>1445</v>
      </c>
      <c r="B1446">
        <f>Schedule!$A$209</f>
        <v/>
      </c>
      <c r="C1446">
        <f>Schedule!$D$209</f>
        <v/>
      </c>
      <c r="D1446">
        <f>Schedule!$F$209</f>
        <v/>
      </c>
      <c r="E1446" t="n">
        <v>2</v>
      </c>
      <c r="F1446">
        <f>Schedule!$I$1</f>
        <v/>
      </c>
      <c r="G1446">
        <f>Schedule!$I$2</f>
        <v/>
      </c>
      <c r="H1446">
        <f>Schedule!$I$209</f>
        <v/>
      </c>
      <c r="I1446">
        <f>IF($N1446=1,VALUE(LEFT($H1446,2)),"")</f>
        <v/>
      </c>
      <c r="J1446">
        <f>IF($N1446=1,VALUE(MID($H1446,9,2)),"")</f>
        <v/>
      </c>
      <c r="K1446">
        <f>IF($N1446=1,MOD($J1446-$I1446,24),0)</f>
        <v/>
      </c>
      <c r="L1446">
        <f>IF($N1446=1,$E1446*24+$I1446,"")</f>
        <v/>
      </c>
      <c r="M1446">
        <f>IF($N1446=1,$L1446+$K1446,"")</f>
        <v/>
      </c>
      <c r="N1446">
        <f>IF(ISNUMBER(SEARCH(" - ",$H1446&amp;"")),1,0)</f>
        <v/>
      </c>
      <c r="O1446">
        <f>IF(UPPER($H1446&amp;"")="LEAVE",1,0)</f>
        <v/>
      </c>
      <c r="P1446">
        <f>IF($N1446=1,$K1446,0)</f>
        <v/>
      </c>
      <c r="Q1446">
        <f>IF($N1446=0,"",IFERROR($L1446-LOOKUP(2,1/(($B$2:$B1445=$B1446)*($N$2:$N1445=1)),$M$2:$M1445),""))</f>
        <v/>
      </c>
    </row>
    <row r="1447">
      <c r="A1447" t="n">
        <v>1446</v>
      </c>
      <c r="B1447">
        <f>Schedule!$A$209</f>
        <v/>
      </c>
      <c r="C1447">
        <f>Schedule!$D$209</f>
        <v/>
      </c>
      <c r="D1447">
        <f>Schedule!$F$209</f>
        <v/>
      </c>
      <c r="E1447" t="n">
        <v>3</v>
      </c>
      <c r="F1447">
        <f>Schedule!$J$1</f>
        <v/>
      </c>
      <c r="G1447">
        <f>Schedule!$J$2</f>
        <v/>
      </c>
      <c r="H1447">
        <f>Schedule!$J$209</f>
        <v/>
      </c>
      <c r="I1447">
        <f>IF($N1447=1,VALUE(LEFT($H1447,2)),"")</f>
        <v/>
      </c>
      <c r="J1447">
        <f>IF($N1447=1,VALUE(MID($H1447,9,2)),"")</f>
        <v/>
      </c>
      <c r="K1447">
        <f>IF($N1447=1,MOD($J1447-$I1447,24),0)</f>
        <v/>
      </c>
      <c r="L1447">
        <f>IF($N1447=1,$E1447*24+$I1447,"")</f>
        <v/>
      </c>
      <c r="M1447">
        <f>IF($N1447=1,$L1447+$K1447,"")</f>
        <v/>
      </c>
      <c r="N1447">
        <f>IF(ISNUMBER(SEARCH(" - ",$H1447&amp;"")),1,0)</f>
        <v/>
      </c>
      <c r="O1447">
        <f>IF(UPPER($H1447&amp;"")="LEAVE",1,0)</f>
        <v/>
      </c>
      <c r="P1447">
        <f>IF($N1447=1,$K1447,0)</f>
        <v/>
      </c>
      <c r="Q1447">
        <f>IF($N1447=0,"",IFERROR($L1447-LOOKUP(2,1/(($B$2:$B1446=$B1447)*($N$2:$N1446=1)),$M$2:$M1446),""))</f>
        <v/>
      </c>
    </row>
    <row r="1448">
      <c r="A1448" t="n">
        <v>1447</v>
      </c>
      <c r="B1448">
        <f>Schedule!$A$209</f>
        <v/>
      </c>
      <c r="C1448">
        <f>Schedule!$D$209</f>
        <v/>
      </c>
      <c r="D1448">
        <f>Schedule!$F$209</f>
        <v/>
      </c>
      <c r="E1448" t="n">
        <v>4</v>
      </c>
      <c r="F1448">
        <f>Schedule!$K$1</f>
        <v/>
      </c>
      <c r="G1448">
        <f>Schedule!$K$2</f>
        <v/>
      </c>
      <c r="H1448">
        <f>Schedule!$K$209</f>
        <v/>
      </c>
      <c r="I1448">
        <f>IF($N1448=1,VALUE(LEFT($H1448,2)),"")</f>
        <v/>
      </c>
      <c r="J1448">
        <f>IF($N1448=1,VALUE(MID($H1448,9,2)),"")</f>
        <v/>
      </c>
      <c r="K1448">
        <f>IF($N1448=1,MOD($J1448-$I1448,24),0)</f>
        <v/>
      </c>
      <c r="L1448">
        <f>IF($N1448=1,$E1448*24+$I1448,"")</f>
        <v/>
      </c>
      <c r="M1448">
        <f>IF($N1448=1,$L1448+$K1448,"")</f>
        <v/>
      </c>
      <c r="N1448">
        <f>IF(ISNUMBER(SEARCH(" - ",$H1448&amp;"")),1,0)</f>
        <v/>
      </c>
      <c r="O1448">
        <f>IF(UPPER($H1448&amp;"")="LEAVE",1,0)</f>
        <v/>
      </c>
      <c r="P1448">
        <f>IF($N1448=1,$K1448,0)</f>
        <v/>
      </c>
      <c r="Q1448">
        <f>IF($N1448=0,"",IFERROR($L1448-LOOKUP(2,1/(($B$2:$B1447=$B1448)*($N$2:$N1447=1)),$M$2:$M1447),""))</f>
        <v/>
      </c>
    </row>
    <row r="1449">
      <c r="A1449" t="n">
        <v>1448</v>
      </c>
      <c r="B1449">
        <f>Schedule!$A$209</f>
        <v/>
      </c>
      <c r="C1449">
        <f>Schedule!$D$209</f>
        <v/>
      </c>
      <c r="D1449">
        <f>Schedule!$F$209</f>
        <v/>
      </c>
      <c r="E1449" t="n">
        <v>5</v>
      </c>
      <c r="F1449">
        <f>Schedule!$L$1</f>
        <v/>
      </c>
      <c r="G1449">
        <f>Schedule!$L$2</f>
        <v/>
      </c>
      <c r="H1449">
        <f>Schedule!$L$209</f>
        <v/>
      </c>
      <c r="I1449">
        <f>IF($N1449=1,VALUE(LEFT($H1449,2)),"")</f>
        <v/>
      </c>
      <c r="J1449">
        <f>IF($N1449=1,VALUE(MID($H1449,9,2)),"")</f>
        <v/>
      </c>
      <c r="K1449">
        <f>IF($N1449=1,MOD($J1449-$I1449,24),0)</f>
        <v/>
      </c>
      <c r="L1449">
        <f>IF($N1449=1,$E1449*24+$I1449,"")</f>
        <v/>
      </c>
      <c r="M1449">
        <f>IF($N1449=1,$L1449+$K1449,"")</f>
        <v/>
      </c>
      <c r="N1449">
        <f>IF(ISNUMBER(SEARCH(" - ",$H1449&amp;"")),1,0)</f>
        <v/>
      </c>
      <c r="O1449">
        <f>IF(UPPER($H1449&amp;"")="LEAVE",1,0)</f>
        <v/>
      </c>
      <c r="P1449">
        <f>IF($N1449=1,$K1449,0)</f>
        <v/>
      </c>
      <c r="Q1449">
        <f>IF($N1449=0,"",IFERROR($L1449-LOOKUP(2,1/(($B$2:$B1448=$B1449)*($N$2:$N1448=1)),$M$2:$M1448),""))</f>
        <v/>
      </c>
    </row>
    <row r="1450">
      <c r="A1450" t="n">
        <v>1449</v>
      </c>
      <c r="B1450">
        <f>Schedule!$A$209</f>
        <v/>
      </c>
      <c r="C1450">
        <f>Schedule!$D$209</f>
        <v/>
      </c>
      <c r="D1450">
        <f>Schedule!$F$209</f>
        <v/>
      </c>
      <c r="E1450" t="n">
        <v>6</v>
      </c>
      <c r="F1450">
        <f>Schedule!$M$1</f>
        <v/>
      </c>
      <c r="G1450">
        <f>Schedule!$M$2</f>
        <v/>
      </c>
      <c r="H1450">
        <f>Schedule!$M$209</f>
        <v/>
      </c>
      <c r="I1450">
        <f>IF($N1450=1,VALUE(LEFT($H1450,2)),"")</f>
        <v/>
      </c>
      <c r="J1450">
        <f>IF($N1450=1,VALUE(MID($H1450,9,2)),"")</f>
        <v/>
      </c>
      <c r="K1450">
        <f>IF($N1450=1,MOD($J1450-$I1450,24),0)</f>
        <v/>
      </c>
      <c r="L1450">
        <f>IF($N1450=1,$E1450*24+$I1450,"")</f>
        <v/>
      </c>
      <c r="M1450">
        <f>IF($N1450=1,$L1450+$K1450,"")</f>
        <v/>
      </c>
      <c r="N1450">
        <f>IF(ISNUMBER(SEARCH(" - ",$H1450&amp;"")),1,0)</f>
        <v/>
      </c>
      <c r="O1450">
        <f>IF(UPPER($H1450&amp;"")="LEAVE",1,0)</f>
        <v/>
      </c>
      <c r="P1450">
        <f>IF($N1450=1,$K1450,0)</f>
        <v/>
      </c>
      <c r="Q1450">
        <f>IF($N1450=0,"",IFERROR($L1450-LOOKUP(2,1/(($B$2:$B1449=$B1450)*($N$2:$N1449=1)),$M$2:$M1449),""))</f>
        <v/>
      </c>
    </row>
    <row r="1451">
      <c r="A1451" t="n">
        <v>1450</v>
      </c>
      <c r="B1451">
        <f>Schedule!$A$210</f>
        <v/>
      </c>
      <c r="C1451">
        <f>Schedule!$D$210</f>
        <v/>
      </c>
      <c r="D1451">
        <f>Schedule!$F$210</f>
        <v/>
      </c>
      <c r="E1451" t="n">
        <v>0</v>
      </c>
      <c r="F1451">
        <f>Schedule!$G$1</f>
        <v/>
      </c>
      <c r="G1451">
        <f>Schedule!$G$2</f>
        <v/>
      </c>
      <c r="H1451">
        <f>Schedule!$G$210</f>
        <v/>
      </c>
      <c r="I1451">
        <f>IF($N1451=1,VALUE(LEFT($H1451,2)),"")</f>
        <v/>
      </c>
      <c r="J1451">
        <f>IF($N1451=1,VALUE(MID($H1451,9,2)),"")</f>
        <v/>
      </c>
      <c r="K1451">
        <f>IF($N1451=1,MOD($J1451-$I1451,24),0)</f>
        <v/>
      </c>
      <c r="L1451">
        <f>IF($N1451=1,$E1451*24+$I1451,"")</f>
        <v/>
      </c>
      <c r="M1451">
        <f>IF($N1451=1,$L1451+$K1451,"")</f>
        <v/>
      </c>
      <c r="N1451">
        <f>IF(ISNUMBER(SEARCH(" - ",$H1451&amp;"")),1,0)</f>
        <v/>
      </c>
      <c r="O1451">
        <f>IF(UPPER($H1451&amp;"")="LEAVE",1,0)</f>
        <v/>
      </c>
      <c r="P1451">
        <f>IF($N1451=1,$K1451,0)</f>
        <v/>
      </c>
      <c r="Q1451">
        <f>IF($N1451=0,"",IFERROR($L1451-'Previous Engine'!$M$209,""))</f>
        <v/>
      </c>
    </row>
    <row r="1452">
      <c r="A1452" t="n">
        <v>1451</v>
      </c>
      <c r="B1452">
        <f>Schedule!$A$210</f>
        <v/>
      </c>
      <c r="C1452">
        <f>Schedule!$D$210</f>
        <v/>
      </c>
      <c r="D1452">
        <f>Schedule!$F$210</f>
        <v/>
      </c>
      <c r="E1452" t="n">
        <v>1</v>
      </c>
      <c r="F1452">
        <f>Schedule!$H$1</f>
        <v/>
      </c>
      <c r="G1452">
        <f>Schedule!$H$2</f>
        <v/>
      </c>
      <c r="H1452">
        <f>Schedule!$H$210</f>
        <v/>
      </c>
      <c r="I1452">
        <f>IF($N1452=1,VALUE(LEFT($H1452,2)),"")</f>
        <v/>
      </c>
      <c r="J1452">
        <f>IF($N1452=1,VALUE(MID($H1452,9,2)),"")</f>
        <v/>
      </c>
      <c r="K1452">
        <f>IF($N1452=1,MOD($J1452-$I1452,24),0)</f>
        <v/>
      </c>
      <c r="L1452">
        <f>IF($N1452=1,$E1452*24+$I1452,"")</f>
        <v/>
      </c>
      <c r="M1452">
        <f>IF($N1452=1,$L1452+$K1452,"")</f>
        <v/>
      </c>
      <c r="N1452">
        <f>IF(ISNUMBER(SEARCH(" - ",$H1452&amp;"")),1,0)</f>
        <v/>
      </c>
      <c r="O1452">
        <f>IF(UPPER($H1452&amp;"")="LEAVE",1,0)</f>
        <v/>
      </c>
      <c r="P1452">
        <f>IF($N1452=1,$K1452,0)</f>
        <v/>
      </c>
      <c r="Q1452">
        <f>IF($N1452=0,"",IFERROR($L1452-LOOKUP(2,1/(($B$2:$B1451=$B1452)*($N$2:$N1451=1)),$M$2:$M1451),""))</f>
        <v/>
      </c>
    </row>
    <row r="1453">
      <c r="A1453" t="n">
        <v>1452</v>
      </c>
      <c r="B1453">
        <f>Schedule!$A$210</f>
        <v/>
      </c>
      <c r="C1453">
        <f>Schedule!$D$210</f>
        <v/>
      </c>
      <c r="D1453">
        <f>Schedule!$F$210</f>
        <v/>
      </c>
      <c r="E1453" t="n">
        <v>2</v>
      </c>
      <c r="F1453">
        <f>Schedule!$I$1</f>
        <v/>
      </c>
      <c r="G1453">
        <f>Schedule!$I$2</f>
        <v/>
      </c>
      <c r="H1453">
        <f>Schedule!$I$210</f>
        <v/>
      </c>
      <c r="I1453">
        <f>IF($N1453=1,VALUE(LEFT($H1453,2)),"")</f>
        <v/>
      </c>
      <c r="J1453">
        <f>IF($N1453=1,VALUE(MID($H1453,9,2)),"")</f>
        <v/>
      </c>
      <c r="K1453">
        <f>IF($N1453=1,MOD($J1453-$I1453,24),0)</f>
        <v/>
      </c>
      <c r="L1453">
        <f>IF($N1453=1,$E1453*24+$I1453,"")</f>
        <v/>
      </c>
      <c r="M1453">
        <f>IF($N1453=1,$L1453+$K1453,"")</f>
        <v/>
      </c>
      <c r="N1453">
        <f>IF(ISNUMBER(SEARCH(" - ",$H1453&amp;"")),1,0)</f>
        <v/>
      </c>
      <c r="O1453">
        <f>IF(UPPER($H1453&amp;"")="LEAVE",1,0)</f>
        <v/>
      </c>
      <c r="P1453">
        <f>IF($N1453=1,$K1453,0)</f>
        <v/>
      </c>
      <c r="Q1453">
        <f>IF($N1453=0,"",IFERROR($L1453-LOOKUP(2,1/(($B$2:$B1452=$B1453)*($N$2:$N1452=1)),$M$2:$M1452),""))</f>
        <v/>
      </c>
    </row>
    <row r="1454">
      <c r="A1454" t="n">
        <v>1453</v>
      </c>
      <c r="B1454">
        <f>Schedule!$A$210</f>
        <v/>
      </c>
      <c r="C1454">
        <f>Schedule!$D$210</f>
        <v/>
      </c>
      <c r="D1454">
        <f>Schedule!$F$210</f>
        <v/>
      </c>
      <c r="E1454" t="n">
        <v>3</v>
      </c>
      <c r="F1454">
        <f>Schedule!$J$1</f>
        <v/>
      </c>
      <c r="G1454">
        <f>Schedule!$J$2</f>
        <v/>
      </c>
      <c r="H1454">
        <f>Schedule!$J$210</f>
        <v/>
      </c>
      <c r="I1454">
        <f>IF($N1454=1,VALUE(LEFT($H1454,2)),"")</f>
        <v/>
      </c>
      <c r="J1454">
        <f>IF($N1454=1,VALUE(MID($H1454,9,2)),"")</f>
        <v/>
      </c>
      <c r="K1454">
        <f>IF($N1454=1,MOD($J1454-$I1454,24),0)</f>
        <v/>
      </c>
      <c r="L1454">
        <f>IF($N1454=1,$E1454*24+$I1454,"")</f>
        <v/>
      </c>
      <c r="M1454">
        <f>IF($N1454=1,$L1454+$K1454,"")</f>
        <v/>
      </c>
      <c r="N1454">
        <f>IF(ISNUMBER(SEARCH(" - ",$H1454&amp;"")),1,0)</f>
        <v/>
      </c>
      <c r="O1454">
        <f>IF(UPPER($H1454&amp;"")="LEAVE",1,0)</f>
        <v/>
      </c>
      <c r="P1454">
        <f>IF($N1454=1,$K1454,0)</f>
        <v/>
      </c>
      <c r="Q1454">
        <f>IF($N1454=0,"",IFERROR($L1454-LOOKUP(2,1/(($B$2:$B1453=$B1454)*($N$2:$N1453=1)),$M$2:$M1453),""))</f>
        <v/>
      </c>
    </row>
    <row r="1455">
      <c r="A1455" t="n">
        <v>1454</v>
      </c>
      <c r="B1455">
        <f>Schedule!$A$210</f>
        <v/>
      </c>
      <c r="C1455">
        <f>Schedule!$D$210</f>
        <v/>
      </c>
      <c r="D1455">
        <f>Schedule!$F$210</f>
        <v/>
      </c>
      <c r="E1455" t="n">
        <v>4</v>
      </c>
      <c r="F1455">
        <f>Schedule!$K$1</f>
        <v/>
      </c>
      <c r="G1455">
        <f>Schedule!$K$2</f>
        <v/>
      </c>
      <c r="H1455">
        <f>Schedule!$K$210</f>
        <v/>
      </c>
      <c r="I1455">
        <f>IF($N1455=1,VALUE(LEFT($H1455,2)),"")</f>
        <v/>
      </c>
      <c r="J1455">
        <f>IF($N1455=1,VALUE(MID($H1455,9,2)),"")</f>
        <v/>
      </c>
      <c r="K1455">
        <f>IF($N1455=1,MOD($J1455-$I1455,24),0)</f>
        <v/>
      </c>
      <c r="L1455">
        <f>IF($N1455=1,$E1455*24+$I1455,"")</f>
        <v/>
      </c>
      <c r="M1455">
        <f>IF($N1455=1,$L1455+$K1455,"")</f>
        <v/>
      </c>
      <c r="N1455">
        <f>IF(ISNUMBER(SEARCH(" - ",$H1455&amp;"")),1,0)</f>
        <v/>
      </c>
      <c r="O1455">
        <f>IF(UPPER($H1455&amp;"")="LEAVE",1,0)</f>
        <v/>
      </c>
      <c r="P1455">
        <f>IF($N1455=1,$K1455,0)</f>
        <v/>
      </c>
      <c r="Q1455">
        <f>IF($N1455=0,"",IFERROR($L1455-LOOKUP(2,1/(($B$2:$B1454=$B1455)*($N$2:$N1454=1)),$M$2:$M1454),""))</f>
        <v/>
      </c>
    </row>
    <row r="1456">
      <c r="A1456" t="n">
        <v>1455</v>
      </c>
      <c r="B1456">
        <f>Schedule!$A$210</f>
        <v/>
      </c>
      <c r="C1456">
        <f>Schedule!$D$210</f>
        <v/>
      </c>
      <c r="D1456">
        <f>Schedule!$F$210</f>
        <v/>
      </c>
      <c r="E1456" t="n">
        <v>5</v>
      </c>
      <c r="F1456">
        <f>Schedule!$L$1</f>
        <v/>
      </c>
      <c r="G1456">
        <f>Schedule!$L$2</f>
        <v/>
      </c>
      <c r="H1456">
        <f>Schedule!$L$210</f>
        <v/>
      </c>
      <c r="I1456">
        <f>IF($N1456=1,VALUE(LEFT($H1456,2)),"")</f>
        <v/>
      </c>
      <c r="J1456">
        <f>IF($N1456=1,VALUE(MID($H1456,9,2)),"")</f>
        <v/>
      </c>
      <c r="K1456">
        <f>IF($N1456=1,MOD($J1456-$I1456,24),0)</f>
        <v/>
      </c>
      <c r="L1456">
        <f>IF($N1456=1,$E1456*24+$I1456,"")</f>
        <v/>
      </c>
      <c r="M1456">
        <f>IF($N1456=1,$L1456+$K1456,"")</f>
        <v/>
      </c>
      <c r="N1456">
        <f>IF(ISNUMBER(SEARCH(" - ",$H1456&amp;"")),1,0)</f>
        <v/>
      </c>
      <c r="O1456">
        <f>IF(UPPER($H1456&amp;"")="LEAVE",1,0)</f>
        <v/>
      </c>
      <c r="P1456">
        <f>IF($N1456=1,$K1456,0)</f>
        <v/>
      </c>
      <c r="Q1456">
        <f>IF($N1456=0,"",IFERROR($L1456-LOOKUP(2,1/(($B$2:$B1455=$B1456)*($N$2:$N1455=1)),$M$2:$M1455),""))</f>
        <v/>
      </c>
    </row>
    <row r="1457">
      <c r="A1457" t="n">
        <v>1456</v>
      </c>
      <c r="B1457">
        <f>Schedule!$A$210</f>
        <v/>
      </c>
      <c r="C1457">
        <f>Schedule!$D$210</f>
        <v/>
      </c>
      <c r="D1457">
        <f>Schedule!$F$210</f>
        <v/>
      </c>
      <c r="E1457" t="n">
        <v>6</v>
      </c>
      <c r="F1457">
        <f>Schedule!$M$1</f>
        <v/>
      </c>
      <c r="G1457">
        <f>Schedule!$M$2</f>
        <v/>
      </c>
      <c r="H1457">
        <f>Schedule!$M$210</f>
        <v/>
      </c>
      <c r="I1457">
        <f>IF($N1457=1,VALUE(LEFT($H1457,2)),"")</f>
        <v/>
      </c>
      <c r="J1457">
        <f>IF($N1457=1,VALUE(MID($H1457,9,2)),"")</f>
        <v/>
      </c>
      <c r="K1457">
        <f>IF($N1457=1,MOD($J1457-$I1457,24),0)</f>
        <v/>
      </c>
      <c r="L1457">
        <f>IF($N1457=1,$E1457*24+$I1457,"")</f>
        <v/>
      </c>
      <c r="M1457">
        <f>IF($N1457=1,$L1457+$K1457,"")</f>
        <v/>
      </c>
      <c r="N1457">
        <f>IF(ISNUMBER(SEARCH(" - ",$H1457&amp;"")),1,0)</f>
        <v/>
      </c>
      <c r="O1457">
        <f>IF(UPPER($H1457&amp;"")="LEAVE",1,0)</f>
        <v/>
      </c>
      <c r="P1457">
        <f>IF($N1457=1,$K1457,0)</f>
        <v/>
      </c>
      <c r="Q1457">
        <f>IF($N1457=0,"",IFERROR($L1457-LOOKUP(2,1/(($B$2:$B1456=$B1457)*($N$2:$N1456=1)),$M$2:$M1456),""))</f>
        <v/>
      </c>
    </row>
    <row r="1458">
      <c r="A1458" t="n">
        <v>1457</v>
      </c>
      <c r="B1458">
        <f>Schedule!$A$211</f>
        <v/>
      </c>
      <c r="C1458">
        <f>Schedule!$D$211</f>
        <v/>
      </c>
      <c r="D1458">
        <f>Schedule!$F$211</f>
        <v/>
      </c>
      <c r="E1458" t="n">
        <v>0</v>
      </c>
      <c r="F1458">
        <f>Schedule!$G$1</f>
        <v/>
      </c>
      <c r="G1458">
        <f>Schedule!$G$2</f>
        <v/>
      </c>
      <c r="H1458">
        <f>Schedule!$G$211</f>
        <v/>
      </c>
      <c r="I1458">
        <f>IF($N1458=1,VALUE(LEFT($H1458,2)),"")</f>
        <v/>
      </c>
      <c r="J1458">
        <f>IF($N1458=1,VALUE(MID($H1458,9,2)),"")</f>
        <v/>
      </c>
      <c r="K1458">
        <f>IF($N1458=1,MOD($J1458-$I1458,24),0)</f>
        <v/>
      </c>
      <c r="L1458">
        <f>IF($N1458=1,$E1458*24+$I1458,"")</f>
        <v/>
      </c>
      <c r="M1458">
        <f>IF($N1458=1,$L1458+$K1458,"")</f>
        <v/>
      </c>
      <c r="N1458">
        <f>IF(ISNUMBER(SEARCH(" - ",$H1458&amp;"")),1,0)</f>
        <v/>
      </c>
      <c r="O1458">
        <f>IF(UPPER($H1458&amp;"")="LEAVE",1,0)</f>
        <v/>
      </c>
      <c r="P1458">
        <f>IF($N1458=1,$K1458,0)</f>
        <v/>
      </c>
      <c r="Q1458">
        <f>IF($N1458=0,"",IFERROR($L1458-'Previous Engine'!$M$210,""))</f>
        <v/>
      </c>
    </row>
    <row r="1459">
      <c r="A1459" t="n">
        <v>1458</v>
      </c>
      <c r="B1459">
        <f>Schedule!$A$211</f>
        <v/>
      </c>
      <c r="C1459">
        <f>Schedule!$D$211</f>
        <v/>
      </c>
      <c r="D1459">
        <f>Schedule!$F$211</f>
        <v/>
      </c>
      <c r="E1459" t="n">
        <v>1</v>
      </c>
      <c r="F1459">
        <f>Schedule!$H$1</f>
        <v/>
      </c>
      <c r="G1459">
        <f>Schedule!$H$2</f>
        <v/>
      </c>
      <c r="H1459">
        <f>Schedule!$H$211</f>
        <v/>
      </c>
      <c r="I1459">
        <f>IF($N1459=1,VALUE(LEFT($H1459,2)),"")</f>
        <v/>
      </c>
      <c r="J1459">
        <f>IF($N1459=1,VALUE(MID($H1459,9,2)),"")</f>
        <v/>
      </c>
      <c r="K1459">
        <f>IF($N1459=1,MOD($J1459-$I1459,24),0)</f>
        <v/>
      </c>
      <c r="L1459">
        <f>IF($N1459=1,$E1459*24+$I1459,"")</f>
        <v/>
      </c>
      <c r="M1459">
        <f>IF($N1459=1,$L1459+$K1459,"")</f>
        <v/>
      </c>
      <c r="N1459">
        <f>IF(ISNUMBER(SEARCH(" - ",$H1459&amp;"")),1,0)</f>
        <v/>
      </c>
      <c r="O1459">
        <f>IF(UPPER($H1459&amp;"")="LEAVE",1,0)</f>
        <v/>
      </c>
      <c r="P1459">
        <f>IF($N1459=1,$K1459,0)</f>
        <v/>
      </c>
      <c r="Q1459">
        <f>IF($N1459=0,"",IFERROR($L1459-LOOKUP(2,1/(($B$2:$B1458=$B1459)*($N$2:$N1458=1)),$M$2:$M1458),""))</f>
        <v/>
      </c>
    </row>
    <row r="1460">
      <c r="A1460" t="n">
        <v>1459</v>
      </c>
      <c r="B1460">
        <f>Schedule!$A$211</f>
        <v/>
      </c>
      <c r="C1460">
        <f>Schedule!$D$211</f>
        <v/>
      </c>
      <c r="D1460">
        <f>Schedule!$F$211</f>
        <v/>
      </c>
      <c r="E1460" t="n">
        <v>2</v>
      </c>
      <c r="F1460">
        <f>Schedule!$I$1</f>
        <v/>
      </c>
      <c r="G1460">
        <f>Schedule!$I$2</f>
        <v/>
      </c>
      <c r="H1460">
        <f>Schedule!$I$211</f>
        <v/>
      </c>
      <c r="I1460">
        <f>IF($N1460=1,VALUE(LEFT($H1460,2)),"")</f>
        <v/>
      </c>
      <c r="J1460">
        <f>IF($N1460=1,VALUE(MID($H1460,9,2)),"")</f>
        <v/>
      </c>
      <c r="K1460">
        <f>IF($N1460=1,MOD($J1460-$I1460,24),0)</f>
        <v/>
      </c>
      <c r="L1460">
        <f>IF($N1460=1,$E1460*24+$I1460,"")</f>
        <v/>
      </c>
      <c r="M1460">
        <f>IF($N1460=1,$L1460+$K1460,"")</f>
        <v/>
      </c>
      <c r="N1460">
        <f>IF(ISNUMBER(SEARCH(" - ",$H1460&amp;"")),1,0)</f>
        <v/>
      </c>
      <c r="O1460">
        <f>IF(UPPER($H1460&amp;"")="LEAVE",1,0)</f>
        <v/>
      </c>
      <c r="P1460">
        <f>IF($N1460=1,$K1460,0)</f>
        <v/>
      </c>
      <c r="Q1460">
        <f>IF($N1460=0,"",IFERROR($L1460-LOOKUP(2,1/(($B$2:$B1459=$B1460)*($N$2:$N1459=1)),$M$2:$M1459),""))</f>
        <v/>
      </c>
    </row>
    <row r="1461">
      <c r="A1461" t="n">
        <v>1460</v>
      </c>
      <c r="B1461">
        <f>Schedule!$A$211</f>
        <v/>
      </c>
      <c r="C1461">
        <f>Schedule!$D$211</f>
        <v/>
      </c>
      <c r="D1461">
        <f>Schedule!$F$211</f>
        <v/>
      </c>
      <c r="E1461" t="n">
        <v>3</v>
      </c>
      <c r="F1461">
        <f>Schedule!$J$1</f>
        <v/>
      </c>
      <c r="G1461">
        <f>Schedule!$J$2</f>
        <v/>
      </c>
      <c r="H1461">
        <f>Schedule!$J$211</f>
        <v/>
      </c>
      <c r="I1461">
        <f>IF($N1461=1,VALUE(LEFT($H1461,2)),"")</f>
        <v/>
      </c>
      <c r="J1461">
        <f>IF($N1461=1,VALUE(MID($H1461,9,2)),"")</f>
        <v/>
      </c>
      <c r="K1461">
        <f>IF($N1461=1,MOD($J1461-$I1461,24),0)</f>
        <v/>
      </c>
      <c r="L1461">
        <f>IF($N1461=1,$E1461*24+$I1461,"")</f>
        <v/>
      </c>
      <c r="M1461">
        <f>IF($N1461=1,$L1461+$K1461,"")</f>
        <v/>
      </c>
      <c r="N1461">
        <f>IF(ISNUMBER(SEARCH(" - ",$H1461&amp;"")),1,0)</f>
        <v/>
      </c>
      <c r="O1461">
        <f>IF(UPPER($H1461&amp;"")="LEAVE",1,0)</f>
        <v/>
      </c>
      <c r="P1461">
        <f>IF($N1461=1,$K1461,0)</f>
        <v/>
      </c>
      <c r="Q1461">
        <f>IF($N1461=0,"",IFERROR($L1461-LOOKUP(2,1/(($B$2:$B1460=$B1461)*($N$2:$N1460=1)),$M$2:$M1460),""))</f>
        <v/>
      </c>
    </row>
    <row r="1462">
      <c r="A1462" t="n">
        <v>1461</v>
      </c>
      <c r="B1462">
        <f>Schedule!$A$211</f>
        <v/>
      </c>
      <c r="C1462">
        <f>Schedule!$D$211</f>
        <v/>
      </c>
      <c r="D1462">
        <f>Schedule!$F$211</f>
        <v/>
      </c>
      <c r="E1462" t="n">
        <v>4</v>
      </c>
      <c r="F1462">
        <f>Schedule!$K$1</f>
        <v/>
      </c>
      <c r="G1462">
        <f>Schedule!$K$2</f>
        <v/>
      </c>
      <c r="H1462">
        <f>Schedule!$K$211</f>
        <v/>
      </c>
      <c r="I1462">
        <f>IF($N1462=1,VALUE(LEFT($H1462,2)),"")</f>
        <v/>
      </c>
      <c r="J1462">
        <f>IF($N1462=1,VALUE(MID($H1462,9,2)),"")</f>
        <v/>
      </c>
      <c r="K1462">
        <f>IF($N1462=1,MOD($J1462-$I1462,24),0)</f>
        <v/>
      </c>
      <c r="L1462">
        <f>IF($N1462=1,$E1462*24+$I1462,"")</f>
        <v/>
      </c>
      <c r="M1462">
        <f>IF($N1462=1,$L1462+$K1462,"")</f>
        <v/>
      </c>
      <c r="N1462">
        <f>IF(ISNUMBER(SEARCH(" - ",$H1462&amp;"")),1,0)</f>
        <v/>
      </c>
      <c r="O1462">
        <f>IF(UPPER($H1462&amp;"")="LEAVE",1,0)</f>
        <v/>
      </c>
      <c r="P1462">
        <f>IF($N1462=1,$K1462,0)</f>
        <v/>
      </c>
      <c r="Q1462">
        <f>IF($N1462=0,"",IFERROR($L1462-LOOKUP(2,1/(($B$2:$B1461=$B1462)*($N$2:$N1461=1)),$M$2:$M1461),""))</f>
        <v/>
      </c>
    </row>
    <row r="1463">
      <c r="A1463" t="n">
        <v>1462</v>
      </c>
      <c r="B1463">
        <f>Schedule!$A$211</f>
        <v/>
      </c>
      <c r="C1463">
        <f>Schedule!$D$211</f>
        <v/>
      </c>
      <c r="D1463">
        <f>Schedule!$F$211</f>
        <v/>
      </c>
      <c r="E1463" t="n">
        <v>5</v>
      </c>
      <c r="F1463">
        <f>Schedule!$L$1</f>
        <v/>
      </c>
      <c r="G1463">
        <f>Schedule!$L$2</f>
        <v/>
      </c>
      <c r="H1463">
        <f>Schedule!$L$211</f>
        <v/>
      </c>
      <c r="I1463">
        <f>IF($N1463=1,VALUE(LEFT($H1463,2)),"")</f>
        <v/>
      </c>
      <c r="J1463">
        <f>IF($N1463=1,VALUE(MID($H1463,9,2)),"")</f>
        <v/>
      </c>
      <c r="K1463">
        <f>IF($N1463=1,MOD($J1463-$I1463,24),0)</f>
        <v/>
      </c>
      <c r="L1463">
        <f>IF($N1463=1,$E1463*24+$I1463,"")</f>
        <v/>
      </c>
      <c r="M1463">
        <f>IF($N1463=1,$L1463+$K1463,"")</f>
        <v/>
      </c>
      <c r="N1463">
        <f>IF(ISNUMBER(SEARCH(" - ",$H1463&amp;"")),1,0)</f>
        <v/>
      </c>
      <c r="O1463">
        <f>IF(UPPER($H1463&amp;"")="LEAVE",1,0)</f>
        <v/>
      </c>
      <c r="P1463">
        <f>IF($N1463=1,$K1463,0)</f>
        <v/>
      </c>
      <c r="Q1463">
        <f>IF($N1463=0,"",IFERROR($L1463-LOOKUP(2,1/(($B$2:$B1462=$B1463)*($N$2:$N1462=1)),$M$2:$M1462),""))</f>
        <v/>
      </c>
    </row>
    <row r="1464">
      <c r="A1464" t="n">
        <v>1463</v>
      </c>
      <c r="B1464">
        <f>Schedule!$A$211</f>
        <v/>
      </c>
      <c r="C1464">
        <f>Schedule!$D$211</f>
        <v/>
      </c>
      <c r="D1464">
        <f>Schedule!$F$211</f>
        <v/>
      </c>
      <c r="E1464" t="n">
        <v>6</v>
      </c>
      <c r="F1464">
        <f>Schedule!$M$1</f>
        <v/>
      </c>
      <c r="G1464">
        <f>Schedule!$M$2</f>
        <v/>
      </c>
      <c r="H1464">
        <f>Schedule!$M$211</f>
        <v/>
      </c>
      <c r="I1464">
        <f>IF($N1464=1,VALUE(LEFT($H1464,2)),"")</f>
        <v/>
      </c>
      <c r="J1464">
        <f>IF($N1464=1,VALUE(MID($H1464,9,2)),"")</f>
        <v/>
      </c>
      <c r="K1464">
        <f>IF($N1464=1,MOD($J1464-$I1464,24),0)</f>
        <v/>
      </c>
      <c r="L1464">
        <f>IF($N1464=1,$E1464*24+$I1464,"")</f>
        <v/>
      </c>
      <c r="M1464">
        <f>IF($N1464=1,$L1464+$K1464,"")</f>
        <v/>
      </c>
      <c r="N1464">
        <f>IF(ISNUMBER(SEARCH(" - ",$H1464&amp;"")),1,0)</f>
        <v/>
      </c>
      <c r="O1464">
        <f>IF(UPPER($H1464&amp;"")="LEAVE",1,0)</f>
        <v/>
      </c>
      <c r="P1464">
        <f>IF($N1464=1,$K1464,0)</f>
        <v/>
      </c>
      <c r="Q1464">
        <f>IF($N1464=0,"",IFERROR($L1464-LOOKUP(2,1/(($B$2:$B1463=$B1464)*($N$2:$N1463=1)),$M$2:$M1463),""))</f>
        <v/>
      </c>
    </row>
    <row r="1465">
      <c r="A1465" t="n">
        <v>1464</v>
      </c>
      <c r="B1465">
        <f>Schedule!$A$212</f>
        <v/>
      </c>
      <c r="C1465">
        <f>Schedule!$D$212</f>
        <v/>
      </c>
      <c r="D1465">
        <f>Schedule!$F$212</f>
        <v/>
      </c>
      <c r="E1465" t="n">
        <v>0</v>
      </c>
      <c r="F1465">
        <f>Schedule!$G$1</f>
        <v/>
      </c>
      <c r="G1465">
        <f>Schedule!$G$2</f>
        <v/>
      </c>
      <c r="H1465">
        <f>Schedule!$G$212</f>
        <v/>
      </c>
      <c r="I1465">
        <f>IF($N1465=1,VALUE(LEFT($H1465,2)),"")</f>
        <v/>
      </c>
      <c r="J1465">
        <f>IF($N1465=1,VALUE(MID($H1465,9,2)),"")</f>
        <v/>
      </c>
      <c r="K1465">
        <f>IF($N1465=1,MOD($J1465-$I1465,24),0)</f>
        <v/>
      </c>
      <c r="L1465">
        <f>IF($N1465=1,$E1465*24+$I1465,"")</f>
        <v/>
      </c>
      <c r="M1465">
        <f>IF($N1465=1,$L1465+$K1465,"")</f>
        <v/>
      </c>
      <c r="N1465">
        <f>IF(ISNUMBER(SEARCH(" - ",$H1465&amp;"")),1,0)</f>
        <v/>
      </c>
      <c r="O1465">
        <f>IF(UPPER($H1465&amp;"")="LEAVE",1,0)</f>
        <v/>
      </c>
      <c r="P1465">
        <f>IF($N1465=1,$K1465,0)</f>
        <v/>
      </c>
      <c r="Q1465">
        <f>IF($N1465=0,"",IFERROR($L1465-'Previous Engine'!$M$211,""))</f>
        <v/>
      </c>
    </row>
    <row r="1466">
      <c r="A1466" t="n">
        <v>1465</v>
      </c>
      <c r="B1466">
        <f>Schedule!$A$212</f>
        <v/>
      </c>
      <c r="C1466">
        <f>Schedule!$D$212</f>
        <v/>
      </c>
      <c r="D1466">
        <f>Schedule!$F$212</f>
        <v/>
      </c>
      <c r="E1466" t="n">
        <v>1</v>
      </c>
      <c r="F1466">
        <f>Schedule!$H$1</f>
        <v/>
      </c>
      <c r="G1466">
        <f>Schedule!$H$2</f>
        <v/>
      </c>
      <c r="H1466">
        <f>Schedule!$H$212</f>
        <v/>
      </c>
      <c r="I1466">
        <f>IF($N1466=1,VALUE(LEFT($H1466,2)),"")</f>
        <v/>
      </c>
      <c r="J1466">
        <f>IF($N1466=1,VALUE(MID($H1466,9,2)),"")</f>
        <v/>
      </c>
      <c r="K1466">
        <f>IF($N1466=1,MOD($J1466-$I1466,24),0)</f>
        <v/>
      </c>
      <c r="L1466">
        <f>IF($N1466=1,$E1466*24+$I1466,"")</f>
        <v/>
      </c>
      <c r="M1466">
        <f>IF($N1466=1,$L1466+$K1466,"")</f>
        <v/>
      </c>
      <c r="N1466">
        <f>IF(ISNUMBER(SEARCH(" - ",$H1466&amp;"")),1,0)</f>
        <v/>
      </c>
      <c r="O1466">
        <f>IF(UPPER($H1466&amp;"")="LEAVE",1,0)</f>
        <v/>
      </c>
      <c r="P1466">
        <f>IF($N1466=1,$K1466,0)</f>
        <v/>
      </c>
      <c r="Q1466">
        <f>IF($N1466=0,"",IFERROR($L1466-LOOKUP(2,1/(($B$2:$B1465=$B1466)*($N$2:$N1465=1)),$M$2:$M1465),""))</f>
        <v/>
      </c>
    </row>
    <row r="1467">
      <c r="A1467" t="n">
        <v>1466</v>
      </c>
      <c r="B1467">
        <f>Schedule!$A$212</f>
        <v/>
      </c>
      <c r="C1467">
        <f>Schedule!$D$212</f>
        <v/>
      </c>
      <c r="D1467">
        <f>Schedule!$F$212</f>
        <v/>
      </c>
      <c r="E1467" t="n">
        <v>2</v>
      </c>
      <c r="F1467">
        <f>Schedule!$I$1</f>
        <v/>
      </c>
      <c r="G1467">
        <f>Schedule!$I$2</f>
        <v/>
      </c>
      <c r="H1467">
        <f>Schedule!$I$212</f>
        <v/>
      </c>
      <c r="I1467">
        <f>IF($N1467=1,VALUE(LEFT($H1467,2)),"")</f>
        <v/>
      </c>
      <c r="J1467">
        <f>IF($N1467=1,VALUE(MID($H1467,9,2)),"")</f>
        <v/>
      </c>
      <c r="K1467">
        <f>IF($N1467=1,MOD($J1467-$I1467,24),0)</f>
        <v/>
      </c>
      <c r="L1467">
        <f>IF($N1467=1,$E1467*24+$I1467,"")</f>
        <v/>
      </c>
      <c r="M1467">
        <f>IF($N1467=1,$L1467+$K1467,"")</f>
        <v/>
      </c>
      <c r="N1467">
        <f>IF(ISNUMBER(SEARCH(" - ",$H1467&amp;"")),1,0)</f>
        <v/>
      </c>
      <c r="O1467">
        <f>IF(UPPER($H1467&amp;"")="LEAVE",1,0)</f>
        <v/>
      </c>
      <c r="P1467">
        <f>IF($N1467=1,$K1467,0)</f>
        <v/>
      </c>
      <c r="Q1467">
        <f>IF($N1467=0,"",IFERROR($L1467-LOOKUP(2,1/(($B$2:$B1466=$B1467)*($N$2:$N1466=1)),$M$2:$M1466),""))</f>
        <v/>
      </c>
    </row>
    <row r="1468">
      <c r="A1468" t="n">
        <v>1467</v>
      </c>
      <c r="B1468">
        <f>Schedule!$A$212</f>
        <v/>
      </c>
      <c r="C1468">
        <f>Schedule!$D$212</f>
        <v/>
      </c>
      <c r="D1468">
        <f>Schedule!$F$212</f>
        <v/>
      </c>
      <c r="E1468" t="n">
        <v>3</v>
      </c>
      <c r="F1468">
        <f>Schedule!$J$1</f>
        <v/>
      </c>
      <c r="G1468">
        <f>Schedule!$J$2</f>
        <v/>
      </c>
      <c r="H1468">
        <f>Schedule!$J$212</f>
        <v/>
      </c>
      <c r="I1468">
        <f>IF($N1468=1,VALUE(LEFT($H1468,2)),"")</f>
        <v/>
      </c>
      <c r="J1468">
        <f>IF($N1468=1,VALUE(MID($H1468,9,2)),"")</f>
        <v/>
      </c>
      <c r="K1468">
        <f>IF($N1468=1,MOD($J1468-$I1468,24),0)</f>
        <v/>
      </c>
      <c r="L1468">
        <f>IF($N1468=1,$E1468*24+$I1468,"")</f>
        <v/>
      </c>
      <c r="M1468">
        <f>IF($N1468=1,$L1468+$K1468,"")</f>
        <v/>
      </c>
      <c r="N1468">
        <f>IF(ISNUMBER(SEARCH(" - ",$H1468&amp;"")),1,0)</f>
        <v/>
      </c>
      <c r="O1468">
        <f>IF(UPPER($H1468&amp;"")="LEAVE",1,0)</f>
        <v/>
      </c>
      <c r="P1468">
        <f>IF($N1468=1,$K1468,0)</f>
        <v/>
      </c>
      <c r="Q1468">
        <f>IF($N1468=0,"",IFERROR($L1468-LOOKUP(2,1/(($B$2:$B1467=$B1468)*($N$2:$N1467=1)),$M$2:$M1467),""))</f>
        <v/>
      </c>
    </row>
    <row r="1469">
      <c r="A1469" t="n">
        <v>1468</v>
      </c>
      <c r="B1469">
        <f>Schedule!$A$212</f>
        <v/>
      </c>
      <c r="C1469">
        <f>Schedule!$D$212</f>
        <v/>
      </c>
      <c r="D1469">
        <f>Schedule!$F$212</f>
        <v/>
      </c>
      <c r="E1469" t="n">
        <v>4</v>
      </c>
      <c r="F1469">
        <f>Schedule!$K$1</f>
        <v/>
      </c>
      <c r="G1469">
        <f>Schedule!$K$2</f>
        <v/>
      </c>
      <c r="H1469">
        <f>Schedule!$K$212</f>
        <v/>
      </c>
      <c r="I1469">
        <f>IF($N1469=1,VALUE(LEFT($H1469,2)),"")</f>
        <v/>
      </c>
      <c r="J1469">
        <f>IF($N1469=1,VALUE(MID($H1469,9,2)),"")</f>
        <v/>
      </c>
      <c r="K1469">
        <f>IF($N1469=1,MOD($J1469-$I1469,24),0)</f>
        <v/>
      </c>
      <c r="L1469">
        <f>IF($N1469=1,$E1469*24+$I1469,"")</f>
        <v/>
      </c>
      <c r="M1469">
        <f>IF($N1469=1,$L1469+$K1469,"")</f>
        <v/>
      </c>
      <c r="N1469">
        <f>IF(ISNUMBER(SEARCH(" - ",$H1469&amp;"")),1,0)</f>
        <v/>
      </c>
      <c r="O1469">
        <f>IF(UPPER($H1469&amp;"")="LEAVE",1,0)</f>
        <v/>
      </c>
      <c r="P1469">
        <f>IF($N1469=1,$K1469,0)</f>
        <v/>
      </c>
      <c r="Q1469">
        <f>IF($N1469=0,"",IFERROR($L1469-LOOKUP(2,1/(($B$2:$B1468=$B1469)*($N$2:$N1468=1)),$M$2:$M1468),""))</f>
        <v/>
      </c>
    </row>
    <row r="1470">
      <c r="A1470" t="n">
        <v>1469</v>
      </c>
      <c r="B1470">
        <f>Schedule!$A$212</f>
        <v/>
      </c>
      <c r="C1470">
        <f>Schedule!$D$212</f>
        <v/>
      </c>
      <c r="D1470">
        <f>Schedule!$F$212</f>
        <v/>
      </c>
      <c r="E1470" t="n">
        <v>5</v>
      </c>
      <c r="F1470">
        <f>Schedule!$L$1</f>
        <v/>
      </c>
      <c r="G1470">
        <f>Schedule!$L$2</f>
        <v/>
      </c>
      <c r="H1470">
        <f>Schedule!$L$212</f>
        <v/>
      </c>
      <c r="I1470">
        <f>IF($N1470=1,VALUE(LEFT($H1470,2)),"")</f>
        <v/>
      </c>
      <c r="J1470">
        <f>IF($N1470=1,VALUE(MID($H1470,9,2)),"")</f>
        <v/>
      </c>
      <c r="K1470">
        <f>IF($N1470=1,MOD($J1470-$I1470,24),0)</f>
        <v/>
      </c>
      <c r="L1470">
        <f>IF($N1470=1,$E1470*24+$I1470,"")</f>
        <v/>
      </c>
      <c r="M1470">
        <f>IF($N1470=1,$L1470+$K1470,"")</f>
        <v/>
      </c>
      <c r="N1470">
        <f>IF(ISNUMBER(SEARCH(" - ",$H1470&amp;"")),1,0)</f>
        <v/>
      </c>
      <c r="O1470">
        <f>IF(UPPER($H1470&amp;"")="LEAVE",1,0)</f>
        <v/>
      </c>
      <c r="P1470">
        <f>IF($N1470=1,$K1470,0)</f>
        <v/>
      </c>
      <c r="Q1470">
        <f>IF($N1470=0,"",IFERROR($L1470-LOOKUP(2,1/(($B$2:$B1469=$B1470)*($N$2:$N1469=1)),$M$2:$M1469),""))</f>
        <v/>
      </c>
    </row>
    <row r="1471">
      <c r="A1471" t="n">
        <v>1470</v>
      </c>
      <c r="B1471">
        <f>Schedule!$A$212</f>
        <v/>
      </c>
      <c r="C1471">
        <f>Schedule!$D$212</f>
        <v/>
      </c>
      <c r="D1471">
        <f>Schedule!$F$212</f>
        <v/>
      </c>
      <c r="E1471" t="n">
        <v>6</v>
      </c>
      <c r="F1471">
        <f>Schedule!$M$1</f>
        <v/>
      </c>
      <c r="G1471">
        <f>Schedule!$M$2</f>
        <v/>
      </c>
      <c r="H1471">
        <f>Schedule!$M$212</f>
        <v/>
      </c>
      <c r="I1471">
        <f>IF($N1471=1,VALUE(LEFT($H1471,2)),"")</f>
        <v/>
      </c>
      <c r="J1471">
        <f>IF($N1471=1,VALUE(MID($H1471,9,2)),"")</f>
        <v/>
      </c>
      <c r="K1471">
        <f>IF($N1471=1,MOD($J1471-$I1471,24),0)</f>
        <v/>
      </c>
      <c r="L1471">
        <f>IF($N1471=1,$E1471*24+$I1471,"")</f>
        <v/>
      </c>
      <c r="M1471">
        <f>IF($N1471=1,$L1471+$K1471,"")</f>
        <v/>
      </c>
      <c r="N1471">
        <f>IF(ISNUMBER(SEARCH(" - ",$H1471&amp;"")),1,0)</f>
        <v/>
      </c>
      <c r="O1471">
        <f>IF(UPPER($H1471&amp;"")="LEAVE",1,0)</f>
        <v/>
      </c>
      <c r="P1471">
        <f>IF($N1471=1,$K1471,0)</f>
        <v/>
      </c>
      <c r="Q1471">
        <f>IF($N1471=0,"",IFERROR($L1471-LOOKUP(2,1/(($B$2:$B1470=$B1471)*($N$2:$N1470=1)),$M$2:$M1470),""))</f>
        <v/>
      </c>
    </row>
    <row r="1472">
      <c r="A1472" t="n">
        <v>1471</v>
      </c>
      <c r="B1472">
        <f>Schedule!$A$213</f>
        <v/>
      </c>
      <c r="C1472">
        <f>Schedule!$D$213</f>
        <v/>
      </c>
      <c r="D1472">
        <f>Schedule!$F$213</f>
        <v/>
      </c>
      <c r="E1472" t="n">
        <v>0</v>
      </c>
      <c r="F1472">
        <f>Schedule!$G$1</f>
        <v/>
      </c>
      <c r="G1472">
        <f>Schedule!$G$2</f>
        <v/>
      </c>
      <c r="H1472">
        <f>Schedule!$G$213</f>
        <v/>
      </c>
      <c r="I1472">
        <f>IF($N1472=1,VALUE(LEFT($H1472,2)),"")</f>
        <v/>
      </c>
      <c r="J1472">
        <f>IF($N1472=1,VALUE(MID($H1472,9,2)),"")</f>
        <v/>
      </c>
      <c r="K1472">
        <f>IF($N1472=1,MOD($J1472-$I1472,24),0)</f>
        <v/>
      </c>
      <c r="L1472">
        <f>IF($N1472=1,$E1472*24+$I1472,"")</f>
        <v/>
      </c>
      <c r="M1472">
        <f>IF($N1472=1,$L1472+$K1472,"")</f>
        <v/>
      </c>
      <c r="N1472">
        <f>IF(ISNUMBER(SEARCH(" - ",$H1472&amp;"")),1,0)</f>
        <v/>
      </c>
      <c r="O1472">
        <f>IF(UPPER($H1472&amp;"")="LEAVE",1,0)</f>
        <v/>
      </c>
      <c r="P1472">
        <f>IF($N1472=1,$K1472,0)</f>
        <v/>
      </c>
      <c r="Q1472">
        <f>IF($N1472=0,"",IFERROR($L1472-'Previous Engine'!$M$212,""))</f>
        <v/>
      </c>
    </row>
    <row r="1473">
      <c r="A1473" t="n">
        <v>1472</v>
      </c>
      <c r="B1473">
        <f>Schedule!$A$213</f>
        <v/>
      </c>
      <c r="C1473">
        <f>Schedule!$D$213</f>
        <v/>
      </c>
      <c r="D1473">
        <f>Schedule!$F$213</f>
        <v/>
      </c>
      <c r="E1473" t="n">
        <v>1</v>
      </c>
      <c r="F1473">
        <f>Schedule!$H$1</f>
        <v/>
      </c>
      <c r="G1473">
        <f>Schedule!$H$2</f>
        <v/>
      </c>
      <c r="H1473">
        <f>Schedule!$H$213</f>
        <v/>
      </c>
      <c r="I1473">
        <f>IF($N1473=1,VALUE(LEFT($H1473,2)),"")</f>
        <v/>
      </c>
      <c r="J1473">
        <f>IF($N1473=1,VALUE(MID($H1473,9,2)),"")</f>
        <v/>
      </c>
      <c r="K1473">
        <f>IF($N1473=1,MOD($J1473-$I1473,24),0)</f>
        <v/>
      </c>
      <c r="L1473">
        <f>IF($N1473=1,$E1473*24+$I1473,"")</f>
        <v/>
      </c>
      <c r="M1473">
        <f>IF($N1473=1,$L1473+$K1473,"")</f>
        <v/>
      </c>
      <c r="N1473">
        <f>IF(ISNUMBER(SEARCH(" - ",$H1473&amp;"")),1,0)</f>
        <v/>
      </c>
      <c r="O1473">
        <f>IF(UPPER($H1473&amp;"")="LEAVE",1,0)</f>
        <v/>
      </c>
      <c r="P1473">
        <f>IF($N1473=1,$K1473,0)</f>
        <v/>
      </c>
      <c r="Q1473">
        <f>IF($N1473=0,"",IFERROR($L1473-LOOKUP(2,1/(($B$2:$B1472=$B1473)*($N$2:$N1472=1)),$M$2:$M1472),""))</f>
        <v/>
      </c>
    </row>
    <row r="1474">
      <c r="A1474" t="n">
        <v>1473</v>
      </c>
      <c r="B1474">
        <f>Schedule!$A$213</f>
        <v/>
      </c>
      <c r="C1474">
        <f>Schedule!$D$213</f>
        <v/>
      </c>
      <c r="D1474">
        <f>Schedule!$F$213</f>
        <v/>
      </c>
      <c r="E1474" t="n">
        <v>2</v>
      </c>
      <c r="F1474">
        <f>Schedule!$I$1</f>
        <v/>
      </c>
      <c r="G1474">
        <f>Schedule!$I$2</f>
        <v/>
      </c>
      <c r="H1474">
        <f>Schedule!$I$213</f>
        <v/>
      </c>
      <c r="I1474">
        <f>IF($N1474=1,VALUE(LEFT($H1474,2)),"")</f>
        <v/>
      </c>
      <c r="J1474">
        <f>IF($N1474=1,VALUE(MID($H1474,9,2)),"")</f>
        <v/>
      </c>
      <c r="K1474">
        <f>IF($N1474=1,MOD($J1474-$I1474,24),0)</f>
        <v/>
      </c>
      <c r="L1474">
        <f>IF($N1474=1,$E1474*24+$I1474,"")</f>
        <v/>
      </c>
      <c r="M1474">
        <f>IF($N1474=1,$L1474+$K1474,"")</f>
        <v/>
      </c>
      <c r="N1474">
        <f>IF(ISNUMBER(SEARCH(" - ",$H1474&amp;"")),1,0)</f>
        <v/>
      </c>
      <c r="O1474">
        <f>IF(UPPER($H1474&amp;"")="LEAVE",1,0)</f>
        <v/>
      </c>
      <c r="P1474">
        <f>IF($N1474=1,$K1474,0)</f>
        <v/>
      </c>
      <c r="Q1474">
        <f>IF($N1474=0,"",IFERROR($L1474-LOOKUP(2,1/(($B$2:$B1473=$B1474)*($N$2:$N1473=1)),$M$2:$M1473),""))</f>
        <v/>
      </c>
    </row>
    <row r="1475">
      <c r="A1475" t="n">
        <v>1474</v>
      </c>
      <c r="B1475">
        <f>Schedule!$A$213</f>
        <v/>
      </c>
      <c r="C1475">
        <f>Schedule!$D$213</f>
        <v/>
      </c>
      <c r="D1475">
        <f>Schedule!$F$213</f>
        <v/>
      </c>
      <c r="E1475" t="n">
        <v>3</v>
      </c>
      <c r="F1475">
        <f>Schedule!$J$1</f>
        <v/>
      </c>
      <c r="G1475">
        <f>Schedule!$J$2</f>
        <v/>
      </c>
      <c r="H1475">
        <f>Schedule!$J$213</f>
        <v/>
      </c>
      <c r="I1475">
        <f>IF($N1475=1,VALUE(LEFT($H1475,2)),"")</f>
        <v/>
      </c>
      <c r="J1475">
        <f>IF($N1475=1,VALUE(MID($H1475,9,2)),"")</f>
        <v/>
      </c>
      <c r="K1475">
        <f>IF($N1475=1,MOD($J1475-$I1475,24),0)</f>
        <v/>
      </c>
      <c r="L1475">
        <f>IF($N1475=1,$E1475*24+$I1475,"")</f>
        <v/>
      </c>
      <c r="M1475">
        <f>IF($N1475=1,$L1475+$K1475,"")</f>
        <v/>
      </c>
      <c r="N1475">
        <f>IF(ISNUMBER(SEARCH(" - ",$H1475&amp;"")),1,0)</f>
        <v/>
      </c>
      <c r="O1475">
        <f>IF(UPPER($H1475&amp;"")="LEAVE",1,0)</f>
        <v/>
      </c>
      <c r="P1475">
        <f>IF($N1475=1,$K1475,0)</f>
        <v/>
      </c>
      <c r="Q1475">
        <f>IF($N1475=0,"",IFERROR($L1475-LOOKUP(2,1/(($B$2:$B1474=$B1475)*($N$2:$N1474=1)),$M$2:$M1474),""))</f>
        <v/>
      </c>
    </row>
    <row r="1476">
      <c r="A1476" t="n">
        <v>1475</v>
      </c>
      <c r="B1476">
        <f>Schedule!$A$213</f>
        <v/>
      </c>
      <c r="C1476">
        <f>Schedule!$D$213</f>
        <v/>
      </c>
      <c r="D1476">
        <f>Schedule!$F$213</f>
        <v/>
      </c>
      <c r="E1476" t="n">
        <v>4</v>
      </c>
      <c r="F1476">
        <f>Schedule!$K$1</f>
        <v/>
      </c>
      <c r="G1476">
        <f>Schedule!$K$2</f>
        <v/>
      </c>
      <c r="H1476">
        <f>Schedule!$K$213</f>
        <v/>
      </c>
      <c r="I1476">
        <f>IF($N1476=1,VALUE(LEFT($H1476,2)),"")</f>
        <v/>
      </c>
      <c r="J1476">
        <f>IF($N1476=1,VALUE(MID($H1476,9,2)),"")</f>
        <v/>
      </c>
      <c r="K1476">
        <f>IF($N1476=1,MOD($J1476-$I1476,24),0)</f>
        <v/>
      </c>
      <c r="L1476">
        <f>IF($N1476=1,$E1476*24+$I1476,"")</f>
        <v/>
      </c>
      <c r="M1476">
        <f>IF($N1476=1,$L1476+$K1476,"")</f>
        <v/>
      </c>
      <c r="N1476">
        <f>IF(ISNUMBER(SEARCH(" - ",$H1476&amp;"")),1,0)</f>
        <v/>
      </c>
      <c r="O1476">
        <f>IF(UPPER($H1476&amp;"")="LEAVE",1,0)</f>
        <v/>
      </c>
      <c r="P1476">
        <f>IF($N1476=1,$K1476,0)</f>
        <v/>
      </c>
      <c r="Q1476">
        <f>IF($N1476=0,"",IFERROR($L1476-LOOKUP(2,1/(($B$2:$B1475=$B1476)*($N$2:$N1475=1)),$M$2:$M1475),""))</f>
        <v/>
      </c>
    </row>
    <row r="1477">
      <c r="A1477" t="n">
        <v>1476</v>
      </c>
      <c r="B1477">
        <f>Schedule!$A$213</f>
        <v/>
      </c>
      <c r="C1477">
        <f>Schedule!$D$213</f>
        <v/>
      </c>
      <c r="D1477">
        <f>Schedule!$F$213</f>
        <v/>
      </c>
      <c r="E1477" t="n">
        <v>5</v>
      </c>
      <c r="F1477">
        <f>Schedule!$L$1</f>
        <v/>
      </c>
      <c r="G1477">
        <f>Schedule!$L$2</f>
        <v/>
      </c>
      <c r="H1477">
        <f>Schedule!$L$213</f>
        <v/>
      </c>
      <c r="I1477">
        <f>IF($N1477=1,VALUE(LEFT($H1477,2)),"")</f>
        <v/>
      </c>
      <c r="J1477">
        <f>IF($N1477=1,VALUE(MID($H1477,9,2)),"")</f>
        <v/>
      </c>
      <c r="K1477">
        <f>IF($N1477=1,MOD($J1477-$I1477,24),0)</f>
        <v/>
      </c>
      <c r="L1477">
        <f>IF($N1477=1,$E1477*24+$I1477,"")</f>
        <v/>
      </c>
      <c r="M1477">
        <f>IF($N1477=1,$L1477+$K1477,"")</f>
        <v/>
      </c>
      <c r="N1477">
        <f>IF(ISNUMBER(SEARCH(" - ",$H1477&amp;"")),1,0)</f>
        <v/>
      </c>
      <c r="O1477">
        <f>IF(UPPER($H1477&amp;"")="LEAVE",1,0)</f>
        <v/>
      </c>
      <c r="P1477">
        <f>IF($N1477=1,$K1477,0)</f>
        <v/>
      </c>
      <c r="Q1477">
        <f>IF($N1477=0,"",IFERROR($L1477-LOOKUP(2,1/(($B$2:$B1476=$B1477)*($N$2:$N1476=1)),$M$2:$M1476),""))</f>
        <v/>
      </c>
    </row>
    <row r="1478">
      <c r="A1478" t="n">
        <v>1477</v>
      </c>
      <c r="B1478">
        <f>Schedule!$A$213</f>
        <v/>
      </c>
      <c r="C1478">
        <f>Schedule!$D$213</f>
        <v/>
      </c>
      <c r="D1478">
        <f>Schedule!$F$213</f>
        <v/>
      </c>
      <c r="E1478" t="n">
        <v>6</v>
      </c>
      <c r="F1478">
        <f>Schedule!$M$1</f>
        <v/>
      </c>
      <c r="G1478">
        <f>Schedule!$M$2</f>
        <v/>
      </c>
      <c r="H1478">
        <f>Schedule!$M$213</f>
        <v/>
      </c>
      <c r="I1478">
        <f>IF($N1478=1,VALUE(LEFT($H1478,2)),"")</f>
        <v/>
      </c>
      <c r="J1478">
        <f>IF($N1478=1,VALUE(MID($H1478,9,2)),"")</f>
        <v/>
      </c>
      <c r="K1478">
        <f>IF($N1478=1,MOD($J1478-$I1478,24),0)</f>
        <v/>
      </c>
      <c r="L1478">
        <f>IF($N1478=1,$E1478*24+$I1478,"")</f>
        <v/>
      </c>
      <c r="M1478">
        <f>IF($N1478=1,$L1478+$K1478,"")</f>
        <v/>
      </c>
      <c r="N1478">
        <f>IF(ISNUMBER(SEARCH(" - ",$H1478&amp;"")),1,0)</f>
        <v/>
      </c>
      <c r="O1478">
        <f>IF(UPPER($H1478&amp;"")="LEAVE",1,0)</f>
        <v/>
      </c>
      <c r="P1478">
        <f>IF($N1478=1,$K1478,0)</f>
        <v/>
      </c>
      <c r="Q1478">
        <f>IF($N1478=0,"",IFERROR($L1478-LOOKUP(2,1/(($B$2:$B1477=$B1478)*($N$2:$N1477=1)),$M$2:$M1477),""))</f>
        <v/>
      </c>
    </row>
    <row r="1479">
      <c r="A1479" t="n">
        <v>1478</v>
      </c>
      <c r="B1479">
        <f>Schedule!$A$214</f>
        <v/>
      </c>
      <c r="C1479">
        <f>Schedule!$D$214</f>
        <v/>
      </c>
      <c r="D1479">
        <f>Schedule!$F$214</f>
        <v/>
      </c>
      <c r="E1479" t="n">
        <v>0</v>
      </c>
      <c r="F1479">
        <f>Schedule!$G$1</f>
        <v/>
      </c>
      <c r="G1479">
        <f>Schedule!$G$2</f>
        <v/>
      </c>
      <c r="H1479">
        <f>Schedule!$G$214</f>
        <v/>
      </c>
      <c r="I1479">
        <f>IF($N1479=1,VALUE(LEFT($H1479,2)),"")</f>
        <v/>
      </c>
      <c r="J1479">
        <f>IF($N1479=1,VALUE(MID($H1479,9,2)),"")</f>
        <v/>
      </c>
      <c r="K1479">
        <f>IF($N1479=1,MOD($J1479-$I1479,24),0)</f>
        <v/>
      </c>
      <c r="L1479">
        <f>IF($N1479=1,$E1479*24+$I1479,"")</f>
        <v/>
      </c>
      <c r="M1479">
        <f>IF($N1479=1,$L1479+$K1479,"")</f>
        <v/>
      </c>
      <c r="N1479">
        <f>IF(ISNUMBER(SEARCH(" - ",$H1479&amp;"")),1,0)</f>
        <v/>
      </c>
      <c r="O1479">
        <f>IF(UPPER($H1479&amp;"")="LEAVE",1,0)</f>
        <v/>
      </c>
      <c r="P1479">
        <f>IF($N1479=1,$K1479,0)</f>
        <v/>
      </c>
      <c r="Q1479">
        <f>IF($N1479=0,"",IFERROR($L1479-'Previous Engine'!$M$213,""))</f>
        <v/>
      </c>
    </row>
    <row r="1480">
      <c r="A1480" t="n">
        <v>1479</v>
      </c>
      <c r="B1480">
        <f>Schedule!$A$214</f>
        <v/>
      </c>
      <c r="C1480">
        <f>Schedule!$D$214</f>
        <v/>
      </c>
      <c r="D1480">
        <f>Schedule!$F$214</f>
        <v/>
      </c>
      <c r="E1480" t="n">
        <v>1</v>
      </c>
      <c r="F1480">
        <f>Schedule!$H$1</f>
        <v/>
      </c>
      <c r="G1480">
        <f>Schedule!$H$2</f>
        <v/>
      </c>
      <c r="H1480">
        <f>Schedule!$H$214</f>
        <v/>
      </c>
      <c r="I1480">
        <f>IF($N1480=1,VALUE(LEFT($H1480,2)),"")</f>
        <v/>
      </c>
      <c r="J1480">
        <f>IF($N1480=1,VALUE(MID($H1480,9,2)),"")</f>
        <v/>
      </c>
      <c r="K1480">
        <f>IF($N1480=1,MOD($J1480-$I1480,24),0)</f>
        <v/>
      </c>
      <c r="L1480">
        <f>IF($N1480=1,$E1480*24+$I1480,"")</f>
        <v/>
      </c>
      <c r="M1480">
        <f>IF($N1480=1,$L1480+$K1480,"")</f>
        <v/>
      </c>
      <c r="N1480">
        <f>IF(ISNUMBER(SEARCH(" - ",$H1480&amp;"")),1,0)</f>
        <v/>
      </c>
      <c r="O1480">
        <f>IF(UPPER($H1480&amp;"")="LEAVE",1,0)</f>
        <v/>
      </c>
      <c r="P1480">
        <f>IF($N1480=1,$K1480,0)</f>
        <v/>
      </c>
      <c r="Q1480">
        <f>IF($N1480=0,"",IFERROR($L1480-LOOKUP(2,1/(($B$2:$B1479=$B1480)*($N$2:$N1479=1)),$M$2:$M1479),""))</f>
        <v/>
      </c>
    </row>
    <row r="1481">
      <c r="A1481" t="n">
        <v>1480</v>
      </c>
      <c r="B1481">
        <f>Schedule!$A$214</f>
        <v/>
      </c>
      <c r="C1481">
        <f>Schedule!$D$214</f>
        <v/>
      </c>
      <c r="D1481">
        <f>Schedule!$F$214</f>
        <v/>
      </c>
      <c r="E1481" t="n">
        <v>2</v>
      </c>
      <c r="F1481">
        <f>Schedule!$I$1</f>
        <v/>
      </c>
      <c r="G1481">
        <f>Schedule!$I$2</f>
        <v/>
      </c>
      <c r="H1481">
        <f>Schedule!$I$214</f>
        <v/>
      </c>
      <c r="I1481">
        <f>IF($N1481=1,VALUE(LEFT($H1481,2)),"")</f>
        <v/>
      </c>
      <c r="J1481">
        <f>IF($N1481=1,VALUE(MID($H1481,9,2)),"")</f>
        <v/>
      </c>
      <c r="K1481">
        <f>IF($N1481=1,MOD($J1481-$I1481,24),0)</f>
        <v/>
      </c>
      <c r="L1481">
        <f>IF($N1481=1,$E1481*24+$I1481,"")</f>
        <v/>
      </c>
      <c r="M1481">
        <f>IF($N1481=1,$L1481+$K1481,"")</f>
        <v/>
      </c>
      <c r="N1481">
        <f>IF(ISNUMBER(SEARCH(" - ",$H1481&amp;"")),1,0)</f>
        <v/>
      </c>
      <c r="O1481">
        <f>IF(UPPER($H1481&amp;"")="LEAVE",1,0)</f>
        <v/>
      </c>
      <c r="P1481">
        <f>IF($N1481=1,$K1481,0)</f>
        <v/>
      </c>
      <c r="Q1481">
        <f>IF($N1481=0,"",IFERROR($L1481-LOOKUP(2,1/(($B$2:$B1480=$B1481)*($N$2:$N1480=1)),$M$2:$M1480),""))</f>
        <v/>
      </c>
    </row>
    <row r="1482">
      <c r="A1482" t="n">
        <v>1481</v>
      </c>
      <c r="B1482">
        <f>Schedule!$A$214</f>
        <v/>
      </c>
      <c r="C1482">
        <f>Schedule!$D$214</f>
        <v/>
      </c>
      <c r="D1482">
        <f>Schedule!$F$214</f>
        <v/>
      </c>
      <c r="E1482" t="n">
        <v>3</v>
      </c>
      <c r="F1482">
        <f>Schedule!$J$1</f>
        <v/>
      </c>
      <c r="G1482">
        <f>Schedule!$J$2</f>
        <v/>
      </c>
      <c r="H1482">
        <f>Schedule!$J$214</f>
        <v/>
      </c>
      <c r="I1482">
        <f>IF($N1482=1,VALUE(LEFT($H1482,2)),"")</f>
        <v/>
      </c>
      <c r="J1482">
        <f>IF($N1482=1,VALUE(MID($H1482,9,2)),"")</f>
        <v/>
      </c>
      <c r="K1482">
        <f>IF($N1482=1,MOD($J1482-$I1482,24),0)</f>
        <v/>
      </c>
      <c r="L1482">
        <f>IF($N1482=1,$E1482*24+$I1482,"")</f>
        <v/>
      </c>
      <c r="M1482">
        <f>IF($N1482=1,$L1482+$K1482,"")</f>
        <v/>
      </c>
      <c r="N1482">
        <f>IF(ISNUMBER(SEARCH(" - ",$H1482&amp;"")),1,0)</f>
        <v/>
      </c>
      <c r="O1482">
        <f>IF(UPPER($H1482&amp;"")="LEAVE",1,0)</f>
        <v/>
      </c>
      <c r="P1482">
        <f>IF($N1482=1,$K1482,0)</f>
        <v/>
      </c>
      <c r="Q1482">
        <f>IF($N1482=0,"",IFERROR($L1482-LOOKUP(2,1/(($B$2:$B1481=$B1482)*($N$2:$N1481=1)),$M$2:$M1481),""))</f>
        <v/>
      </c>
    </row>
    <row r="1483">
      <c r="A1483" t="n">
        <v>1482</v>
      </c>
      <c r="B1483">
        <f>Schedule!$A$214</f>
        <v/>
      </c>
      <c r="C1483">
        <f>Schedule!$D$214</f>
        <v/>
      </c>
      <c r="D1483">
        <f>Schedule!$F$214</f>
        <v/>
      </c>
      <c r="E1483" t="n">
        <v>4</v>
      </c>
      <c r="F1483">
        <f>Schedule!$K$1</f>
        <v/>
      </c>
      <c r="G1483">
        <f>Schedule!$K$2</f>
        <v/>
      </c>
      <c r="H1483">
        <f>Schedule!$K$214</f>
        <v/>
      </c>
      <c r="I1483">
        <f>IF($N1483=1,VALUE(LEFT($H1483,2)),"")</f>
        <v/>
      </c>
      <c r="J1483">
        <f>IF($N1483=1,VALUE(MID($H1483,9,2)),"")</f>
        <v/>
      </c>
      <c r="K1483">
        <f>IF($N1483=1,MOD($J1483-$I1483,24),0)</f>
        <v/>
      </c>
      <c r="L1483">
        <f>IF($N1483=1,$E1483*24+$I1483,"")</f>
        <v/>
      </c>
      <c r="M1483">
        <f>IF($N1483=1,$L1483+$K1483,"")</f>
        <v/>
      </c>
      <c r="N1483">
        <f>IF(ISNUMBER(SEARCH(" - ",$H1483&amp;"")),1,0)</f>
        <v/>
      </c>
      <c r="O1483">
        <f>IF(UPPER($H1483&amp;"")="LEAVE",1,0)</f>
        <v/>
      </c>
      <c r="P1483">
        <f>IF($N1483=1,$K1483,0)</f>
        <v/>
      </c>
      <c r="Q1483">
        <f>IF($N1483=0,"",IFERROR($L1483-LOOKUP(2,1/(($B$2:$B1482=$B1483)*($N$2:$N1482=1)),$M$2:$M1482),""))</f>
        <v/>
      </c>
    </row>
    <row r="1484">
      <c r="A1484" t="n">
        <v>1483</v>
      </c>
      <c r="B1484">
        <f>Schedule!$A$214</f>
        <v/>
      </c>
      <c r="C1484">
        <f>Schedule!$D$214</f>
        <v/>
      </c>
      <c r="D1484">
        <f>Schedule!$F$214</f>
        <v/>
      </c>
      <c r="E1484" t="n">
        <v>5</v>
      </c>
      <c r="F1484">
        <f>Schedule!$L$1</f>
        <v/>
      </c>
      <c r="G1484">
        <f>Schedule!$L$2</f>
        <v/>
      </c>
      <c r="H1484">
        <f>Schedule!$L$214</f>
        <v/>
      </c>
      <c r="I1484">
        <f>IF($N1484=1,VALUE(LEFT($H1484,2)),"")</f>
        <v/>
      </c>
      <c r="J1484">
        <f>IF($N1484=1,VALUE(MID($H1484,9,2)),"")</f>
        <v/>
      </c>
      <c r="K1484">
        <f>IF($N1484=1,MOD($J1484-$I1484,24),0)</f>
        <v/>
      </c>
      <c r="L1484">
        <f>IF($N1484=1,$E1484*24+$I1484,"")</f>
        <v/>
      </c>
      <c r="M1484">
        <f>IF($N1484=1,$L1484+$K1484,"")</f>
        <v/>
      </c>
      <c r="N1484">
        <f>IF(ISNUMBER(SEARCH(" - ",$H1484&amp;"")),1,0)</f>
        <v/>
      </c>
      <c r="O1484">
        <f>IF(UPPER($H1484&amp;"")="LEAVE",1,0)</f>
        <v/>
      </c>
      <c r="P1484">
        <f>IF($N1484=1,$K1484,0)</f>
        <v/>
      </c>
      <c r="Q1484">
        <f>IF($N1484=0,"",IFERROR($L1484-LOOKUP(2,1/(($B$2:$B1483=$B1484)*($N$2:$N1483=1)),$M$2:$M1483),""))</f>
        <v/>
      </c>
    </row>
    <row r="1485">
      <c r="A1485" t="n">
        <v>1484</v>
      </c>
      <c r="B1485">
        <f>Schedule!$A$214</f>
        <v/>
      </c>
      <c r="C1485">
        <f>Schedule!$D$214</f>
        <v/>
      </c>
      <c r="D1485">
        <f>Schedule!$F$214</f>
        <v/>
      </c>
      <c r="E1485" t="n">
        <v>6</v>
      </c>
      <c r="F1485">
        <f>Schedule!$M$1</f>
        <v/>
      </c>
      <c r="G1485">
        <f>Schedule!$M$2</f>
        <v/>
      </c>
      <c r="H1485">
        <f>Schedule!$M$214</f>
        <v/>
      </c>
      <c r="I1485">
        <f>IF($N1485=1,VALUE(LEFT($H1485,2)),"")</f>
        <v/>
      </c>
      <c r="J1485">
        <f>IF($N1485=1,VALUE(MID($H1485,9,2)),"")</f>
        <v/>
      </c>
      <c r="K1485">
        <f>IF($N1485=1,MOD($J1485-$I1485,24),0)</f>
        <v/>
      </c>
      <c r="L1485">
        <f>IF($N1485=1,$E1485*24+$I1485,"")</f>
        <v/>
      </c>
      <c r="M1485">
        <f>IF($N1485=1,$L1485+$K1485,"")</f>
        <v/>
      </c>
      <c r="N1485">
        <f>IF(ISNUMBER(SEARCH(" - ",$H1485&amp;"")),1,0)</f>
        <v/>
      </c>
      <c r="O1485">
        <f>IF(UPPER($H1485&amp;"")="LEAVE",1,0)</f>
        <v/>
      </c>
      <c r="P1485">
        <f>IF($N1485=1,$K1485,0)</f>
        <v/>
      </c>
      <c r="Q1485">
        <f>IF($N1485=0,"",IFERROR($L1485-LOOKUP(2,1/(($B$2:$B1484=$B1485)*($N$2:$N1484=1)),$M$2:$M1484),""))</f>
        <v/>
      </c>
    </row>
    <row r="1486">
      <c r="A1486" t="n">
        <v>1485</v>
      </c>
      <c r="B1486">
        <f>Schedule!$A$215</f>
        <v/>
      </c>
      <c r="C1486">
        <f>Schedule!$D$215</f>
        <v/>
      </c>
      <c r="D1486">
        <f>Schedule!$F$215</f>
        <v/>
      </c>
      <c r="E1486" t="n">
        <v>0</v>
      </c>
      <c r="F1486">
        <f>Schedule!$G$1</f>
        <v/>
      </c>
      <c r="G1486">
        <f>Schedule!$G$2</f>
        <v/>
      </c>
      <c r="H1486">
        <f>Schedule!$G$215</f>
        <v/>
      </c>
      <c r="I1486">
        <f>IF($N1486=1,VALUE(LEFT($H1486,2)),"")</f>
        <v/>
      </c>
      <c r="J1486">
        <f>IF($N1486=1,VALUE(MID($H1486,9,2)),"")</f>
        <v/>
      </c>
      <c r="K1486">
        <f>IF($N1486=1,MOD($J1486-$I1486,24),0)</f>
        <v/>
      </c>
      <c r="L1486">
        <f>IF($N1486=1,$E1486*24+$I1486,"")</f>
        <v/>
      </c>
      <c r="M1486">
        <f>IF($N1486=1,$L1486+$K1486,"")</f>
        <v/>
      </c>
      <c r="N1486">
        <f>IF(ISNUMBER(SEARCH(" - ",$H1486&amp;"")),1,0)</f>
        <v/>
      </c>
      <c r="O1486">
        <f>IF(UPPER($H1486&amp;"")="LEAVE",1,0)</f>
        <v/>
      </c>
      <c r="P1486">
        <f>IF($N1486=1,$K1486,0)</f>
        <v/>
      </c>
      <c r="Q1486">
        <f>IF($N1486=0,"",IFERROR($L1486-'Previous Engine'!$M$214,""))</f>
        <v/>
      </c>
    </row>
    <row r="1487">
      <c r="A1487" t="n">
        <v>1486</v>
      </c>
      <c r="B1487">
        <f>Schedule!$A$215</f>
        <v/>
      </c>
      <c r="C1487">
        <f>Schedule!$D$215</f>
        <v/>
      </c>
      <c r="D1487">
        <f>Schedule!$F$215</f>
        <v/>
      </c>
      <c r="E1487" t="n">
        <v>1</v>
      </c>
      <c r="F1487">
        <f>Schedule!$H$1</f>
        <v/>
      </c>
      <c r="G1487">
        <f>Schedule!$H$2</f>
        <v/>
      </c>
      <c r="H1487">
        <f>Schedule!$H$215</f>
        <v/>
      </c>
      <c r="I1487">
        <f>IF($N1487=1,VALUE(LEFT($H1487,2)),"")</f>
        <v/>
      </c>
      <c r="J1487">
        <f>IF($N1487=1,VALUE(MID($H1487,9,2)),"")</f>
        <v/>
      </c>
      <c r="K1487">
        <f>IF($N1487=1,MOD($J1487-$I1487,24),0)</f>
        <v/>
      </c>
      <c r="L1487">
        <f>IF($N1487=1,$E1487*24+$I1487,"")</f>
        <v/>
      </c>
      <c r="M1487">
        <f>IF($N1487=1,$L1487+$K1487,"")</f>
        <v/>
      </c>
      <c r="N1487">
        <f>IF(ISNUMBER(SEARCH(" - ",$H1487&amp;"")),1,0)</f>
        <v/>
      </c>
      <c r="O1487">
        <f>IF(UPPER($H1487&amp;"")="LEAVE",1,0)</f>
        <v/>
      </c>
      <c r="P1487">
        <f>IF($N1487=1,$K1487,0)</f>
        <v/>
      </c>
      <c r="Q1487">
        <f>IF($N1487=0,"",IFERROR($L1487-LOOKUP(2,1/(($B$2:$B1486=$B1487)*($N$2:$N1486=1)),$M$2:$M1486),""))</f>
        <v/>
      </c>
    </row>
    <row r="1488">
      <c r="A1488" t="n">
        <v>1487</v>
      </c>
      <c r="B1488">
        <f>Schedule!$A$215</f>
        <v/>
      </c>
      <c r="C1488">
        <f>Schedule!$D$215</f>
        <v/>
      </c>
      <c r="D1488">
        <f>Schedule!$F$215</f>
        <v/>
      </c>
      <c r="E1488" t="n">
        <v>2</v>
      </c>
      <c r="F1488">
        <f>Schedule!$I$1</f>
        <v/>
      </c>
      <c r="G1488">
        <f>Schedule!$I$2</f>
        <v/>
      </c>
      <c r="H1488">
        <f>Schedule!$I$215</f>
        <v/>
      </c>
      <c r="I1488">
        <f>IF($N1488=1,VALUE(LEFT($H1488,2)),"")</f>
        <v/>
      </c>
      <c r="J1488">
        <f>IF($N1488=1,VALUE(MID($H1488,9,2)),"")</f>
        <v/>
      </c>
      <c r="K1488">
        <f>IF($N1488=1,MOD($J1488-$I1488,24),0)</f>
        <v/>
      </c>
      <c r="L1488">
        <f>IF($N1488=1,$E1488*24+$I1488,"")</f>
        <v/>
      </c>
      <c r="M1488">
        <f>IF($N1488=1,$L1488+$K1488,"")</f>
        <v/>
      </c>
      <c r="N1488">
        <f>IF(ISNUMBER(SEARCH(" - ",$H1488&amp;"")),1,0)</f>
        <v/>
      </c>
      <c r="O1488">
        <f>IF(UPPER($H1488&amp;"")="LEAVE",1,0)</f>
        <v/>
      </c>
      <c r="P1488">
        <f>IF($N1488=1,$K1488,0)</f>
        <v/>
      </c>
      <c r="Q1488">
        <f>IF($N1488=0,"",IFERROR($L1488-LOOKUP(2,1/(($B$2:$B1487=$B1488)*($N$2:$N1487=1)),$M$2:$M1487),""))</f>
        <v/>
      </c>
    </row>
    <row r="1489">
      <c r="A1489" t="n">
        <v>1488</v>
      </c>
      <c r="B1489">
        <f>Schedule!$A$215</f>
        <v/>
      </c>
      <c r="C1489">
        <f>Schedule!$D$215</f>
        <v/>
      </c>
      <c r="D1489">
        <f>Schedule!$F$215</f>
        <v/>
      </c>
      <c r="E1489" t="n">
        <v>3</v>
      </c>
      <c r="F1489">
        <f>Schedule!$J$1</f>
        <v/>
      </c>
      <c r="G1489">
        <f>Schedule!$J$2</f>
        <v/>
      </c>
      <c r="H1489">
        <f>Schedule!$J$215</f>
        <v/>
      </c>
      <c r="I1489">
        <f>IF($N1489=1,VALUE(LEFT($H1489,2)),"")</f>
        <v/>
      </c>
      <c r="J1489">
        <f>IF($N1489=1,VALUE(MID($H1489,9,2)),"")</f>
        <v/>
      </c>
      <c r="K1489">
        <f>IF($N1489=1,MOD($J1489-$I1489,24),0)</f>
        <v/>
      </c>
      <c r="L1489">
        <f>IF($N1489=1,$E1489*24+$I1489,"")</f>
        <v/>
      </c>
      <c r="M1489">
        <f>IF($N1489=1,$L1489+$K1489,"")</f>
        <v/>
      </c>
      <c r="N1489">
        <f>IF(ISNUMBER(SEARCH(" - ",$H1489&amp;"")),1,0)</f>
        <v/>
      </c>
      <c r="O1489">
        <f>IF(UPPER($H1489&amp;"")="LEAVE",1,0)</f>
        <v/>
      </c>
      <c r="P1489">
        <f>IF($N1489=1,$K1489,0)</f>
        <v/>
      </c>
      <c r="Q1489">
        <f>IF($N1489=0,"",IFERROR($L1489-LOOKUP(2,1/(($B$2:$B1488=$B1489)*($N$2:$N1488=1)),$M$2:$M1488),""))</f>
        <v/>
      </c>
    </row>
    <row r="1490">
      <c r="A1490" t="n">
        <v>1489</v>
      </c>
      <c r="B1490">
        <f>Schedule!$A$215</f>
        <v/>
      </c>
      <c r="C1490">
        <f>Schedule!$D$215</f>
        <v/>
      </c>
      <c r="D1490">
        <f>Schedule!$F$215</f>
        <v/>
      </c>
      <c r="E1490" t="n">
        <v>4</v>
      </c>
      <c r="F1490">
        <f>Schedule!$K$1</f>
        <v/>
      </c>
      <c r="G1490">
        <f>Schedule!$K$2</f>
        <v/>
      </c>
      <c r="H1490">
        <f>Schedule!$K$215</f>
        <v/>
      </c>
      <c r="I1490">
        <f>IF($N1490=1,VALUE(LEFT($H1490,2)),"")</f>
        <v/>
      </c>
      <c r="J1490">
        <f>IF($N1490=1,VALUE(MID($H1490,9,2)),"")</f>
        <v/>
      </c>
      <c r="K1490">
        <f>IF($N1490=1,MOD($J1490-$I1490,24),0)</f>
        <v/>
      </c>
      <c r="L1490">
        <f>IF($N1490=1,$E1490*24+$I1490,"")</f>
        <v/>
      </c>
      <c r="M1490">
        <f>IF($N1490=1,$L1490+$K1490,"")</f>
        <v/>
      </c>
      <c r="N1490">
        <f>IF(ISNUMBER(SEARCH(" - ",$H1490&amp;"")),1,0)</f>
        <v/>
      </c>
      <c r="O1490">
        <f>IF(UPPER($H1490&amp;"")="LEAVE",1,0)</f>
        <v/>
      </c>
      <c r="P1490">
        <f>IF($N1490=1,$K1490,0)</f>
        <v/>
      </c>
      <c r="Q1490">
        <f>IF($N1490=0,"",IFERROR($L1490-LOOKUP(2,1/(($B$2:$B1489=$B1490)*($N$2:$N1489=1)),$M$2:$M1489),""))</f>
        <v/>
      </c>
    </row>
    <row r="1491">
      <c r="A1491" t="n">
        <v>1490</v>
      </c>
      <c r="B1491">
        <f>Schedule!$A$215</f>
        <v/>
      </c>
      <c r="C1491">
        <f>Schedule!$D$215</f>
        <v/>
      </c>
      <c r="D1491">
        <f>Schedule!$F$215</f>
        <v/>
      </c>
      <c r="E1491" t="n">
        <v>5</v>
      </c>
      <c r="F1491">
        <f>Schedule!$L$1</f>
        <v/>
      </c>
      <c r="G1491">
        <f>Schedule!$L$2</f>
        <v/>
      </c>
      <c r="H1491">
        <f>Schedule!$L$215</f>
        <v/>
      </c>
      <c r="I1491">
        <f>IF($N1491=1,VALUE(LEFT($H1491,2)),"")</f>
        <v/>
      </c>
      <c r="J1491">
        <f>IF($N1491=1,VALUE(MID($H1491,9,2)),"")</f>
        <v/>
      </c>
      <c r="K1491">
        <f>IF($N1491=1,MOD($J1491-$I1491,24),0)</f>
        <v/>
      </c>
      <c r="L1491">
        <f>IF($N1491=1,$E1491*24+$I1491,"")</f>
        <v/>
      </c>
      <c r="M1491">
        <f>IF($N1491=1,$L1491+$K1491,"")</f>
        <v/>
      </c>
      <c r="N1491">
        <f>IF(ISNUMBER(SEARCH(" - ",$H1491&amp;"")),1,0)</f>
        <v/>
      </c>
      <c r="O1491">
        <f>IF(UPPER($H1491&amp;"")="LEAVE",1,0)</f>
        <v/>
      </c>
      <c r="P1491">
        <f>IF($N1491=1,$K1491,0)</f>
        <v/>
      </c>
      <c r="Q1491">
        <f>IF($N1491=0,"",IFERROR($L1491-LOOKUP(2,1/(($B$2:$B1490=$B1491)*($N$2:$N1490=1)),$M$2:$M1490),""))</f>
        <v/>
      </c>
    </row>
    <row r="1492">
      <c r="A1492" t="n">
        <v>1491</v>
      </c>
      <c r="B1492">
        <f>Schedule!$A$215</f>
        <v/>
      </c>
      <c r="C1492">
        <f>Schedule!$D$215</f>
        <v/>
      </c>
      <c r="D1492">
        <f>Schedule!$F$215</f>
        <v/>
      </c>
      <c r="E1492" t="n">
        <v>6</v>
      </c>
      <c r="F1492">
        <f>Schedule!$M$1</f>
        <v/>
      </c>
      <c r="G1492">
        <f>Schedule!$M$2</f>
        <v/>
      </c>
      <c r="H1492">
        <f>Schedule!$M$215</f>
        <v/>
      </c>
      <c r="I1492">
        <f>IF($N1492=1,VALUE(LEFT($H1492,2)),"")</f>
        <v/>
      </c>
      <c r="J1492">
        <f>IF($N1492=1,VALUE(MID($H1492,9,2)),"")</f>
        <v/>
      </c>
      <c r="K1492">
        <f>IF($N1492=1,MOD($J1492-$I1492,24),0)</f>
        <v/>
      </c>
      <c r="L1492">
        <f>IF($N1492=1,$E1492*24+$I1492,"")</f>
        <v/>
      </c>
      <c r="M1492">
        <f>IF($N1492=1,$L1492+$K1492,"")</f>
        <v/>
      </c>
      <c r="N1492">
        <f>IF(ISNUMBER(SEARCH(" - ",$H1492&amp;"")),1,0)</f>
        <v/>
      </c>
      <c r="O1492">
        <f>IF(UPPER($H1492&amp;"")="LEAVE",1,0)</f>
        <v/>
      </c>
      <c r="P1492">
        <f>IF($N1492=1,$K1492,0)</f>
        <v/>
      </c>
      <c r="Q1492">
        <f>IF($N1492=0,"",IFERROR($L1492-LOOKUP(2,1/(($B$2:$B1491=$B1492)*($N$2:$N1491=1)),$M$2:$M1491),""))</f>
        <v/>
      </c>
    </row>
    <row r="1493">
      <c r="A1493" t="n">
        <v>1492</v>
      </c>
      <c r="B1493">
        <f>Schedule!$A$216</f>
        <v/>
      </c>
      <c r="C1493">
        <f>Schedule!$D$216</f>
        <v/>
      </c>
      <c r="D1493">
        <f>Schedule!$F$216</f>
        <v/>
      </c>
      <c r="E1493" t="n">
        <v>0</v>
      </c>
      <c r="F1493">
        <f>Schedule!$G$1</f>
        <v/>
      </c>
      <c r="G1493">
        <f>Schedule!$G$2</f>
        <v/>
      </c>
      <c r="H1493">
        <f>Schedule!$G$216</f>
        <v/>
      </c>
      <c r="I1493">
        <f>IF($N1493=1,VALUE(LEFT($H1493,2)),"")</f>
        <v/>
      </c>
      <c r="J1493">
        <f>IF($N1493=1,VALUE(MID($H1493,9,2)),"")</f>
        <v/>
      </c>
      <c r="K1493">
        <f>IF($N1493=1,MOD($J1493-$I1493,24),0)</f>
        <v/>
      </c>
      <c r="L1493">
        <f>IF($N1493=1,$E1493*24+$I1493,"")</f>
        <v/>
      </c>
      <c r="M1493">
        <f>IF($N1493=1,$L1493+$K1493,"")</f>
        <v/>
      </c>
      <c r="N1493">
        <f>IF(ISNUMBER(SEARCH(" - ",$H1493&amp;"")),1,0)</f>
        <v/>
      </c>
      <c r="O1493">
        <f>IF(UPPER($H1493&amp;"")="LEAVE",1,0)</f>
        <v/>
      </c>
      <c r="P1493">
        <f>IF($N1493=1,$K1493,0)</f>
        <v/>
      </c>
      <c r="Q1493">
        <f>IF($N1493=0,"",IFERROR($L1493-'Previous Engine'!$M$215,""))</f>
        <v/>
      </c>
    </row>
    <row r="1494">
      <c r="A1494" t="n">
        <v>1493</v>
      </c>
      <c r="B1494">
        <f>Schedule!$A$216</f>
        <v/>
      </c>
      <c r="C1494">
        <f>Schedule!$D$216</f>
        <v/>
      </c>
      <c r="D1494">
        <f>Schedule!$F$216</f>
        <v/>
      </c>
      <c r="E1494" t="n">
        <v>1</v>
      </c>
      <c r="F1494">
        <f>Schedule!$H$1</f>
        <v/>
      </c>
      <c r="G1494">
        <f>Schedule!$H$2</f>
        <v/>
      </c>
      <c r="H1494">
        <f>Schedule!$H$216</f>
        <v/>
      </c>
      <c r="I1494">
        <f>IF($N1494=1,VALUE(LEFT($H1494,2)),"")</f>
        <v/>
      </c>
      <c r="J1494">
        <f>IF($N1494=1,VALUE(MID($H1494,9,2)),"")</f>
        <v/>
      </c>
      <c r="K1494">
        <f>IF($N1494=1,MOD($J1494-$I1494,24),0)</f>
        <v/>
      </c>
      <c r="L1494">
        <f>IF($N1494=1,$E1494*24+$I1494,"")</f>
        <v/>
      </c>
      <c r="M1494">
        <f>IF($N1494=1,$L1494+$K1494,"")</f>
        <v/>
      </c>
      <c r="N1494">
        <f>IF(ISNUMBER(SEARCH(" - ",$H1494&amp;"")),1,0)</f>
        <v/>
      </c>
      <c r="O1494">
        <f>IF(UPPER($H1494&amp;"")="LEAVE",1,0)</f>
        <v/>
      </c>
      <c r="P1494">
        <f>IF($N1494=1,$K1494,0)</f>
        <v/>
      </c>
      <c r="Q1494">
        <f>IF($N1494=0,"",IFERROR($L1494-LOOKUP(2,1/(($B$2:$B1493=$B1494)*($N$2:$N1493=1)),$M$2:$M1493),""))</f>
        <v/>
      </c>
    </row>
    <row r="1495">
      <c r="A1495" t="n">
        <v>1494</v>
      </c>
      <c r="B1495">
        <f>Schedule!$A$216</f>
        <v/>
      </c>
      <c r="C1495">
        <f>Schedule!$D$216</f>
        <v/>
      </c>
      <c r="D1495">
        <f>Schedule!$F$216</f>
        <v/>
      </c>
      <c r="E1495" t="n">
        <v>2</v>
      </c>
      <c r="F1495">
        <f>Schedule!$I$1</f>
        <v/>
      </c>
      <c r="G1495">
        <f>Schedule!$I$2</f>
        <v/>
      </c>
      <c r="H1495">
        <f>Schedule!$I$216</f>
        <v/>
      </c>
      <c r="I1495">
        <f>IF($N1495=1,VALUE(LEFT($H1495,2)),"")</f>
        <v/>
      </c>
      <c r="J1495">
        <f>IF($N1495=1,VALUE(MID($H1495,9,2)),"")</f>
        <v/>
      </c>
      <c r="K1495">
        <f>IF($N1495=1,MOD($J1495-$I1495,24),0)</f>
        <v/>
      </c>
      <c r="L1495">
        <f>IF($N1495=1,$E1495*24+$I1495,"")</f>
        <v/>
      </c>
      <c r="M1495">
        <f>IF($N1495=1,$L1495+$K1495,"")</f>
        <v/>
      </c>
      <c r="N1495">
        <f>IF(ISNUMBER(SEARCH(" - ",$H1495&amp;"")),1,0)</f>
        <v/>
      </c>
      <c r="O1495">
        <f>IF(UPPER($H1495&amp;"")="LEAVE",1,0)</f>
        <v/>
      </c>
      <c r="P1495">
        <f>IF($N1495=1,$K1495,0)</f>
        <v/>
      </c>
      <c r="Q1495">
        <f>IF($N1495=0,"",IFERROR($L1495-LOOKUP(2,1/(($B$2:$B1494=$B1495)*($N$2:$N1494=1)),$M$2:$M1494),""))</f>
        <v/>
      </c>
    </row>
    <row r="1496">
      <c r="A1496" t="n">
        <v>1495</v>
      </c>
      <c r="B1496">
        <f>Schedule!$A$216</f>
        <v/>
      </c>
      <c r="C1496">
        <f>Schedule!$D$216</f>
        <v/>
      </c>
      <c r="D1496">
        <f>Schedule!$F$216</f>
        <v/>
      </c>
      <c r="E1496" t="n">
        <v>3</v>
      </c>
      <c r="F1496">
        <f>Schedule!$J$1</f>
        <v/>
      </c>
      <c r="G1496">
        <f>Schedule!$J$2</f>
        <v/>
      </c>
      <c r="H1496">
        <f>Schedule!$J$216</f>
        <v/>
      </c>
      <c r="I1496">
        <f>IF($N1496=1,VALUE(LEFT($H1496,2)),"")</f>
        <v/>
      </c>
      <c r="J1496">
        <f>IF($N1496=1,VALUE(MID($H1496,9,2)),"")</f>
        <v/>
      </c>
      <c r="K1496">
        <f>IF($N1496=1,MOD($J1496-$I1496,24),0)</f>
        <v/>
      </c>
      <c r="L1496">
        <f>IF($N1496=1,$E1496*24+$I1496,"")</f>
        <v/>
      </c>
      <c r="M1496">
        <f>IF($N1496=1,$L1496+$K1496,"")</f>
        <v/>
      </c>
      <c r="N1496">
        <f>IF(ISNUMBER(SEARCH(" - ",$H1496&amp;"")),1,0)</f>
        <v/>
      </c>
      <c r="O1496">
        <f>IF(UPPER($H1496&amp;"")="LEAVE",1,0)</f>
        <v/>
      </c>
      <c r="P1496">
        <f>IF($N1496=1,$K1496,0)</f>
        <v/>
      </c>
      <c r="Q1496">
        <f>IF($N1496=0,"",IFERROR($L1496-LOOKUP(2,1/(($B$2:$B1495=$B1496)*($N$2:$N1495=1)),$M$2:$M1495),""))</f>
        <v/>
      </c>
    </row>
    <row r="1497">
      <c r="A1497" t="n">
        <v>1496</v>
      </c>
      <c r="B1497">
        <f>Schedule!$A$216</f>
        <v/>
      </c>
      <c r="C1497">
        <f>Schedule!$D$216</f>
        <v/>
      </c>
      <c r="D1497">
        <f>Schedule!$F$216</f>
        <v/>
      </c>
      <c r="E1497" t="n">
        <v>4</v>
      </c>
      <c r="F1497">
        <f>Schedule!$K$1</f>
        <v/>
      </c>
      <c r="G1497">
        <f>Schedule!$K$2</f>
        <v/>
      </c>
      <c r="H1497">
        <f>Schedule!$K$216</f>
        <v/>
      </c>
      <c r="I1497">
        <f>IF($N1497=1,VALUE(LEFT($H1497,2)),"")</f>
        <v/>
      </c>
      <c r="J1497">
        <f>IF($N1497=1,VALUE(MID($H1497,9,2)),"")</f>
        <v/>
      </c>
      <c r="K1497">
        <f>IF($N1497=1,MOD($J1497-$I1497,24),0)</f>
        <v/>
      </c>
      <c r="L1497">
        <f>IF($N1497=1,$E1497*24+$I1497,"")</f>
        <v/>
      </c>
      <c r="M1497">
        <f>IF($N1497=1,$L1497+$K1497,"")</f>
        <v/>
      </c>
      <c r="N1497">
        <f>IF(ISNUMBER(SEARCH(" - ",$H1497&amp;"")),1,0)</f>
        <v/>
      </c>
      <c r="O1497">
        <f>IF(UPPER($H1497&amp;"")="LEAVE",1,0)</f>
        <v/>
      </c>
      <c r="P1497">
        <f>IF($N1497=1,$K1497,0)</f>
        <v/>
      </c>
      <c r="Q1497">
        <f>IF($N1497=0,"",IFERROR($L1497-LOOKUP(2,1/(($B$2:$B1496=$B1497)*($N$2:$N1496=1)),$M$2:$M1496),""))</f>
        <v/>
      </c>
    </row>
    <row r="1498">
      <c r="A1498" t="n">
        <v>1497</v>
      </c>
      <c r="B1498">
        <f>Schedule!$A$216</f>
        <v/>
      </c>
      <c r="C1498">
        <f>Schedule!$D$216</f>
        <v/>
      </c>
      <c r="D1498">
        <f>Schedule!$F$216</f>
        <v/>
      </c>
      <c r="E1498" t="n">
        <v>5</v>
      </c>
      <c r="F1498">
        <f>Schedule!$L$1</f>
        <v/>
      </c>
      <c r="G1498">
        <f>Schedule!$L$2</f>
        <v/>
      </c>
      <c r="H1498">
        <f>Schedule!$L$216</f>
        <v/>
      </c>
      <c r="I1498">
        <f>IF($N1498=1,VALUE(LEFT($H1498,2)),"")</f>
        <v/>
      </c>
      <c r="J1498">
        <f>IF($N1498=1,VALUE(MID($H1498,9,2)),"")</f>
        <v/>
      </c>
      <c r="K1498">
        <f>IF($N1498=1,MOD($J1498-$I1498,24),0)</f>
        <v/>
      </c>
      <c r="L1498">
        <f>IF($N1498=1,$E1498*24+$I1498,"")</f>
        <v/>
      </c>
      <c r="M1498">
        <f>IF($N1498=1,$L1498+$K1498,"")</f>
        <v/>
      </c>
      <c r="N1498">
        <f>IF(ISNUMBER(SEARCH(" - ",$H1498&amp;"")),1,0)</f>
        <v/>
      </c>
      <c r="O1498">
        <f>IF(UPPER($H1498&amp;"")="LEAVE",1,0)</f>
        <v/>
      </c>
      <c r="P1498">
        <f>IF($N1498=1,$K1498,0)</f>
        <v/>
      </c>
      <c r="Q1498">
        <f>IF($N1498=0,"",IFERROR($L1498-LOOKUP(2,1/(($B$2:$B1497=$B1498)*($N$2:$N1497=1)),$M$2:$M1497),""))</f>
        <v/>
      </c>
    </row>
    <row r="1499">
      <c r="A1499" t="n">
        <v>1498</v>
      </c>
      <c r="B1499">
        <f>Schedule!$A$216</f>
        <v/>
      </c>
      <c r="C1499">
        <f>Schedule!$D$216</f>
        <v/>
      </c>
      <c r="D1499">
        <f>Schedule!$F$216</f>
        <v/>
      </c>
      <c r="E1499" t="n">
        <v>6</v>
      </c>
      <c r="F1499">
        <f>Schedule!$M$1</f>
        <v/>
      </c>
      <c r="G1499">
        <f>Schedule!$M$2</f>
        <v/>
      </c>
      <c r="H1499">
        <f>Schedule!$M$216</f>
        <v/>
      </c>
      <c r="I1499">
        <f>IF($N1499=1,VALUE(LEFT($H1499,2)),"")</f>
        <v/>
      </c>
      <c r="J1499">
        <f>IF($N1499=1,VALUE(MID($H1499,9,2)),"")</f>
        <v/>
      </c>
      <c r="K1499">
        <f>IF($N1499=1,MOD($J1499-$I1499,24),0)</f>
        <v/>
      </c>
      <c r="L1499">
        <f>IF($N1499=1,$E1499*24+$I1499,"")</f>
        <v/>
      </c>
      <c r="M1499">
        <f>IF($N1499=1,$L1499+$K1499,"")</f>
        <v/>
      </c>
      <c r="N1499">
        <f>IF(ISNUMBER(SEARCH(" - ",$H1499&amp;"")),1,0)</f>
        <v/>
      </c>
      <c r="O1499">
        <f>IF(UPPER($H1499&amp;"")="LEAVE",1,0)</f>
        <v/>
      </c>
      <c r="P1499">
        <f>IF($N1499=1,$K1499,0)</f>
        <v/>
      </c>
      <c r="Q1499">
        <f>IF($N1499=0,"",IFERROR($L1499-LOOKUP(2,1/(($B$2:$B1498=$B1499)*($N$2:$N1498=1)),$M$2:$M1498),""))</f>
        <v/>
      </c>
    </row>
    <row r="1500">
      <c r="A1500" t="n">
        <v>1499</v>
      </c>
      <c r="B1500">
        <f>Schedule!$A$217</f>
        <v/>
      </c>
      <c r="C1500">
        <f>Schedule!$D$217</f>
        <v/>
      </c>
      <c r="D1500">
        <f>Schedule!$F$217</f>
        <v/>
      </c>
      <c r="E1500" t="n">
        <v>0</v>
      </c>
      <c r="F1500">
        <f>Schedule!$G$1</f>
        <v/>
      </c>
      <c r="G1500">
        <f>Schedule!$G$2</f>
        <v/>
      </c>
      <c r="H1500">
        <f>Schedule!$G$217</f>
        <v/>
      </c>
      <c r="I1500">
        <f>IF($N1500=1,VALUE(LEFT($H1500,2)),"")</f>
        <v/>
      </c>
      <c r="J1500">
        <f>IF($N1500=1,VALUE(MID($H1500,9,2)),"")</f>
        <v/>
      </c>
      <c r="K1500">
        <f>IF($N1500=1,MOD($J1500-$I1500,24),0)</f>
        <v/>
      </c>
      <c r="L1500">
        <f>IF($N1500=1,$E1500*24+$I1500,"")</f>
        <v/>
      </c>
      <c r="M1500">
        <f>IF($N1500=1,$L1500+$K1500,"")</f>
        <v/>
      </c>
      <c r="N1500">
        <f>IF(ISNUMBER(SEARCH(" - ",$H1500&amp;"")),1,0)</f>
        <v/>
      </c>
      <c r="O1500">
        <f>IF(UPPER($H1500&amp;"")="LEAVE",1,0)</f>
        <v/>
      </c>
      <c r="P1500">
        <f>IF($N1500=1,$K1500,0)</f>
        <v/>
      </c>
      <c r="Q1500">
        <f>IF($N1500=0,"",IFERROR($L1500-'Previous Engine'!$M$216,""))</f>
        <v/>
      </c>
    </row>
    <row r="1501">
      <c r="A1501" t="n">
        <v>1500</v>
      </c>
      <c r="B1501">
        <f>Schedule!$A$217</f>
        <v/>
      </c>
      <c r="C1501">
        <f>Schedule!$D$217</f>
        <v/>
      </c>
      <c r="D1501">
        <f>Schedule!$F$217</f>
        <v/>
      </c>
      <c r="E1501" t="n">
        <v>1</v>
      </c>
      <c r="F1501">
        <f>Schedule!$H$1</f>
        <v/>
      </c>
      <c r="G1501">
        <f>Schedule!$H$2</f>
        <v/>
      </c>
      <c r="H1501">
        <f>Schedule!$H$217</f>
        <v/>
      </c>
      <c r="I1501">
        <f>IF($N1501=1,VALUE(LEFT($H1501,2)),"")</f>
        <v/>
      </c>
      <c r="J1501">
        <f>IF($N1501=1,VALUE(MID($H1501,9,2)),"")</f>
        <v/>
      </c>
      <c r="K1501">
        <f>IF($N1501=1,MOD($J1501-$I1501,24),0)</f>
        <v/>
      </c>
      <c r="L1501">
        <f>IF($N1501=1,$E1501*24+$I1501,"")</f>
        <v/>
      </c>
      <c r="M1501">
        <f>IF($N1501=1,$L1501+$K1501,"")</f>
        <v/>
      </c>
      <c r="N1501">
        <f>IF(ISNUMBER(SEARCH(" - ",$H1501&amp;"")),1,0)</f>
        <v/>
      </c>
      <c r="O1501">
        <f>IF(UPPER($H1501&amp;"")="LEAVE",1,0)</f>
        <v/>
      </c>
      <c r="P1501">
        <f>IF($N1501=1,$K1501,0)</f>
        <v/>
      </c>
      <c r="Q1501">
        <f>IF($N1501=0,"",IFERROR($L1501-LOOKUP(2,1/(($B$2:$B1500=$B1501)*($N$2:$N1500=1)),$M$2:$M1500),""))</f>
        <v/>
      </c>
    </row>
    <row r="1502">
      <c r="A1502" t="n">
        <v>1501</v>
      </c>
      <c r="B1502">
        <f>Schedule!$A$217</f>
        <v/>
      </c>
      <c r="C1502">
        <f>Schedule!$D$217</f>
        <v/>
      </c>
      <c r="D1502">
        <f>Schedule!$F$217</f>
        <v/>
      </c>
      <c r="E1502" t="n">
        <v>2</v>
      </c>
      <c r="F1502">
        <f>Schedule!$I$1</f>
        <v/>
      </c>
      <c r="G1502">
        <f>Schedule!$I$2</f>
        <v/>
      </c>
      <c r="H1502">
        <f>Schedule!$I$217</f>
        <v/>
      </c>
      <c r="I1502">
        <f>IF($N1502=1,VALUE(LEFT($H1502,2)),"")</f>
        <v/>
      </c>
      <c r="J1502">
        <f>IF($N1502=1,VALUE(MID($H1502,9,2)),"")</f>
        <v/>
      </c>
      <c r="K1502">
        <f>IF($N1502=1,MOD($J1502-$I1502,24),0)</f>
        <v/>
      </c>
      <c r="L1502">
        <f>IF($N1502=1,$E1502*24+$I1502,"")</f>
        <v/>
      </c>
      <c r="M1502">
        <f>IF($N1502=1,$L1502+$K1502,"")</f>
        <v/>
      </c>
      <c r="N1502">
        <f>IF(ISNUMBER(SEARCH(" - ",$H1502&amp;"")),1,0)</f>
        <v/>
      </c>
      <c r="O1502">
        <f>IF(UPPER($H1502&amp;"")="LEAVE",1,0)</f>
        <v/>
      </c>
      <c r="P1502">
        <f>IF($N1502=1,$K1502,0)</f>
        <v/>
      </c>
      <c r="Q1502">
        <f>IF($N1502=0,"",IFERROR($L1502-LOOKUP(2,1/(($B$2:$B1501=$B1502)*($N$2:$N1501=1)),$M$2:$M1501),""))</f>
        <v/>
      </c>
    </row>
    <row r="1503">
      <c r="A1503" t="n">
        <v>1502</v>
      </c>
      <c r="B1503">
        <f>Schedule!$A$217</f>
        <v/>
      </c>
      <c r="C1503">
        <f>Schedule!$D$217</f>
        <v/>
      </c>
      <c r="D1503">
        <f>Schedule!$F$217</f>
        <v/>
      </c>
      <c r="E1503" t="n">
        <v>3</v>
      </c>
      <c r="F1503">
        <f>Schedule!$J$1</f>
        <v/>
      </c>
      <c r="G1503">
        <f>Schedule!$J$2</f>
        <v/>
      </c>
      <c r="H1503">
        <f>Schedule!$J$217</f>
        <v/>
      </c>
      <c r="I1503">
        <f>IF($N1503=1,VALUE(LEFT($H1503,2)),"")</f>
        <v/>
      </c>
      <c r="J1503">
        <f>IF($N1503=1,VALUE(MID($H1503,9,2)),"")</f>
        <v/>
      </c>
      <c r="K1503">
        <f>IF($N1503=1,MOD($J1503-$I1503,24),0)</f>
        <v/>
      </c>
      <c r="L1503">
        <f>IF($N1503=1,$E1503*24+$I1503,"")</f>
        <v/>
      </c>
      <c r="M1503">
        <f>IF($N1503=1,$L1503+$K1503,"")</f>
        <v/>
      </c>
      <c r="N1503">
        <f>IF(ISNUMBER(SEARCH(" - ",$H1503&amp;"")),1,0)</f>
        <v/>
      </c>
      <c r="O1503">
        <f>IF(UPPER($H1503&amp;"")="LEAVE",1,0)</f>
        <v/>
      </c>
      <c r="P1503">
        <f>IF($N1503=1,$K1503,0)</f>
        <v/>
      </c>
      <c r="Q1503">
        <f>IF($N1503=0,"",IFERROR($L1503-LOOKUP(2,1/(($B$2:$B1502=$B1503)*($N$2:$N1502=1)),$M$2:$M1502),""))</f>
        <v/>
      </c>
    </row>
    <row r="1504">
      <c r="A1504" t="n">
        <v>1503</v>
      </c>
      <c r="B1504">
        <f>Schedule!$A$217</f>
        <v/>
      </c>
      <c r="C1504">
        <f>Schedule!$D$217</f>
        <v/>
      </c>
      <c r="D1504">
        <f>Schedule!$F$217</f>
        <v/>
      </c>
      <c r="E1504" t="n">
        <v>4</v>
      </c>
      <c r="F1504">
        <f>Schedule!$K$1</f>
        <v/>
      </c>
      <c r="G1504">
        <f>Schedule!$K$2</f>
        <v/>
      </c>
      <c r="H1504">
        <f>Schedule!$K$217</f>
        <v/>
      </c>
      <c r="I1504">
        <f>IF($N1504=1,VALUE(LEFT($H1504,2)),"")</f>
        <v/>
      </c>
      <c r="J1504">
        <f>IF($N1504=1,VALUE(MID($H1504,9,2)),"")</f>
        <v/>
      </c>
      <c r="K1504">
        <f>IF($N1504=1,MOD($J1504-$I1504,24),0)</f>
        <v/>
      </c>
      <c r="L1504">
        <f>IF($N1504=1,$E1504*24+$I1504,"")</f>
        <v/>
      </c>
      <c r="M1504">
        <f>IF($N1504=1,$L1504+$K1504,"")</f>
        <v/>
      </c>
      <c r="N1504">
        <f>IF(ISNUMBER(SEARCH(" - ",$H1504&amp;"")),1,0)</f>
        <v/>
      </c>
      <c r="O1504">
        <f>IF(UPPER($H1504&amp;"")="LEAVE",1,0)</f>
        <v/>
      </c>
      <c r="P1504">
        <f>IF($N1504=1,$K1504,0)</f>
        <v/>
      </c>
      <c r="Q1504">
        <f>IF($N1504=0,"",IFERROR($L1504-LOOKUP(2,1/(($B$2:$B1503=$B1504)*($N$2:$N1503=1)),$M$2:$M1503),""))</f>
        <v/>
      </c>
    </row>
    <row r="1505">
      <c r="A1505" t="n">
        <v>1504</v>
      </c>
      <c r="B1505">
        <f>Schedule!$A$217</f>
        <v/>
      </c>
      <c r="C1505">
        <f>Schedule!$D$217</f>
        <v/>
      </c>
      <c r="D1505">
        <f>Schedule!$F$217</f>
        <v/>
      </c>
      <c r="E1505" t="n">
        <v>5</v>
      </c>
      <c r="F1505">
        <f>Schedule!$L$1</f>
        <v/>
      </c>
      <c r="G1505">
        <f>Schedule!$L$2</f>
        <v/>
      </c>
      <c r="H1505">
        <f>Schedule!$L$217</f>
        <v/>
      </c>
      <c r="I1505">
        <f>IF($N1505=1,VALUE(LEFT($H1505,2)),"")</f>
        <v/>
      </c>
      <c r="J1505">
        <f>IF($N1505=1,VALUE(MID($H1505,9,2)),"")</f>
        <v/>
      </c>
      <c r="K1505">
        <f>IF($N1505=1,MOD($J1505-$I1505,24),0)</f>
        <v/>
      </c>
      <c r="L1505">
        <f>IF($N1505=1,$E1505*24+$I1505,"")</f>
        <v/>
      </c>
      <c r="M1505">
        <f>IF($N1505=1,$L1505+$K1505,"")</f>
        <v/>
      </c>
      <c r="N1505">
        <f>IF(ISNUMBER(SEARCH(" - ",$H1505&amp;"")),1,0)</f>
        <v/>
      </c>
      <c r="O1505">
        <f>IF(UPPER($H1505&amp;"")="LEAVE",1,0)</f>
        <v/>
      </c>
      <c r="P1505">
        <f>IF($N1505=1,$K1505,0)</f>
        <v/>
      </c>
      <c r="Q1505">
        <f>IF($N1505=0,"",IFERROR($L1505-LOOKUP(2,1/(($B$2:$B1504=$B1505)*($N$2:$N1504=1)),$M$2:$M1504),""))</f>
        <v/>
      </c>
    </row>
    <row r="1506">
      <c r="A1506" t="n">
        <v>1505</v>
      </c>
      <c r="B1506">
        <f>Schedule!$A$217</f>
        <v/>
      </c>
      <c r="C1506">
        <f>Schedule!$D$217</f>
        <v/>
      </c>
      <c r="D1506">
        <f>Schedule!$F$217</f>
        <v/>
      </c>
      <c r="E1506" t="n">
        <v>6</v>
      </c>
      <c r="F1506">
        <f>Schedule!$M$1</f>
        <v/>
      </c>
      <c r="G1506">
        <f>Schedule!$M$2</f>
        <v/>
      </c>
      <c r="H1506">
        <f>Schedule!$M$217</f>
        <v/>
      </c>
      <c r="I1506">
        <f>IF($N1506=1,VALUE(LEFT($H1506,2)),"")</f>
        <v/>
      </c>
      <c r="J1506">
        <f>IF($N1506=1,VALUE(MID($H1506,9,2)),"")</f>
        <v/>
      </c>
      <c r="K1506">
        <f>IF($N1506=1,MOD($J1506-$I1506,24),0)</f>
        <v/>
      </c>
      <c r="L1506">
        <f>IF($N1506=1,$E1506*24+$I1506,"")</f>
        <v/>
      </c>
      <c r="M1506">
        <f>IF($N1506=1,$L1506+$K1506,"")</f>
        <v/>
      </c>
      <c r="N1506">
        <f>IF(ISNUMBER(SEARCH(" - ",$H1506&amp;"")),1,0)</f>
        <v/>
      </c>
      <c r="O1506">
        <f>IF(UPPER($H1506&amp;"")="LEAVE",1,0)</f>
        <v/>
      </c>
      <c r="P1506">
        <f>IF($N1506=1,$K1506,0)</f>
        <v/>
      </c>
      <c r="Q1506">
        <f>IF($N1506=0,"",IFERROR($L1506-LOOKUP(2,1/(($B$2:$B1505=$B1506)*($N$2:$N1505=1)),$M$2:$M1505),""))</f>
        <v/>
      </c>
    </row>
    <row r="1507">
      <c r="A1507" t="n">
        <v>1506</v>
      </c>
      <c r="B1507">
        <f>Schedule!$A$218</f>
        <v/>
      </c>
      <c r="C1507">
        <f>Schedule!$D$218</f>
        <v/>
      </c>
      <c r="D1507">
        <f>Schedule!$F$218</f>
        <v/>
      </c>
      <c r="E1507" t="n">
        <v>0</v>
      </c>
      <c r="F1507">
        <f>Schedule!$G$1</f>
        <v/>
      </c>
      <c r="G1507">
        <f>Schedule!$G$2</f>
        <v/>
      </c>
      <c r="H1507">
        <f>Schedule!$G$218</f>
        <v/>
      </c>
      <c r="I1507">
        <f>IF($N1507=1,VALUE(LEFT($H1507,2)),"")</f>
        <v/>
      </c>
      <c r="J1507">
        <f>IF($N1507=1,VALUE(MID($H1507,9,2)),"")</f>
        <v/>
      </c>
      <c r="K1507">
        <f>IF($N1507=1,MOD($J1507-$I1507,24),0)</f>
        <v/>
      </c>
      <c r="L1507">
        <f>IF($N1507=1,$E1507*24+$I1507,"")</f>
        <v/>
      </c>
      <c r="M1507">
        <f>IF($N1507=1,$L1507+$K1507,"")</f>
        <v/>
      </c>
      <c r="N1507">
        <f>IF(ISNUMBER(SEARCH(" - ",$H1507&amp;"")),1,0)</f>
        <v/>
      </c>
      <c r="O1507">
        <f>IF(UPPER($H1507&amp;"")="LEAVE",1,0)</f>
        <v/>
      </c>
      <c r="P1507">
        <f>IF($N1507=1,$K1507,0)</f>
        <v/>
      </c>
      <c r="Q1507">
        <f>IF($N1507=0,"",IFERROR($L1507-'Previous Engine'!$M$217,""))</f>
        <v/>
      </c>
    </row>
    <row r="1508">
      <c r="A1508" t="n">
        <v>1507</v>
      </c>
      <c r="B1508">
        <f>Schedule!$A$218</f>
        <v/>
      </c>
      <c r="C1508">
        <f>Schedule!$D$218</f>
        <v/>
      </c>
      <c r="D1508">
        <f>Schedule!$F$218</f>
        <v/>
      </c>
      <c r="E1508" t="n">
        <v>1</v>
      </c>
      <c r="F1508">
        <f>Schedule!$H$1</f>
        <v/>
      </c>
      <c r="G1508">
        <f>Schedule!$H$2</f>
        <v/>
      </c>
      <c r="H1508">
        <f>Schedule!$H$218</f>
        <v/>
      </c>
      <c r="I1508">
        <f>IF($N1508=1,VALUE(LEFT($H1508,2)),"")</f>
        <v/>
      </c>
      <c r="J1508">
        <f>IF($N1508=1,VALUE(MID($H1508,9,2)),"")</f>
        <v/>
      </c>
      <c r="K1508">
        <f>IF($N1508=1,MOD($J1508-$I1508,24),0)</f>
        <v/>
      </c>
      <c r="L1508">
        <f>IF($N1508=1,$E1508*24+$I1508,"")</f>
        <v/>
      </c>
      <c r="M1508">
        <f>IF($N1508=1,$L1508+$K1508,"")</f>
        <v/>
      </c>
      <c r="N1508">
        <f>IF(ISNUMBER(SEARCH(" - ",$H1508&amp;"")),1,0)</f>
        <v/>
      </c>
      <c r="O1508">
        <f>IF(UPPER($H1508&amp;"")="LEAVE",1,0)</f>
        <v/>
      </c>
      <c r="P1508">
        <f>IF($N1508=1,$K1508,0)</f>
        <v/>
      </c>
      <c r="Q1508">
        <f>IF($N1508=0,"",IFERROR($L1508-LOOKUP(2,1/(($B$2:$B1507=$B1508)*($N$2:$N1507=1)),$M$2:$M1507),""))</f>
        <v/>
      </c>
    </row>
    <row r="1509">
      <c r="A1509" t="n">
        <v>1508</v>
      </c>
      <c r="B1509">
        <f>Schedule!$A$218</f>
        <v/>
      </c>
      <c r="C1509">
        <f>Schedule!$D$218</f>
        <v/>
      </c>
      <c r="D1509">
        <f>Schedule!$F$218</f>
        <v/>
      </c>
      <c r="E1509" t="n">
        <v>2</v>
      </c>
      <c r="F1509">
        <f>Schedule!$I$1</f>
        <v/>
      </c>
      <c r="G1509">
        <f>Schedule!$I$2</f>
        <v/>
      </c>
      <c r="H1509">
        <f>Schedule!$I$218</f>
        <v/>
      </c>
      <c r="I1509">
        <f>IF($N1509=1,VALUE(LEFT($H1509,2)),"")</f>
        <v/>
      </c>
      <c r="J1509">
        <f>IF($N1509=1,VALUE(MID($H1509,9,2)),"")</f>
        <v/>
      </c>
      <c r="K1509">
        <f>IF($N1509=1,MOD($J1509-$I1509,24),0)</f>
        <v/>
      </c>
      <c r="L1509">
        <f>IF($N1509=1,$E1509*24+$I1509,"")</f>
        <v/>
      </c>
      <c r="M1509">
        <f>IF($N1509=1,$L1509+$K1509,"")</f>
        <v/>
      </c>
      <c r="N1509">
        <f>IF(ISNUMBER(SEARCH(" - ",$H1509&amp;"")),1,0)</f>
        <v/>
      </c>
      <c r="O1509">
        <f>IF(UPPER($H1509&amp;"")="LEAVE",1,0)</f>
        <v/>
      </c>
      <c r="P1509">
        <f>IF($N1509=1,$K1509,0)</f>
        <v/>
      </c>
      <c r="Q1509">
        <f>IF($N1509=0,"",IFERROR($L1509-LOOKUP(2,1/(($B$2:$B1508=$B1509)*($N$2:$N1508=1)),$M$2:$M1508),""))</f>
        <v/>
      </c>
    </row>
    <row r="1510">
      <c r="A1510" t="n">
        <v>1509</v>
      </c>
      <c r="B1510">
        <f>Schedule!$A$218</f>
        <v/>
      </c>
      <c r="C1510">
        <f>Schedule!$D$218</f>
        <v/>
      </c>
      <c r="D1510">
        <f>Schedule!$F$218</f>
        <v/>
      </c>
      <c r="E1510" t="n">
        <v>3</v>
      </c>
      <c r="F1510">
        <f>Schedule!$J$1</f>
        <v/>
      </c>
      <c r="G1510">
        <f>Schedule!$J$2</f>
        <v/>
      </c>
      <c r="H1510">
        <f>Schedule!$J$218</f>
        <v/>
      </c>
      <c r="I1510">
        <f>IF($N1510=1,VALUE(LEFT($H1510,2)),"")</f>
        <v/>
      </c>
      <c r="J1510">
        <f>IF($N1510=1,VALUE(MID($H1510,9,2)),"")</f>
        <v/>
      </c>
      <c r="K1510">
        <f>IF($N1510=1,MOD($J1510-$I1510,24),0)</f>
        <v/>
      </c>
      <c r="L1510">
        <f>IF($N1510=1,$E1510*24+$I1510,"")</f>
        <v/>
      </c>
      <c r="M1510">
        <f>IF($N1510=1,$L1510+$K1510,"")</f>
        <v/>
      </c>
      <c r="N1510">
        <f>IF(ISNUMBER(SEARCH(" - ",$H1510&amp;"")),1,0)</f>
        <v/>
      </c>
      <c r="O1510">
        <f>IF(UPPER($H1510&amp;"")="LEAVE",1,0)</f>
        <v/>
      </c>
      <c r="P1510">
        <f>IF($N1510=1,$K1510,0)</f>
        <v/>
      </c>
      <c r="Q1510">
        <f>IF($N1510=0,"",IFERROR($L1510-LOOKUP(2,1/(($B$2:$B1509=$B1510)*($N$2:$N1509=1)),$M$2:$M1509),""))</f>
        <v/>
      </c>
    </row>
    <row r="1511">
      <c r="A1511" t="n">
        <v>1510</v>
      </c>
      <c r="B1511">
        <f>Schedule!$A$218</f>
        <v/>
      </c>
      <c r="C1511">
        <f>Schedule!$D$218</f>
        <v/>
      </c>
      <c r="D1511">
        <f>Schedule!$F$218</f>
        <v/>
      </c>
      <c r="E1511" t="n">
        <v>4</v>
      </c>
      <c r="F1511">
        <f>Schedule!$K$1</f>
        <v/>
      </c>
      <c r="G1511">
        <f>Schedule!$K$2</f>
        <v/>
      </c>
      <c r="H1511">
        <f>Schedule!$K$218</f>
        <v/>
      </c>
      <c r="I1511">
        <f>IF($N1511=1,VALUE(LEFT($H1511,2)),"")</f>
        <v/>
      </c>
      <c r="J1511">
        <f>IF($N1511=1,VALUE(MID($H1511,9,2)),"")</f>
        <v/>
      </c>
      <c r="K1511">
        <f>IF($N1511=1,MOD($J1511-$I1511,24),0)</f>
        <v/>
      </c>
      <c r="L1511">
        <f>IF($N1511=1,$E1511*24+$I1511,"")</f>
        <v/>
      </c>
      <c r="M1511">
        <f>IF($N1511=1,$L1511+$K1511,"")</f>
        <v/>
      </c>
      <c r="N1511">
        <f>IF(ISNUMBER(SEARCH(" - ",$H1511&amp;"")),1,0)</f>
        <v/>
      </c>
      <c r="O1511">
        <f>IF(UPPER($H1511&amp;"")="LEAVE",1,0)</f>
        <v/>
      </c>
      <c r="P1511">
        <f>IF($N1511=1,$K1511,0)</f>
        <v/>
      </c>
      <c r="Q1511">
        <f>IF($N1511=0,"",IFERROR($L1511-LOOKUP(2,1/(($B$2:$B1510=$B1511)*($N$2:$N1510=1)),$M$2:$M1510),""))</f>
        <v/>
      </c>
    </row>
    <row r="1512">
      <c r="A1512" t="n">
        <v>1511</v>
      </c>
      <c r="B1512">
        <f>Schedule!$A$218</f>
        <v/>
      </c>
      <c r="C1512">
        <f>Schedule!$D$218</f>
        <v/>
      </c>
      <c r="D1512">
        <f>Schedule!$F$218</f>
        <v/>
      </c>
      <c r="E1512" t="n">
        <v>5</v>
      </c>
      <c r="F1512">
        <f>Schedule!$L$1</f>
        <v/>
      </c>
      <c r="G1512">
        <f>Schedule!$L$2</f>
        <v/>
      </c>
      <c r="H1512">
        <f>Schedule!$L$218</f>
        <v/>
      </c>
      <c r="I1512">
        <f>IF($N1512=1,VALUE(LEFT($H1512,2)),"")</f>
        <v/>
      </c>
      <c r="J1512">
        <f>IF($N1512=1,VALUE(MID($H1512,9,2)),"")</f>
        <v/>
      </c>
      <c r="K1512">
        <f>IF($N1512=1,MOD($J1512-$I1512,24),0)</f>
        <v/>
      </c>
      <c r="L1512">
        <f>IF($N1512=1,$E1512*24+$I1512,"")</f>
        <v/>
      </c>
      <c r="M1512">
        <f>IF($N1512=1,$L1512+$K1512,"")</f>
        <v/>
      </c>
      <c r="N1512">
        <f>IF(ISNUMBER(SEARCH(" - ",$H1512&amp;"")),1,0)</f>
        <v/>
      </c>
      <c r="O1512">
        <f>IF(UPPER($H1512&amp;"")="LEAVE",1,0)</f>
        <v/>
      </c>
      <c r="P1512">
        <f>IF($N1512=1,$K1512,0)</f>
        <v/>
      </c>
      <c r="Q1512">
        <f>IF($N1512=0,"",IFERROR($L1512-LOOKUP(2,1/(($B$2:$B1511=$B1512)*($N$2:$N1511=1)),$M$2:$M1511),""))</f>
        <v/>
      </c>
    </row>
    <row r="1513">
      <c r="A1513" t="n">
        <v>1512</v>
      </c>
      <c r="B1513">
        <f>Schedule!$A$218</f>
        <v/>
      </c>
      <c r="C1513">
        <f>Schedule!$D$218</f>
        <v/>
      </c>
      <c r="D1513">
        <f>Schedule!$F$218</f>
        <v/>
      </c>
      <c r="E1513" t="n">
        <v>6</v>
      </c>
      <c r="F1513">
        <f>Schedule!$M$1</f>
        <v/>
      </c>
      <c r="G1513">
        <f>Schedule!$M$2</f>
        <v/>
      </c>
      <c r="H1513">
        <f>Schedule!$M$218</f>
        <v/>
      </c>
      <c r="I1513">
        <f>IF($N1513=1,VALUE(LEFT($H1513,2)),"")</f>
        <v/>
      </c>
      <c r="J1513">
        <f>IF($N1513=1,VALUE(MID($H1513,9,2)),"")</f>
        <v/>
      </c>
      <c r="K1513">
        <f>IF($N1513=1,MOD($J1513-$I1513,24),0)</f>
        <v/>
      </c>
      <c r="L1513">
        <f>IF($N1513=1,$E1513*24+$I1513,"")</f>
        <v/>
      </c>
      <c r="M1513">
        <f>IF($N1513=1,$L1513+$K1513,"")</f>
        <v/>
      </c>
      <c r="N1513">
        <f>IF(ISNUMBER(SEARCH(" - ",$H1513&amp;"")),1,0)</f>
        <v/>
      </c>
      <c r="O1513">
        <f>IF(UPPER($H1513&amp;"")="LEAVE",1,0)</f>
        <v/>
      </c>
      <c r="P1513">
        <f>IF($N1513=1,$K1513,0)</f>
        <v/>
      </c>
      <c r="Q1513">
        <f>IF($N1513=0,"",IFERROR($L1513-LOOKUP(2,1/(($B$2:$B1512=$B1513)*($N$2:$N1512=1)),$M$2:$M1512),""))</f>
        <v/>
      </c>
    </row>
    <row r="1514">
      <c r="A1514" t="n">
        <v>1513</v>
      </c>
      <c r="B1514">
        <f>Schedule!$A$219</f>
        <v/>
      </c>
      <c r="C1514">
        <f>Schedule!$D$219</f>
        <v/>
      </c>
      <c r="D1514">
        <f>Schedule!$F$219</f>
        <v/>
      </c>
      <c r="E1514" t="n">
        <v>0</v>
      </c>
      <c r="F1514">
        <f>Schedule!$G$1</f>
        <v/>
      </c>
      <c r="G1514">
        <f>Schedule!$G$2</f>
        <v/>
      </c>
      <c r="H1514">
        <f>Schedule!$G$219</f>
        <v/>
      </c>
      <c r="I1514">
        <f>IF($N1514=1,VALUE(LEFT($H1514,2)),"")</f>
        <v/>
      </c>
      <c r="J1514">
        <f>IF($N1514=1,VALUE(MID($H1514,9,2)),"")</f>
        <v/>
      </c>
      <c r="K1514">
        <f>IF($N1514=1,MOD($J1514-$I1514,24),0)</f>
        <v/>
      </c>
      <c r="L1514">
        <f>IF($N1514=1,$E1514*24+$I1514,"")</f>
        <v/>
      </c>
      <c r="M1514">
        <f>IF($N1514=1,$L1514+$K1514,"")</f>
        <v/>
      </c>
      <c r="N1514">
        <f>IF(ISNUMBER(SEARCH(" - ",$H1514&amp;"")),1,0)</f>
        <v/>
      </c>
      <c r="O1514">
        <f>IF(UPPER($H1514&amp;"")="LEAVE",1,0)</f>
        <v/>
      </c>
      <c r="P1514">
        <f>IF($N1514=1,$K1514,0)</f>
        <v/>
      </c>
      <c r="Q1514">
        <f>IF($N1514=0,"",IFERROR($L1514-'Previous Engine'!$M$218,""))</f>
        <v/>
      </c>
    </row>
    <row r="1515">
      <c r="A1515" t="n">
        <v>1514</v>
      </c>
      <c r="B1515">
        <f>Schedule!$A$219</f>
        <v/>
      </c>
      <c r="C1515">
        <f>Schedule!$D$219</f>
        <v/>
      </c>
      <c r="D1515">
        <f>Schedule!$F$219</f>
        <v/>
      </c>
      <c r="E1515" t="n">
        <v>1</v>
      </c>
      <c r="F1515">
        <f>Schedule!$H$1</f>
        <v/>
      </c>
      <c r="G1515">
        <f>Schedule!$H$2</f>
        <v/>
      </c>
      <c r="H1515">
        <f>Schedule!$H$219</f>
        <v/>
      </c>
      <c r="I1515">
        <f>IF($N1515=1,VALUE(LEFT($H1515,2)),"")</f>
        <v/>
      </c>
      <c r="J1515">
        <f>IF($N1515=1,VALUE(MID($H1515,9,2)),"")</f>
        <v/>
      </c>
      <c r="K1515">
        <f>IF($N1515=1,MOD($J1515-$I1515,24),0)</f>
        <v/>
      </c>
      <c r="L1515">
        <f>IF($N1515=1,$E1515*24+$I1515,"")</f>
        <v/>
      </c>
      <c r="M1515">
        <f>IF($N1515=1,$L1515+$K1515,"")</f>
        <v/>
      </c>
      <c r="N1515">
        <f>IF(ISNUMBER(SEARCH(" - ",$H1515&amp;"")),1,0)</f>
        <v/>
      </c>
      <c r="O1515">
        <f>IF(UPPER($H1515&amp;"")="LEAVE",1,0)</f>
        <v/>
      </c>
      <c r="P1515">
        <f>IF($N1515=1,$K1515,0)</f>
        <v/>
      </c>
      <c r="Q1515">
        <f>IF($N1515=0,"",IFERROR($L1515-LOOKUP(2,1/(($B$2:$B1514=$B1515)*($N$2:$N1514=1)),$M$2:$M1514),""))</f>
        <v/>
      </c>
    </row>
    <row r="1516">
      <c r="A1516" t="n">
        <v>1515</v>
      </c>
      <c r="B1516">
        <f>Schedule!$A$219</f>
        <v/>
      </c>
      <c r="C1516">
        <f>Schedule!$D$219</f>
        <v/>
      </c>
      <c r="D1516">
        <f>Schedule!$F$219</f>
        <v/>
      </c>
      <c r="E1516" t="n">
        <v>2</v>
      </c>
      <c r="F1516">
        <f>Schedule!$I$1</f>
        <v/>
      </c>
      <c r="G1516">
        <f>Schedule!$I$2</f>
        <v/>
      </c>
      <c r="H1516">
        <f>Schedule!$I$219</f>
        <v/>
      </c>
      <c r="I1516">
        <f>IF($N1516=1,VALUE(LEFT($H1516,2)),"")</f>
        <v/>
      </c>
      <c r="J1516">
        <f>IF($N1516=1,VALUE(MID($H1516,9,2)),"")</f>
        <v/>
      </c>
      <c r="K1516">
        <f>IF($N1516=1,MOD($J1516-$I1516,24),0)</f>
        <v/>
      </c>
      <c r="L1516">
        <f>IF($N1516=1,$E1516*24+$I1516,"")</f>
        <v/>
      </c>
      <c r="M1516">
        <f>IF($N1516=1,$L1516+$K1516,"")</f>
        <v/>
      </c>
      <c r="N1516">
        <f>IF(ISNUMBER(SEARCH(" - ",$H1516&amp;"")),1,0)</f>
        <v/>
      </c>
      <c r="O1516">
        <f>IF(UPPER($H1516&amp;"")="LEAVE",1,0)</f>
        <v/>
      </c>
      <c r="P1516">
        <f>IF($N1516=1,$K1516,0)</f>
        <v/>
      </c>
      <c r="Q1516">
        <f>IF($N1516=0,"",IFERROR($L1516-LOOKUP(2,1/(($B$2:$B1515=$B1516)*($N$2:$N1515=1)),$M$2:$M1515),""))</f>
        <v/>
      </c>
    </row>
    <row r="1517">
      <c r="A1517" t="n">
        <v>1516</v>
      </c>
      <c r="B1517">
        <f>Schedule!$A$219</f>
        <v/>
      </c>
      <c r="C1517">
        <f>Schedule!$D$219</f>
        <v/>
      </c>
      <c r="D1517">
        <f>Schedule!$F$219</f>
        <v/>
      </c>
      <c r="E1517" t="n">
        <v>3</v>
      </c>
      <c r="F1517">
        <f>Schedule!$J$1</f>
        <v/>
      </c>
      <c r="G1517">
        <f>Schedule!$J$2</f>
        <v/>
      </c>
      <c r="H1517">
        <f>Schedule!$J$219</f>
        <v/>
      </c>
      <c r="I1517">
        <f>IF($N1517=1,VALUE(LEFT($H1517,2)),"")</f>
        <v/>
      </c>
      <c r="J1517">
        <f>IF($N1517=1,VALUE(MID($H1517,9,2)),"")</f>
        <v/>
      </c>
      <c r="K1517">
        <f>IF($N1517=1,MOD($J1517-$I1517,24),0)</f>
        <v/>
      </c>
      <c r="L1517">
        <f>IF($N1517=1,$E1517*24+$I1517,"")</f>
        <v/>
      </c>
      <c r="M1517">
        <f>IF($N1517=1,$L1517+$K1517,"")</f>
        <v/>
      </c>
      <c r="N1517">
        <f>IF(ISNUMBER(SEARCH(" - ",$H1517&amp;"")),1,0)</f>
        <v/>
      </c>
      <c r="O1517">
        <f>IF(UPPER($H1517&amp;"")="LEAVE",1,0)</f>
        <v/>
      </c>
      <c r="P1517">
        <f>IF($N1517=1,$K1517,0)</f>
        <v/>
      </c>
      <c r="Q1517">
        <f>IF($N1517=0,"",IFERROR($L1517-LOOKUP(2,1/(($B$2:$B1516=$B1517)*($N$2:$N1516=1)),$M$2:$M1516),""))</f>
        <v/>
      </c>
    </row>
    <row r="1518">
      <c r="A1518" t="n">
        <v>1517</v>
      </c>
      <c r="B1518">
        <f>Schedule!$A$219</f>
        <v/>
      </c>
      <c r="C1518">
        <f>Schedule!$D$219</f>
        <v/>
      </c>
      <c r="D1518">
        <f>Schedule!$F$219</f>
        <v/>
      </c>
      <c r="E1518" t="n">
        <v>4</v>
      </c>
      <c r="F1518">
        <f>Schedule!$K$1</f>
        <v/>
      </c>
      <c r="G1518">
        <f>Schedule!$K$2</f>
        <v/>
      </c>
      <c r="H1518">
        <f>Schedule!$K$219</f>
        <v/>
      </c>
      <c r="I1518">
        <f>IF($N1518=1,VALUE(LEFT($H1518,2)),"")</f>
        <v/>
      </c>
      <c r="J1518">
        <f>IF($N1518=1,VALUE(MID($H1518,9,2)),"")</f>
        <v/>
      </c>
      <c r="K1518">
        <f>IF($N1518=1,MOD($J1518-$I1518,24),0)</f>
        <v/>
      </c>
      <c r="L1518">
        <f>IF($N1518=1,$E1518*24+$I1518,"")</f>
        <v/>
      </c>
      <c r="M1518">
        <f>IF($N1518=1,$L1518+$K1518,"")</f>
        <v/>
      </c>
      <c r="N1518">
        <f>IF(ISNUMBER(SEARCH(" - ",$H1518&amp;"")),1,0)</f>
        <v/>
      </c>
      <c r="O1518">
        <f>IF(UPPER($H1518&amp;"")="LEAVE",1,0)</f>
        <v/>
      </c>
      <c r="P1518">
        <f>IF($N1518=1,$K1518,0)</f>
        <v/>
      </c>
      <c r="Q1518">
        <f>IF($N1518=0,"",IFERROR($L1518-LOOKUP(2,1/(($B$2:$B1517=$B1518)*($N$2:$N1517=1)),$M$2:$M1517),""))</f>
        <v/>
      </c>
    </row>
    <row r="1519">
      <c r="A1519" t="n">
        <v>1518</v>
      </c>
      <c r="B1519">
        <f>Schedule!$A$219</f>
        <v/>
      </c>
      <c r="C1519">
        <f>Schedule!$D$219</f>
        <v/>
      </c>
      <c r="D1519">
        <f>Schedule!$F$219</f>
        <v/>
      </c>
      <c r="E1519" t="n">
        <v>5</v>
      </c>
      <c r="F1519">
        <f>Schedule!$L$1</f>
        <v/>
      </c>
      <c r="G1519">
        <f>Schedule!$L$2</f>
        <v/>
      </c>
      <c r="H1519">
        <f>Schedule!$L$219</f>
        <v/>
      </c>
      <c r="I1519">
        <f>IF($N1519=1,VALUE(LEFT($H1519,2)),"")</f>
        <v/>
      </c>
      <c r="J1519">
        <f>IF($N1519=1,VALUE(MID($H1519,9,2)),"")</f>
        <v/>
      </c>
      <c r="K1519">
        <f>IF($N1519=1,MOD($J1519-$I1519,24),0)</f>
        <v/>
      </c>
      <c r="L1519">
        <f>IF($N1519=1,$E1519*24+$I1519,"")</f>
        <v/>
      </c>
      <c r="M1519">
        <f>IF($N1519=1,$L1519+$K1519,"")</f>
        <v/>
      </c>
      <c r="N1519">
        <f>IF(ISNUMBER(SEARCH(" - ",$H1519&amp;"")),1,0)</f>
        <v/>
      </c>
      <c r="O1519">
        <f>IF(UPPER($H1519&amp;"")="LEAVE",1,0)</f>
        <v/>
      </c>
      <c r="P1519">
        <f>IF($N1519=1,$K1519,0)</f>
        <v/>
      </c>
      <c r="Q1519">
        <f>IF($N1519=0,"",IFERROR($L1519-LOOKUP(2,1/(($B$2:$B1518=$B1519)*($N$2:$N1518=1)),$M$2:$M1518),""))</f>
        <v/>
      </c>
    </row>
    <row r="1520">
      <c r="A1520" t="n">
        <v>1519</v>
      </c>
      <c r="B1520">
        <f>Schedule!$A$219</f>
        <v/>
      </c>
      <c r="C1520">
        <f>Schedule!$D$219</f>
        <v/>
      </c>
      <c r="D1520">
        <f>Schedule!$F$219</f>
        <v/>
      </c>
      <c r="E1520" t="n">
        <v>6</v>
      </c>
      <c r="F1520">
        <f>Schedule!$M$1</f>
        <v/>
      </c>
      <c r="G1520">
        <f>Schedule!$M$2</f>
        <v/>
      </c>
      <c r="H1520">
        <f>Schedule!$M$219</f>
        <v/>
      </c>
      <c r="I1520">
        <f>IF($N1520=1,VALUE(LEFT($H1520,2)),"")</f>
        <v/>
      </c>
      <c r="J1520">
        <f>IF($N1520=1,VALUE(MID($H1520,9,2)),"")</f>
        <v/>
      </c>
      <c r="K1520">
        <f>IF($N1520=1,MOD($J1520-$I1520,24),0)</f>
        <v/>
      </c>
      <c r="L1520">
        <f>IF($N1520=1,$E1520*24+$I1520,"")</f>
        <v/>
      </c>
      <c r="M1520">
        <f>IF($N1520=1,$L1520+$K1520,"")</f>
        <v/>
      </c>
      <c r="N1520">
        <f>IF(ISNUMBER(SEARCH(" - ",$H1520&amp;"")),1,0)</f>
        <v/>
      </c>
      <c r="O1520">
        <f>IF(UPPER($H1520&amp;"")="LEAVE",1,0)</f>
        <v/>
      </c>
      <c r="P1520">
        <f>IF($N1520=1,$K1520,0)</f>
        <v/>
      </c>
      <c r="Q1520">
        <f>IF($N1520=0,"",IFERROR($L1520-LOOKUP(2,1/(($B$2:$B1519=$B1520)*($N$2:$N1519=1)),$M$2:$M1519),""))</f>
        <v/>
      </c>
    </row>
    <row r="1521">
      <c r="A1521" t="n">
        <v>1520</v>
      </c>
      <c r="B1521">
        <f>Schedule!$A$220</f>
        <v/>
      </c>
      <c r="C1521">
        <f>Schedule!$D$220</f>
        <v/>
      </c>
      <c r="D1521">
        <f>Schedule!$F$220</f>
        <v/>
      </c>
      <c r="E1521" t="n">
        <v>0</v>
      </c>
      <c r="F1521">
        <f>Schedule!$G$1</f>
        <v/>
      </c>
      <c r="G1521">
        <f>Schedule!$G$2</f>
        <v/>
      </c>
      <c r="H1521">
        <f>Schedule!$G$220</f>
        <v/>
      </c>
      <c r="I1521">
        <f>IF($N1521=1,VALUE(LEFT($H1521,2)),"")</f>
        <v/>
      </c>
      <c r="J1521">
        <f>IF($N1521=1,VALUE(MID($H1521,9,2)),"")</f>
        <v/>
      </c>
      <c r="K1521">
        <f>IF($N1521=1,MOD($J1521-$I1521,24),0)</f>
        <v/>
      </c>
      <c r="L1521">
        <f>IF($N1521=1,$E1521*24+$I1521,"")</f>
        <v/>
      </c>
      <c r="M1521">
        <f>IF($N1521=1,$L1521+$K1521,"")</f>
        <v/>
      </c>
      <c r="N1521">
        <f>IF(ISNUMBER(SEARCH(" - ",$H1521&amp;"")),1,0)</f>
        <v/>
      </c>
      <c r="O1521">
        <f>IF(UPPER($H1521&amp;"")="LEAVE",1,0)</f>
        <v/>
      </c>
      <c r="P1521">
        <f>IF($N1521=1,$K1521,0)</f>
        <v/>
      </c>
      <c r="Q1521">
        <f>IF($N1521=0,"",IFERROR($L1521-'Previous Engine'!$M$219,""))</f>
        <v/>
      </c>
    </row>
    <row r="1522">
      <c r="A1522" t="n">
        <v>1521</v>
      </c>
      <c r="B1522">
        <f>Schedule!$A$220</f>
        <v/>
      </c>
      <c r="C1522">
        <f>Schedule!$D$220</f>
        <v/>
      </c>
      <c r="D1522">
        <f>Schedule!$F$220</f>
        <v/>
      </c>
      <c r="E1522" t="n">
        <v>1</v>
      </c>
      <c r="F1522">
        <f>Schedule!$H$1</f>
        <v/>
      </c>
      <c r="G1522">
        <f>Schedule!$H$2</f>
        <v/>
      </c>
      <c r="H1522">
        <f>Schedule!$H$220</f>
        <v/>
      </c>
      <c r="I1522">
        <f>IF($N1522=1,VALUE(LEFT($H1522,2)),"")</f>
        <v/>
      </c>
      <c r="J1522">
        <f>IF($N1522=1,VALUE(MID($H1522,9,2)),"")</f>
        <v/>
      </c>
      <c r="K1522">
        <f>IF($N1522=1,MOD($J1522-$I1522,24),0)</f>
        <v/>
      </c>
      <c r="L1522">
        <f>IF($N1522=1,$E1522*24+$I1522,"")</f>
        <v/>
      </c>
      <c r="M1522">
        <f>IF($N1522=1,$L1522+$K1522,"")</f>
        <v/>
      </c>
      <c r="N1522">
        <f>IF(ISNUMBER(SEARCH(" - ",$H1522&amp;"")),1,0)</f>
        <v/>
      </c>
      <c r="O1522">
        <f>IF(UPPER($H1522&amp;"")="LEAVE",1,0)</f>
        <v/>
      </c>
      <c r="P1522">
        <f>IF($N1522=1,$K1522,0)</f>
        <v/>
      </c>
      <c r="Q1522">
        <f>IF($N1522=0,"",IFERROR($L1522-LOOKUP(2,1/(($B$2:$B1521=$B1522)*($N$2:$N1521=1)),$M$2:$M1521),""))</f>
        <v/>
      </c>
    </row>
    <row r="1523">
      <c r="A1523" t="n">
        <v>1522</v>
      </c>
      <c r="B1523">
        <f>Schedule!$A$220</f>
        <v/>
      </c>
      <c r="C1523">
        <f>Schedule!$D$220</f>
        <v/>
      </c>
      <c r="D1523">
        <f>Schedule!$F$220</f>
        <v/>
      </c>
      <c r="E1523" t="n">
        <v>2</v>
      </c>
      <c r="F1523">
        <f>Schedule!$I$1</f>
        <v/>
      </c>
      <c r="G1523">
        <f>Schedule!$I$2</f>
        <v/>
      </c>
      <c r="H1523">
        <f>Schedule!$I$220</f>
        <v/>
      </c>
      <c r="I1523">
        <f>IF($N1523=1,VALUE(LEFT($H1523,2)),"")</f>
        <v/>
      </c>
      <c r="J1523">
        <f>IF($N1523=1,VALUE(MID($H1523,9,2)),"")</f>
        <v/>
      </c>
      <c r="K1523">
        <f>IF($N1523=1,MOD($J1523-$I1523,24),0)</f>
        <v/>
      </c>
      <c r="L1523">
        <f>IF($N1523=1,$E1523*24+$I1523,"")</f>
        <v/>
      </c>
      <c r="M1523">
        <f>IF($N1523=1,$L1523+$K1523,"")</f>
        <v/>
      </c>
      <c r="N1523">
        <f>IF(ISNUMBER(SEARCH(" - ",$H1523&amp;"")),1,0)</f>
        <v/>
      </c>
      <c r="O1523">
        <f>IF(UPPER($H1523&amp;"")="LEAVE",1,0)</f>
        <v/>
      </c>
      <c r="P1523">
        <f>IF($N1523=1,$K1523,0)</f>
        <v/>
      </c>
      <c r="Q1523">
        <f>IF($N1523=0,"",IFERROR($L1523-LOOKUP(2,1/(($B$2:$B1522=$B1523)*($N$2:$N1522=1)),$M$2:$M1522),""))</f>
        <v/>
      </c>
    </row>
    <row r="1524">
      <c r="A1524" t="n">
        <v>1523</v>
      </c>
      <c r="B1524">
        <f>Schedule!$A$220</f>
        <v/>
      </c>
      <c r="C1524">
        <f>Schedule!$D$220</f>
        <v/>
      </c>
      <c r="D1524">
        <f>Schedule!$F$220</f>
        <v/>
      </c>
      <c r="E1524" t="n">
        <v>3</v>
      </c>
      <c r="F1524">
        <f>Schedule!$J$1</f>
        <v/>
      </c>
      <c r="G1524">
        <f>Schedule!$J$2</f>
        <v/>
      </c>
      <c r="H1524">
        <f>Schedule!$J$220</f>
        <v/>
      </c>
      <c r="I1524">
        <f>IF($N1524=1,VALUE(LEFT($H1524,2)),"")</f>
        <v/>
      </c>
      <c r="J1524">
        <f>IF($N1524=1,VALUE(MID($H1524,9,2)),"")</f>
        <v/>
      </c>
      <c r="K1524">
        <f>IF($N1524=1,MOD($J1524-$I1524,24),0)</f>
        <v/>
      </c>
      <c r="L1524">
        <f>IF($N1524=1,$E1524*24+$I1524,"")</f>
        <v/>
      </c>
      <c r="M1524">
        <f>IF($N1524=1,$L1524+$K1524,"")</f>
        <v/>
      </c>
      <c r="N1524">
        <f>IF(ISNUMBER(SEARCH(" - ",$H1524&amp;"")),1,0)</f>
        <v/>
      </c>
      <c r="O1524">
        <f>IF(UPPER($H1524&amp;"")="LEAVE",1,0)</f>
        <v/>
      </c>
      <c r="P1524">
        <f>IF($N1524=1,$K1524,0)</f>
        <v/>
      </c>
      <c r="Q1524">
        <f>IF($N1524=0,"",IFERROR($L1524-LOOKUP(2,1/(($B$2:$B1523=$B1524)*($N$2:$N1523=1)),$M$2:$M1523),""))</f>
        <v/>
      </c>
    </row>
    <row r="1525">
      <c r="A1525" t="n">
        <v>1524</v>
      </c>
      <c r="B1525">
        <f>Schedule!$A$220</f>
        <v/>
      </c>
      <c r="C1525">
        <f>Schedule!$D$220</f>
        <v/>
      </c>
      <c r="D1525">
        <f>Schedule!$F$220</f>
        <v/>
      </c>
      <c r="E1525" t="n">
        <v>4</v>
      </c>
      <c r="F1525">
        <f>Schedule!$K$1</f>
        <v/>
      </c>
      <c r="G1525">
        <f>Schedule!$K$2</f>
        <v/>
      </c>
      <c r="H1525">
        <f>Schedule!$K$220</f>
        <v/>
      </c>
      <c r="I1525">
        <f>IF($N1525=1,VALUE(LEFT($H1525,2)),"")</f>
        <v/>
      </c>
      <c r="J1525">
        <f>IF($N1525=1,VALUE(MID($H1525,9,2)),"")</f>
        <v/>
      </c>
      <c r="K1525">
        <f>IF($N1525=1,MOD($J1525-$I1525,24),0)</f>
        <v/>
      </c>
      <c r="L1525">
        <f>IF($N1525=1,$E1525*24+$I1525,"")</f>
        <v/>
      </c>
      <c r="M1525">
        <f>IF($N1525=1,$L1525+$K1525,"")</f>
        <v/>
      </c>
      <c r="N1525">
        <f>IF(ISNUMBER(SEARCH(" - ",$H1525&amp;"")),1,0)</f>
        <v/>
      </c>
      <c r="O1525">
        <f>IF(UPPER($H1525&amp;"")="LEAVE",1,0)</f>
        <v/>
      </c>
      <c r="P1525">
        <f>IF($N1525=1,$K1525,0)</f>
        <v/>
      </c>
      <c r="Q1525">
        <f>IF($N1525=0,"",IFERROR($L1525-LOOKUP(2,1/(($B$2:$B1524=$B1525)*($N$2:$N1524=1)),$M$2:$M1524),""))</f>
        <v/>
      </c>
    </row>
    <row r="1526">
      <c r="A1526" t="n">
        <v>1525</v>
      </c>
      <c r="B1526">
        <f>Schedule!$A$220</f>
        <v/>
      </c>
      <c r="C1526">
        <f>Schedule!$D$220</f>
        <v/>
      </c>
      <c r="D1526">
        <f>Schedule!$F$220</f>
        <v/>
      </c>
      <c r="E1526" t="n">
        <v>5</v>
      </c>
      <c r="F1526">
        <f>Schedule!$L$1</f>
        <v/>
      </c>
      <c r="G1526">
        <f>Schedule!$L$2</f>
        <v/>
      </c>
      <c r="H1526">
        <f>Schedule!$L$220</f>
        <v/>
      </c>
      <c r="I1526">
        <f>IF($N1526=1,VALUE(LEFT($H1526,2)),"")</f>
        <v/>
      </c>
      <c r="J1526">
        <f>IF($N1526=1,VALUE(MID($H1526,9,2)),"")</f>
        <v/>
      </c>
      <c r="K1526">
        <f>IF($N1526=1,MOD($J1526-$I1526,24),0)</f>
        <v/>
      </c>
      <c r="L1526">
        <f>IF($N1526=1,$E1526*24+$I1526,"")</f>
        <v/>
      </c>
      <c r="M1526">
        <f>IF($N1526=1,$L1526+$K1526,"")</f>
        <v/>
      </c>
      <c r="N1526">
        <f>IF(ISNUMBER(SEARCH(" - ",$H1526&amp;"")),1,0)</f>
        <v/>
      </c>
      <c r="O1526">
        <f>IF(UPPER($H1526&amp;"")="LEAVE",1,0)</f>
        <v/>
      </c>
      <c r="P1526">
        <f>IF($N1526=1,$K1526,0)</f>
        <v/>
      </c>
      <c r="Q1526">
        <f>IF($N1526=0,"",IFERROR($L1526-LOOKUP(2,1/(($B$2:$B1525=$B1526)*($N$2:$N1525=1)),$M$2:$M1525),""))</f>
        <v/>
      </c>
    </row>
    <row r="1527">
      <c r="A1527" t="n">
        <v>1526</v>
      </c>
      <c r="B1527">
        <f>Schedule!$A$220</f>
        <v/>
      </c>
      <c r="C1527">
        <f>Schedule!$D$220</f>
        <v/>
      </c>
      <c r="D1527">
        <f>Schedule!$F$220</f>
        <v/>
      </c>
      <c r="E1527" t="n">
        <v>6</v>
      </c>
      <c r="F1527">
        <f>Schedule!$M$1</f>
        <v/>
      </c>
      <c r="G1527">
        <f>Schedule!$M$2</f>
        <v/>
      </c>
      <c r="H1527">
        <f>Schedule!$M$220</f>
        <v/>
      </c>
      <c r="I1527">
        <f>IF($N1527=1,VALUE(LEFT($H1527,2)),"")</f>
        <v/>
      </c>
      <c r="J1527">
        <f>IF($N1527=1,VALUE(MID($H1527,9,2)),"")</f>
        <v/>
      </c>
      <c r="K1527">
        <f>IF($N1527=1,MOD($J1527-$I1527,24),0)</f>
        <v/>
      </c>
      <c r="L1527">
        <f>IF($N1527=1,$E1527*24+$I1527,"")</f>
        <v/>
      </c>
      <c r="M1527">
        <f>IF($N1527=1,$L1527+$K1527,"")</f>
        <v/>
      </c>
      <c r="N1527">
        <f>IF(ISNUMBER(SEARCH(" - ",$H1527&amp;"")),1,0)</f>
        <v/>
      </c>
      <c r="O1527">
        <f>IF(UPPER($H1527&amp;"")="LEAVE",1,0)</f>
        <v/>
      </c>
      <c r="P1527">
        <f>IF($N1527=1,$K1527,0)</f>
        <v/>
      </c>
      <c r="Q1527">
        <f>IF($N1527=0,"",IFERROR($L1527-LOOKUP(2,1/(($B$2:$B1526=$B1527)*($N$2:$N1526=1)),$M$2:$M1526),""))</f>
        <v/>
      </c>
    </row>
    <row r="1528">
      <c r="A1528" t="n">
        <v>1527</v>
      </c>
      <c r="B1528">
        <f>Schedule!$A$221</f>
        <v/>
      </c>
      <c r="C1528">
        <f>Schedule!$D$221</f>
        <v/>
      </c>
      <c r="D1528">
        <f>Schedule!$F$221</f>
        <v/>
      </c>
      <c r="E1528" t="n">
        <v>0</v>
      </c>
      <c r="F1528">
        <f>Schedule!$G$1</f>
        <v/>
      </c>
      <c r="G1528">
        <f>Schedule!$G$2</f>
        <v/>
      </c>
      <c r="H1528">
        <f>Schedule!$G$221</f>
        <v/>
      </c>
      <c r="I1528">
        <f>IF($N1528=1,VALUE(LEFT($H1528,2)),"")</f>
        <v/>
      </c>
      <c r="J1528">
        <f>IF($N1528=1,VALUE(MID($H1528,9,2)),"")</f>
        <v/>
      </c>
      <c r="K1528">
        <f>IF($N1528=1,MOD($J1528-$I1528,24),0)</f>
        <v/>
      </c>
      <c r="L1528">
        <f>IF($N1528=1,$E1528*24+$I1528,"")</f>
        <v/>
      </c>
      <c r="M1528">
        <f>IF($N1528=1,$L1528+$K1528,"")</f>
        <v/>
      </c>
      <c r="N1528">
        <f>IF(ISNUMBER(SEARCH(" - ",$H1528&amp;"")),1,0)</f>
        <v/>
      </c>
      <c r="O1528">
        <f>IF(UPPER($H1528&amp;"")="LEAVE",1,0)</f>
        <v/>
      </c>
      <c r="P1528">
        <f>IF($N1528=1,$K1528,0)</f>
        <v/>
      </c>
      <c r="Q1528">
        <f>IF($N1528=0,"",IFERROR($L1528-'Previous Engine'!$M$220,""))</f>
        <v/>
      </c>
    </row>
    <row r="1529">
      <c r="A1529" t="n">
        <v>1528</v>
      </c>
      <c r="B1529">
        <f>Schedule!$A$221</f>
        <v/>
      </c>
      <c r="C1529">
        <f>Schedule!$D$221</f>
        <v/>
      </c>
      <c r="D1529">
        <f>Schedule!$F$221</f>
        <v/>
      </c>
      <c r="E1529" t="n">
        <v>1</v>
      </c>
      <c r="F1529">
        <f>Schedule!$H$1</f>
        <v/>
      </c>
      <c r="G1529">
        <f>Schedule!$H$2</f>
        <v/>
      </c>
      <c r="H1529">
        <f>Schedule!$H$221</f>
        <v/>
      </c>
      <c r="I1529">
        <f>IF($N1529=1,VALUE(LEFT($H1529,2)),"")</f>
        <v/>
      </c>
      <c r="J1529">
        <f>IF($N1529=1,VALUE(MID($H1529,9,2)),"")</f>
        <v/>
      </c>
      <c r="K1529">
        <f>IF($N1529=1,MOD($J1529-$I1529,24),0)</f>
        <v/>
      </c>
      <c r="L1529">
        <f>IF($N1529=1,$E1529*24+$I1529,"")</f>
        <v/>
      </c>
      <c r="M1529">
        <f>IF($N1529=1,$L1529+$K1529,"")</f>
        <v/>
      </c>
      <c r="N1529">
        <f>IF(ISNUMBER(SEARCH(" - ",$H1529&amp;"")),1,0)</f>
        <v/>
      </c>
      <c r="O1529">
        <f>IF(UPPER($H1529&amp;"")="LEAVE",1,0)</f>
        <v/>
      </c>
      <c r="P1529">
        <f>IF($N1529=1,$K1529,0)</f>
        <v/>
      </c>
      <c r="Q1529">
        <f>IF($N1529=0,"",IFERROR($L1529-LOOKUP(2,1/(($B$2:$B1528=$B1529)*($N$2:$N1528=1)),$M$2:$M1528),""))</f>
        <v/>
      </c>
    </row>
    <row r="1530">
      <c r="A1530" t="n">
        <v>1529</v>
      </c>
      <c r="B1530">
        <f>Schedule!$A$221</f>
        <v/>
      </c>
      <c r="C1530">
        <f>Schedule!$D$221</f>
        <v/>
      </c>
      <c r="D1530">
        <f>Schedule!$F$221</f>
        <v/>
      </c>
      <c r="E1530" t="n">
        <v>2</v>
      </c>
      <c r="F1530">
        <f>Schedule!$I$1</f>
        <v/>
      </c>
      <c r="G1530">
        <f>Schedule!$I$2</f>
        <v/>
      </c>
      <c r="H1530">
        <f>Schedule!$I$221</f>
        <v/>
      </c>
      <c r="I1530">
        <f>IF($N1530=1,VALUE(LEFT($H1530,2)),"")</f>
        <v/>
      </c>
      <c r="J1530">
        <f>IF($N1530=1,VALUE(MID($H1530,9,2)),"")</f>
        <v/>
      </c>
      <c r="K1530">
        <f>IF($N1530=1,MOD($J1530-$I1530,24),0)</f>
        <v/>
      </c>
      <c r="L1530">
        <f>IF($N1530=1,$E1530*24+$I1530,"")</f>
        <v/>
      </c>
      <c r="M1530">
        <f>IF($N1530=1,$L1530+$K1530,"")</f>
        <v/>
      </c>
      <c r="N1530">
        <f>IF(ISNUMBER(SEARCH(" - ",$H1530&amp;"")),1,0)</f>
        <v/>
      </c>
      <c r="O1530">
        <f>IF(UPPER($H1530&amp;"")="LEAVE",1,0)</f>
        <v/>
      </c>
      <c r="P1530">
        <f>IF($N1530=1,$K1530,0)</f>
        <v/>
      </c>
      <c r="Q1530">
        <f>IF($N1530=0,"",IFERROR($L1530-LOOKUP(2,1/(($B$2:$B1529=$B1530)*($N$2:$N1529=1)),$M$2:$M1529),""))</f>
        <v/>
      </c>
    </row>
    <row r="1531">
      <c r="A1531" t="n">
        <v>1530</v>
      </c>
      <c r="B1531">
        <f>Schedule!$A$221</f>
        <v/>
      </c>
      <c r="C1531">
        <f>Schedule!$D$221</f>
        <v/>
      </c>
      <c r="D1531">
        <f>Schedule!$F$221</f>
        <v/>
      </c>
      <c r="E1531" t="n">
        <v>3</v>
      </c>
      <c r="F1531">
        <f>Schedule!$J$1</f>
        <v/>
      </c>
      <c r="G1531">
        <f>Schedule!$J$2</f>
        <v/>
      </c>
      <c r="H1531">
        <f>Schedule!$J$221</f>
        <v/>
      </c>
      <c r="I1531">
        <f>IF($N1531=1,VALUE(LEFT($H1531,2)),"")</f>
        <v/>
      </c>
      <c r="J1531">
        <f>IF($N1531=1,VALUE(MID($H1531,9,2)),"")</f>
        <v/>
      </c>
      <c r="K1531">
        <f>IF($N1531=1,MOD($J1531-$I1531,24),0)</f>
        <v/>
      </c>
      <c r="L1531">
        <f>IF($N1531=1,$E1531*24+$I1531,"")</f>
        <v/>
      </c>
      <c r="M1531">
        <f>IF($N1531=1,$L1531+$K1531,"")</f>
        <v/>
      </c>
      <c r="N1531">
        <f>IF(ISNUMBER(SEARCH(" - ",$H1531&amp;"")),1,0)</f>
        <v/>
      </c>
      <c r="O1531">
        <f>IF(UPPER($H1531&amp;"")="LEAVE",1,0)</f>
        <v/>
      </c>
      <c r="P1531">
        <f>IF($N1531=1,$K1531,0)</f>
        <v/>
      </c>
      <c r="Q1531">
        <f>IF($N1531=0,"",IFERROR($L1531-LOOKUP(2,1/(($B$2:$B1530=$B1531)*($N$2:$N1530=1)),$M$2:$M1530),""))</f>
        <v/>
      </c>
    </row>
    <row r="1532">
      <c r="A1532" t="n">
        <v>1531</v>
      </c>
      <c r="B1532">
        <f>Schedule!$A$221</f>
        <v/>
      </c>
      <c r="C1532">
        <f>Schedule!$D$221</f>
        <v/>
      </c>
      <c r="D1532">
        <f>Schedule!$F$221</f>
        <v/>
      </c>
      <c r="E1532" t="n">
        <v>4</v>
      </c>
      <c r="F1532">
        <f>Schedule!$K$1</f>
        <v/>
      </c>
      <c r="G1532">
        <f>Schedule!$K$2</f>
        <v/>
      </c>
      <c r="H1532">
        <f>Schedule!$K$221</f>
        <v/>
      </c>
      <c r="I1532">
        <f>IF($N1532=1,VALUE(LEFT($H1532,2)),"")</f>
        <v/>
      </c>
      <c r="J1532">
        <f>IF($N1532=1,VALUE(MID($H1532,9,2)),"")</f>
        <v/>
      </c>
      <c r="K1532">
        <f>IF($N1532=1,MOD($J1532-$I1532,24),0)</f>
        <v/>
      </c>
      <c r="L1532">
        <f>IF($N1532=1,$E1532*24+$I1532,"")</f>
        <v/>
      </c>
      <c r="M1532">
        <f>IF($N1532=1,$L1532+$K1532,"")</f>
        <v/>
      </c>
      <c r="N1532">
        <f>IF(ISNUMBER(SEARCH(" - ",$H1532&amp;"")),1,0)</f>
        <v/>
      </c>
      <c r="O1532">
        <f>IF(UPPER($H1532&amp;"")="LEAVE",1,0)</f>
        <v/>
      </c>
      <c r="P1532">
        <f>IF($N1532=1,$K1532,0)</f>
        <v/>
      </c>
      <c r="Q1532">
        <f>IF($N1532=0,"",IFERROR($L1532-LOOKUP(2,1/(($B$2:$B1531=$B1532)*($N$2:$N1531=1)),$M$2:$M1531),""))</f>
        <v/>
      </c>
    </row>
    <row r="1533">
      <c r="A1533" t="n">
        <v>1532</v>
      </c>
      <c r="B1533">
        <f>Schedule!$A$221</f>
        <v/>
      </c>
      <c r="C1533">
        <f>Schedule!$D$221</f>
        <v/>
      </c>
      <c r="D1533">
        <f>Schedule!$F$221</f>
        <v/>
      </c>
      <c r="E1533" t="n">
        <v>5</v>
      </c>
      <c r="F1533">
        <f>Schedule!$L$1</f>
        <v/>
      </c>
      <c r="G1533">
        <f>Schedule!$L$2</f>
        <v/>
      </c>
      <c r="H1533">
        <f>Schedule!$L$221</f>
        <v/>
      </c>
      <c r="I1533">
        <f>IF($N1533=1,VALUE(LEFT($H1533,2)),"")</f>
        <v/>
      </c>
      <c r="J1533">
        <f>IF($N1533=1,VALUE(MID($H1533,9,2)),"")</f>
        <v/>
      </c>
      <c r="K1533">
        <f>IF($N1533=1,MOD($J1533-$I1533,24),0)</f>
        <v/>
      </c>
      <c r="L1533">
        <f>IF($N1533=1,$E1533*24+$I1533,"")</f>
        <v/>
      </c>
      <c r="M1533">
        <f>IF($N1533=1,$L1533+$K1533,"")</f>
        <v/>
      </c>
      <c r="N1533">
        <f>IF(ISNUMBER(SEARCH(" - ",$H1533&amp;"")),1,0)</f>
        <v/>
      </c>
      <c r="O1533">
        <f>IF(UPPER($H1533&amp;"")="LEAVE",1,0)</f>
        <v/>
      </c>
      <c r="P1533">
        <f>IF($N1533=1,$K1533,0)</f>
        <v/>
      </c>
      <c r="Q1533">
        <f>IF($N1533=0,"",IFERROR($L1533-LOOKUP(2,1/(($B$2:$B1532=$B1533)*($N$2:$N1532=1)),$M$2:$M1532),""))</f>
        <v/>
      </c>
    </row>
    <row r="1534">
      <c r="A1534" t="n">
        <v>1533</v>
      </c>
      <c r="B1534">
        <f>Schedule!$A$221</f>
        <v/>
      </c>
      <c r="C1534">
        <f>Schedule!$D$221</f>
        <v/>
      </c>
      <c r="D1534">
        <f>Schedule!$F$221</f>
        <v/>
      </c>
      <c r="E1534" t="n">
        <v>6</v>
      </c>
      <c r="F1534">
        <f>Schedule!$M$1</f>
        <v/>
      </c>
      <c r="G1534">
        <f>Schedule!$M$2</f>
        <v/>
      </c>
      <c r="H1534">
        <f>Schedule!$M$221</f>
        <v/>
      </c>
      <c r="I1534">
        <f>IF($N1534=1,VALUE(LEFT($H1534,2)),"")</f>
        <v/>
      </c>
      <c r="J1534">
        <f>IF($N1534=1,VALUE(MID($H1534,9,2)),"")</f>
        <v/>
      </c>
      <c r="K1534">
        <f>IF($N1534=1,MOD($J1534-$I1534,24),0)</f>
        <v/>
      </c>
      <c r="L1534">
        <f>IF($N1534=1,$E1534*24+$I1534,"")</f>
        <v/>
      </c>
      <c r="M1534">
        <f>IF($N1534=1,$L1534+$K1534,"")</f>
        <v/>
      </c>
      <c r="N1534">
        <f>IF(ISNUMBER(SEARCH(" - ",$H1534&amp;"")),1,0)</f>
        <v/>
      </c>
      <c r="O1534">
        <f>IF(UPPER($H1534&amp;"")="LEAVE",1,0)</f>
        <v/>
      </c>
      <c r="P1534">
        <f>IF($N1534=1,$K1534,0)</f>
        <v/>
      </c>
      <c r="Q1534">
        <f>IF($N1534=0,"",IFERROR($L1534-LOOKUP(2,1/(($B$2:$B1533=$B1534)*($N$2:$N1533=1)),$M$2:$M1533),""))</f>
        <v/>
      </c>
    </row>
    <row r="1535">
      <c r="A1535" t="n">
        <v>1534</v>
      </c>
      <c r="B1535">
        <f>Schedule!$A$222</f>
        <v/>
      </c>
      <c r="C1535">
        <f>Schedule!$D$222</f>
        <v/>
      </c>
      <c r="D1535">
        <f>Schedule!$F$222</f>
        <v/>
      </c>
      <c r="E1535" t="n">
        <v>0</v>
      </c>
      <c r="F1535">
        <f>Schedule!$G$1</f>
        <v/>
      </c>
      <c r="G1535">
        <f>Schedule!$G$2</f>
        <v/>
      </c>
      <c r="H1535">
        <f>Schedule!$G$222</f>
        <v/>
      </c>
      <c r="I1535">
        <f>IF($N1535=1,VALUE(LEFT($H1535,2)),"")</f>
        <v/>
      </c>
      <c r="J1535">
        <f>IF($N1535=1,VALUE(MID($H1535,9,2)),"")</f>
        <v/>
      </c>
      <c r="K1535">
        <f>IF($N1535=1,MOD($J1535-$I1535,24),0)</f>
        <v/>
      </c>
      <c r="L1535">
        <f>IF($N1535=1,$E1535*24+$I1535,"")</f>
        <v/>
      </c>
      <c r="M1535">
        <f>IF($N1535=1,$L1535+$K1535,"")</f>
        <v/>
      </c>
      <c r="N1535">
        <f>IF(ISNUMBER(SEARCH(" - ",$H1535&amp;"")),1,0)</f>
        <v/>
      </c>
      <c r="O1535">
        <f>IF(UPPER($H1535&amp;"")="LEAVE",1,0)</f>
        <v/>
      </c>
      <c r="P1535">
        <f>IF($N1535=1,$K1535,0)</f>
        <v/>
      </c>
      <c r="Q1535">
        <f>IF($N1535=0,"",IFERROR($L1535-'Previous Engine'!$M$221,""))</f>
        <v/>
      </c>
    </row>
    <row r="1536">
      <c r="A1536" t="n">
        <v>1535</v>
      </c>
      <c r="B1536">
        <f>Schedule!$A$222</f>
        <v/>
      </c>
      <c r="C1536">
        <f>Schedule!$D$222</f>
        <v/>
      </c>
      <c r="D1536">
        <f>Schedule!$F$222</f>
        <v/>
      </c>
      <c r="E1536" t="n">
        <v>1</v>
      </c>
      <c r="F1536">
        <f>Schedule!$H$1</f>
        <v/>
      </c>
      <c r="G1536">
        <f>Schedule!$H$2</f>
        <v/>
      </c>
      <c r="H1536">
        <f>Schedule!$H$222</f>
        <v/>
      </c>
      <c r="I1536">
        <f>IF($N1536=1,VALUE(LEFT($H1536,2)),"")</f>
        <v/>
      </c>
      <c r="J1536">
        <f>IF($N1536=1,VALUE(MID($H1536,9,2)),"")</f>
        <v/>
      </c>
      <c r="K1536">
        <f>IF($N1536=1,MOD($J1536-$I1536,24),0)</f>
        <v/>
      </c>
      <c r="L1536">
        <f>IF($N1536=1,$E1536*24+$I1536,"")</f>
        <v/>
      </c>
      <c r="M1536">
        <f>IF($N1536=1,$L1536+$K1536,"")</f>
        <v/>
      </c>
      <c r="N1536">
        <f>IF(ISNUMBER(SEARCH(" - ",$H1536&amp;"")),1,0)</f>
        <v/>
      </c>
      <c r="O1536">
        <f>IF(UPPER($H1536&amp;"")="LEAVE",1,0)</f>
        <v/>
      </c>
      <c r="P1536">
        <f>IF($N1536=1,$K1536,0)</f>
        <v/>
      </c>
      <c r="Q1536">
        <f>IF($N1536=0,"",IFERROR($L1536-LOOKUP(2,1/(($B$2:$B1535=$B1536)*($N$2:$N1535=1)),$M$2:$M1535),""))</f>
        <v/>
      </c>
    </row>
    <row r="1537">
      <c r="A1537" t="n">
        <v>1536</v>
      </c>
      <c r="B1537">
        <f>Schedule!$A$222</f>
        <v/>
      </c>
      <c r="C1537">
        <f>Schedule!$D$222</f>
        <v/>
      </c>
      <c r="D1537">
        <f>Schedule!$F$222</f>
        <v/>
      </c>
      <c r="E1537" t="n">
        <v>2</v>
      </c>
      <c r="F1537">
        <f>Schedule!$I$1</f>
        <v/>
      </c>
      <c r="G1537">
        <f>Schedule!$I$2</f>
        <v/>
      </c>
      <c r="H1537">
        <f>Schedule!$I$222</f>
        <v/>
      </c>
      <c r="I1537">
        <f>IF($N1537=1,VALUE(LEFT($H1537,2)),"")</f>
        <v/>
      </c>
      <c r="J1537">
        <f>IF($N1537=1,VALUE(MID($H1537,9,2)),"")</f>
        <v/>
      </c>
      <c r="K1537">
        <f>IF($N1537=1,MOD($J1537-$I1537,24),0)</f>
        <v/>
      </c>
      <c r="L1537">
        <f>IF($N1537=1,$E1537*24+$I1537,"")</f>
        <v/>
      </c>
      <c r="M1537">
        <f>IF($N1537=1,$L1537+$K1537,"")</f>
        <v/>
      </c>
      <c r="N1537">
        <f>IF(ISNUMBER(SEARCH(" - ",$H1537&amp;"")),1,0)</f>
        <v/>
      </c>
      <c r="O1537">
        <f>IF(UPPER($H1537&amp;"")="LEAVE",1,0)</f>
        <v/>
      </c>
      <c r="P1537">
        <f>IF($N1537=1,$K1537,0)</f>
        <v/>
      </c>
      <c r="Q1537">
        <f>IF($N1537=0,"",IFERROR($L1537-LOOKUP(2,1/(($B$2:$B1536=$B1537)*($N$2:$N1536=1)),$M$2:$M1536),""))</f>
        <v/>
      </c>
    </row>
    <row r="1538">
      <c r="A1538" t="n">
        <v>1537</v>
      </c>
      <c r="B1538">
        <f>Schedule!$A$222</f>
        <v/>
      </c>
      <c r="C1538">
        <f>Schedule!$D$222</f>
        <v/>
      </c>
      <c r="D1538">
        <f>Schedule!$F$222</f>
        <v/>
      </c>
      <c r="E1538" t="n">
        <v>3</v>
      </c>
      <c r="F1538">
        <f>Schedule!$J$1</f>
        <v/>
      </c>
      <c r="G1538">
        <f>Schedule!$J$2</f>
        <v/>
      </c>
      <c r="H1538">
        <f>Schedule!$J$222</f>
        <v/>
      </c>
      <c r="I1538">
        <f>IF($N1538=1,VALUE(LEFT($H1538,2)),"")</f>
        <v/>
      </c>
      <c r="J1538">
        <f>IF($N1538=1,VALUE(MID($H1538,9,2)),"")</f>
        <v/>
      </c>
      <c r="K1538">
        <f>IF($N1538=1,MOD($J1538-$I1538,24),0)</f>
        <v/>
      </c>
      <c r="L1538">
        <f>IF($N1538=1,$E1538*24+$I1538,"")</f>
        <v/>
      </c>
      <c r="M1538">
        <f>IF($N1538=1,$L1538+$K1538,"")</f>
        <v/>
      </c>
      <c r="N1538">
        <f>IF(ISNUMBER(SEARCH(" - ",$H1538&amp;"")),1,0)</f>
        <v/>
      </c>
      <c r="O1538">
        <f>IF(UPPER($H1538&amp;"")="LEAVE",1,0)</f>
        <v/>
      </c>
      <c r="P1538">
        <f>IF($N1538=1,$K1538,0)</f>
        <v/>
      </c>
      <c r="Q1538">
        <f>IF($N1538=0,"",IFERROR($L1538-LOOKUP(2,1/(($B$2:$B1537=$B1538)*($N$2:$N1537=1)),$M$2:$M1537),""))</f>
        <v/>
      </c>
    </row>
    <row r="1539">
      <c r="A1539" t="n">
        <v>1538</v>
      </c>
      <c r="B1539">
        <f>Schedule!$A$222</f>
        <v/>
      </c>
      <c r="C1539">
        <f>Schedule!$D$222</f>
        <v/>
      </c>
      <c r="D1539">
        <f>Schedule!$F$222</f>
        <v/>
      </c>
      <c r="E1539" t="n">
        <v>4</v>
      </c>
      <c r="F1539">
        <f>Schedule!$K$1</f>
        <v/>
      </c>
      <c r="G1539">
        <f>Schedule!$K$2</f>
        <v/>
      </c>
      <c r="H1539">
        <f>Schedule!$K$222</f>
        <v/>
      </c>
      <c r="I1539">
        <f>IF($N1539=1,VALUE(LEFT($H1539,2)),"")</f>
        <v/>
      </c>
      <c r="J1539">
        <f>IF($N1539=1,VALUE(MID($H1539,9,2)),"")</f>
        <v/>
      </c>
      <c r="K1539">
        <f>IF($N1539=1,MOD($J1539-$I1539,24),0)</f>
        <v/>
      </c>
      <c r="L1539">
        <f>IF($N1539=1,$E1539*24+$I1539,"")</f>
        <v/>
      </c>
      <c r="M1539">
        <f>IF($N1539=1,$L1539+$K1539,"")</f>
        <v/>
      </c>
      <c r="N1539">
        <f>IF(ISNUMBER(SEARCH(" - ",$H1539&amp;"")),1,0)</f>
        <v/>
      </c>
      <c r="O1539">
        <f>IF(UPPER($H1539&amp;"")="LEAVE",1,0)</f>
        <v/>
      </c>
      <c r="P1539">
        <f>IF($N1539=1,$K1539,0)</f>
        <v/>
      </c>
      <c r="Q1539">
        <f>IF($N1539=0,"",IFERROR($L1539-LOOKUP(2,1/(($B$2:$B1538=$B1539)*($N$2:$N1538=1)),$M$2:$M1538),""))</f>
        <v/>
      </c>
    </row>
    <row r="1540">
      <c r="A1540" t="n">
        <v>1539</v>
      </c>
      <c r="B1540">
        <f>Schedule!$A$222</f>
        <v/>
      </c>
      <c r="C1540">
        <f>Schedule!$D$222</f>
        <v/>
      </c>
      <c r="D1540">
        <f>Schedule!$F$222</f>
        <v/>
      </c>
      <c r="E1540" t="n">
        <v>5</v>
      </c>
      <c r="F1540">
        <f>Schedule!$L$1</f>
        <v/>
      </c>
      <c r="G1540">
        <f>Schedule!$L$2</f>
        <v/>
      </c>
      <c r="H1540">
        <f>Schedule!$L$222</f>
        <v/>
      </c>
      <c r="I1540">
        <f>IF($N1540=1,VALUE(LEFT($H1540,2)),"")</f>
        <v/>
      </c>
      <c r="J1540">
        <f>IF($N1540=1,VALUE(MID($H1540,9,2)),"")</f>
        <v/>
      </c>
      <c r="K1540">
        <f>IF($N1540=1,MOD($J1540-$I1540,24),0)</f>
        <v/>
      </c>
      <c r="L1540">
        <f>IF($N1540=1,$E1540*24+$I1540,"")</f>
        <v/>
      </c>
      <c r="M1540">
        <f>IF($N1540=1,$L1540+$K1540,"")</f>
        <v/>
      </c>
      <c r="N1540">
        <f>IF(ISNUMBER(SEARCH(" - ",$H1540&amp;"")),1,0)</f>
        <v/>
      </c>
      <c r="O1540">
        <f>IF(UPPER($H1540&amp;"")="LEAVE",1,0)</f>
        <v/>
      </c>
      <c r="P1540">
        <f>IF($N1540=1,$K1540,0)</f>
        <v/>
      </c>
      <c r="Q1540">
        <f>IF($N1540=0,"",IFERROR($L1540-LOOKUP(2,1/(($B$2:$B1539=$B1540)*($N$2:$N1539=1)),$M$2:$M1539),""))</f>
        <v/>
      </c>
    </row>
    <row r="1541">
      <c r="A1541" t="n">
        <v>1540</v>
      </c>
      <c r="B1541">
        <f>Schedule!$A$222</f>
        <v/>
      </c>
      <c r="C1541">
        <f>Schedule!$D$222</f>
        <v/>
      </c>
      <c r="D1541">
        <f>Schedule!$F$222</f>
        <v/>
      </c>
      <c r="E1541" t="n">
        <v>6</v>
      </c>
      <c r="F1541">
        <f>Schedule!$M$1</f>
        <v/>
      </c>
      <c r="G1541">
        <f>Schedule!$M$2</f>
        <v/>
      </c>
      <c r="H1541">
        <f>Schedule!$M$222</f>
        <v/>
      </c>
      <c r="I1541">
        <f>IF($N1541=1,VALUE(LEFT($H1541,2)),"")</f>
        <v/>
      </c>
      <c r="J1541">
        <f>IF($N1541=1,VALUE(MID($H1541,9,2)),"")</f>
        <v/>
      </c>
      <c r="K1541">
        <f>IF($N1541=1,MOD($J1541-$I1541,24),0)</f>
        <v/>
      </c>
      <c r="L1541">
        <f>IF($N1541=1,$E1541*24+$I1541,"")</f>
        <v/>
      </c>
      <c r="M1541">
        <f>IF($N1541=1,$L1541+$K1541,"")</f>
        <v/>
      </c>
      <c r="N1541">
        <f>IF(ISNUMBER(SEARCH(" - ",$H1541&amp;"")),1,0)</f>
        <v/>
      </c>
      <c r="O1541">
        <f>IF(UPPER($H1541&amp;"")="LEAVE",1,0)</f>
        <v/>
      </c>
      <c r="P1541">
        <f>IF($N1541=1,$K1541,0)</f>
        <v/>
      </c>
      <c r="Q1541">
        <f>IF($N1541=0,"",IFERROR($L1541-LOOKUP(2,1/(($B$2:$B1540=$B1541)*($N$2:$N1540=1)),$M$2:$M1540),""))</f>
        <v/>
      </c>
    </row>
    <row r="1542">
      <c r="A1542" t="n">
        <v>1541</v>
      </c>
      <c r="B1542">
        <f>Schedule!$A$223</f>
        <v/>
      </c>
      <c r="C1542">
        <f>Schedule!$D$223</f>
        <v/>
      </c>
      <c r="D1542">
        <f>Schedule!$F$223</f>
        <v/>
      </c>
      <c r="E1542" t="n">
        <v>0</v>
      </c>
      <c r="F1542">
        <f>Schedule!$G$1</f>
        <v/>
      </c>
      <c r="G1542">
        <f>Schedule!$G$2</f>
        <v/>
      </c>
      <c r="H1542">
        <f>Schedule!$G$223</f>
        <v/>
      </c>
      <c r="I1542">
        <f>IF($N1542=1,VALUE(LEFT($H1542,2)),"")</f>
        <v/>
      </c>
      <c r="J1542">
        <f>IF($N1542=1,VALUE(MID($H1542,9,2)),"")</f>
        <v/>
      </c>
      <c r="K1542">
        <f>IF($N1542=1,MOD($J1542-$I1542,24),0)</f>
        <v/>
      </c>
      <c r="L1542">
        <f>IF($N1542=1,$E1542*24+$I1542,"")</f>
        <v/>
      </c>
      <c r="M1542">
        <f>IF($N1542=1,$L1542+$K1542,"")</f>
        <v/>
      </c>
      <c r="N1542">
        <f>IF(ISNUMBER(SEARCH(" - ",$H1542&amp;"")),1,0)</f>
        <v/>
      </c>
      <c r="O1542">
        <f>IF(UPPER($H1542&amp;"")="LEAVE",1,0)</f>
        <v/>
      </c>
      <c r="P1542">
        <f>IF($N1542=1,$K1542,0)</f>
        <v/>
      </c>
      <c r="Q1542">
        <f>IF($N1542=0,"",IFERROR($L1542-'Previous Engine'!$M$222,""))</f>
        <v/>
      </c>
    </row>
    <row r="1543">
      <c r="A1543" t="n">
        <v>1542</v>
      </c>
      <c r="B1543">
        <f>Schedule!$A$223</f>
        <v/>
      </c>
      <c r="C1543">
        <f>Schedule!$D$223</f>
        <v/>
      </c>
      <c r="D1543">
        <f>Schedule!$F$223</f>
        <v/>
      </c>
      <c r="E1543" t="n">
        <v>1</v>
      </c>
      <c r="F1543">
        <f>Schedule!$H$1</f>
        <v/>
      </c>
      <c r="G1543">
        <f>Schedule!$H$2</f>
        <v/>
      </c>
      <c r="H1543">
        <f>Schedule!$H$223</f>
        <v/>
      </c>
      <c r="I1543">
        <f>IF($N1543=1,VALUE(LEFT($H1543,2)),"")</f>
        <v/>
      </c>
      <c r="J1543">
        <f>IF($N1543=1,VALUE(MID($H1543,9,2)),"")</f>
        <v/>
      </c>
      <c r="K1543">
        <f>IF($N1543=1,MOD($J1543-$I1543,24),0)</f>
        <v/>
      </c>
      <c r="L1543">
        <f>IF($N1543=1,$E1543*24+$I1543,"")</f>
        <v/>
      </c>
      <c r="M1543">
        <f>IF($N1543=1,$L1543+$K1543,"")</f>
        <v/>
      </c>
      <c r="N1543">
        <f>IF(ISNUMBER(SEARCH(" - ",$H1543&amp;"")),1,0)</f>
        <v/>
      </c>
      <c r="O1543">
        <f>IF(UPPER($H1543&amp;"")="LEAVE",1,0)</f>
        <v/>
      </c>
      <c r="P1543">
        <f>IF($N1543=1,$K1543,0)</f>
        <v/>
      </c>
      <c r="Q1543">
        <f>IF($N1543=0,"",IFERROR($L1543-LOOKUP(2,1/(($B$2:$B1542=$B1543)*($N$2:$N1542=1)),$M$2:$M1542),""))</f>
        <v/>
      </c>
    </row>
    <row r="1544">
      <c r="A1544" t="n">
        <v>1543</v>
      </c>
      <c r="B1544">
        <f>Schedule!$A$223</f>
        <v/>
      </c>
      <c r="C1544">
        <f>Schedule!$D$223</f>
        <v/>
      </c>
      <c r="D1544">
        <f>Schedule!$F$223</f>
        <v/>
      </c>
      <c r="E1544" t="n">
        <v>2</v>
      </c>
      <c r="F1544">
        <f>Schedule!$I$1</f>
        <v/>
      </c>
      <c r="G1544">
        <f>Schedule!$I$2</f>
        <v/>
      </c>
      <c r="H1544">
        <f>Schedule!$I$223</f>
        <v/>
      </c>
      <c r="I1544">
        <f>IF($N1544=1,VALUE(LEFT($H1544,2)),"")</f>
        <v/>
      </c>
      <c r="J1544">
        <f>IF($N1544=1,VALUE(MID($H1544,9,2)),"")</f>
        <v/>
      </c>
      <c r="K1544">
        <f>IF($N1544=1,MOD($J1544-$I1544,24),0)</f>
        <v/>
      </c>
      <c r="L1544">
        <f>IF($N1544=1,$E1544*24+$I1544,"")</f>
        <v/>
      </c>
      <c r="M1544">
        <f>IF($N1544=1,$L1544+$K1544,"")</f>
        <v/>
      </c>
      <c r="N1544">
        <f>IF(ISNUMBER(SEARCH(" - ",$H1544&amp;"")),1,0)</f>
        <v/>
      </c>
      <c r="O1544">
        <f>IF(UPPER($H1544&amp;"")="LEAVE",1,0)</f>
        <v/>
      </c>
      <c r="P1544">
        <f>IF($N1544=1,$K1544,0)</f>
        <v/>
      </c>
      <c r="Q1544">
        <f>IF($N1544=0,"",IFERROR($L1544-LOOKUP(2,1/(($B$2:$B1543=$B1544)*($N$2:$N1543=1)),$M$2:$M1543),""))</f>
        <v/>
      </c>
    </row>
    <row r="1545">
      <c r="A1545" t="n">
        <v>1544</v>
      </c>
      <c r="B1545">
        <f>Schedule!$A$223</f>
        <v/>
      </c>
      <c r="C1545">
        <f>Schedule!$D$223</f>
        <v/>
      </c>
      <c r="D1545">
        <f>Schedule!$F$223</f>
        <v/>
      </c>
      <c r="E1545" t="n">
        <v>3</v>
      </c>
      <c r="F1545">
        <f>Schedule!$J$1</f>
        <v/>
      </c>
      <c r="G1545">
        <f>Schedule!$J$2</f>
        <v/>
      </c>
      <c r="H1545">
        <f>Schedule!$J$223</f>
        <v/>
      </c>
      <c r="I1545">
        <f>IF($N1545=1,VALUE(LEFT($H1545,2)),"")</f>
        <v/>
      </c>
      <c r="J1545">
        <f>IF($N1545=1,VALUE(MID($H1545,9,2)),"")</f>
        <v/>
      </c>
      <c r="K1545">
        <f>IF($N1545=1,MOD($J1545-$I1545,24),0)</f>
        <v/>
      </c>
      <c r="L1545">
        <f>IF($N1545=1,$E1545*24+$I1545,"")</f>
        <v/>
      </c>
      <c r="M1545">
        <f>IF($N1545=1,$L1545+$K1545,"")</f>
        <v/>
      </c>
      <c r="N1545">
        <f>IF(ISNUMBER(SEARCH(" - ",$H1545&amp;"")),1,0)</f>
        <v/>
      </c>
      <c r="O1545">
        <f>IF(UPPER($H1545&amp;"")="LEAVE",1,0)</f>
        <v/>
      </c>
      <c r="P1545">
        <f>IF($N1545=1,$K1545,0)</f>
        <v/>
      </c>
      <c r="Q1545">
        <f>IF($N1545=0,"",IFERROR($L1545-LOOKUP(2,1/(($B$2:$B1544=$B1545)*($N$2:$N1544=1)),$M$2:$M1544),""))</f>
        <v/>
      </c>
    </row>
    <row r="1546">
      <c r="A1546" t="n">
        <v>1545</v>
      </c>
      <c r="B1546">
        <f>Schedule!$A$223</f>
        <v/>
      </c>
      <c r="C1546">
        <f>Schedule!$D$223</f>
        <v/>
      </c>
      <c r="D1546">
        <f>Schedule!$F$223</f>
        <v/>
      </c>
      <c r="E1546" t="n">
        <v>4</v>
      </c>
      <c r="F1546">
        <f>Schedule!$K$1</f>
        <v/>
      </c>
      <c r="G1546">
        <f>Schedule!$K$2</f>
        <v/>
      </c>
      <c r="H1546">
        <f>Schedule!$K$223</f>
        <v/>
      </c>
      <c r="I1546">
        <f>IF($N1546=1,VALUE(LEFT($H1546,2)),"")</f>
        <v/>
      </c>
      <c r="J1546">
        <f>IF($N1546=1,VALUE(MID($H1546,9,2)),"")</f>
        <v/>
      </c>
      <c r="K1546">
        <f>IF($N1546=1,MOD($J1546-$I1546,24),0)</f>
        <v/>
      </c>
      <c r="L1546">
        <f>IF($N1546=1,$E1546*24+$I1546,"")</f>
        <v/>
      </c>
      <c r="M1546">
        <f>IF($N1546=1,$L1546+$K1546,"")</f>
        <v/>
      </c>
      <c r="N1546">
        <f>IF(ISNUMBER(SEARCH(" - ",$H1546&amp;"")),1,0)</f>
        <v/>
      </c>
      <c r="O1546">
        <f>IF(UPPER($H1546&amp;"")="LEAVE",1,0)</f>
        <v/>
      </c>
      <c r="P1546">
        <f>IF($N1546=1,$K1546,0)</f>
        <v/>
      </c>
      <c r="Q1546">
        <f>IF($N1546=0,"",IFERROR($L1546-LOOKUP(2,1/(($B$2:$B1545=$B1546)*($N$2:$N1545=1)),$M$2:$M1545),""))</f>
        <v/>
      </c>
    </row>
    <row r="1547">
      <c r="A1547" t="n">
        <v>1546</v>
      </c>
      <c r="B1547">
        <f>Schedule!$A$223</f>
        <v/>
      </c>
      <c r="C1547">
        <f>Schedule!$D$223</f>
        <v/>
      </c>
      <c r="D1547">
        <f>Schedule!$F$223</f>
        <v/>
      </c>
      <c r="E1547" t="n">
        <v>5</v>
      </c>
      <c r="F1547">
        <f>Schedule!$L$1</f>
        <v/>
      </c>
      <c r="G1547">
        <f>Schedule!$L$2</f>
        <v/>
      </c>
      <c r="H1547">
        <f>Schedule!$L$223</f>
        <v/>
      </c>
      <c r="I1547">
        <f>IF($N1547=1,VALUE(LEFT($H1547,2)),"")</f>
        <v/>
      </c>
      <c r="J1547">
        <f>IF($N1547=1,VALUE(MID($H1547,9,2)),"")</f>
        <v/>
      </c>
      <c r="K1547">
        <f>IF($N1547=1,MOD($J1547-$I1547,24),0)</f>
        <v/>
      </c>
      <c r="L1547">
        <f>IF($N1547=1,$E1547*24+$I1547,"")</f>
        <v/>
      </c>
      <c r="M1547">
        <f>IF($N1547=1,$L1547+$K1547,"")</f>
        <v/>
      </c>
      <c r="N1547">
        <f>IF(ISNUMBER(SEARCH(" - ",$H1547&amp;"")),1,0)</f>
        <v/>
      </c>
      <c r="O1547">
        <f>IF(UPPER($H1547&amp;"")="LEAVE",1,0)</f>
        <v/>
      </c>
      <c r="P1547">
        <f>IF($N1547=1,$K1547,0)</f>
        <v/>
      </c>
      <c r="Q1547">
        <f>IF($N1547=0,"",IFERROR($L1547-LOOKUP(2,1/(($B$2:$B1546=$B1547)*($N$2:$N1546=1)),$M$2:$M1546),""))</f>
        <v/>
      </c>
    </row>
    <row r="1548">
      <c r="A1548" t="n">
        <v>1547</v>
      </c>
      <c r="B1548">
        <f>Schedule!$A$223</f>
        <v/>
      </c>
      <c r="C1548">
        <f>Schedule!$D$223</f>
        <v/>
      </c>
      <c r="D1548">
        <f>Schedule!$F$223</f>
        <v/>
      </c>
      <c r="E1548" t="n">
        <v>6</v>
      </c>
      <c r="F1548">
        <f>Schedule!$M$1</f>
        <v/>
      </c>
      <c r="G1548">
        <f>Schedule!$M$2</f>
        <v/>
      </c>
      <c r="H1548">
        <f>Schedule!$M$223</f>
        <v/>
      </c>
      <c r="I1548">
        <f>IF($N1548=1,VALUE(LEFT($H1548,2)),"")</f>
        <v/>
      </c>
      <c r="J1548">
        <f>IF($N1548=1,VALUE(MID($H1548,9,2)),"")</f>
        <v/>
      </c>
      <c r="K1548">
        <f>IF($N1548=1,MOD($J1548-$I1548,24),0)</f>
        <v/>
      </c>
      <c r="L1548">
        <f>IF($N1548=1,$E1548*24+$I1548,"")</f>
        <v/>
      </c>
      <c r="M1548">
        <f>IF($N1548=1,$L1548+$K1548,"")</f>
        <v/>
      </c>
      <c r="N1548">
        <f>IF(ISNUMBER(SEARCH(" - ",$H1548&amp;"")),1,0)</f>
        <v/>
      </c>
      <c r="O1548">
        <f>IF(UPPER($H1548&amp;"")="LEAVE",1,0)</f>
        <v/>
      </c>
      <c r="P1548">
        <f>IF($N1548=1,$K1548,0)</f>
        <v/>
      </c>
      <c r="Q1548">
        <f>IF($N1548=0,"",IFERROR($L1548-LOOKUP(2,1/(($B$2:$B1547=$B1548)*($N$2:$N1547=1)),$M$2:$M1547),""))</f>
        <v/>
      </c>
    </row>
    <row r="1549">
      <c r="A1549" t="n">
        <v>1548</v>
      </c>
      <c r="B1549">
        <f>Schedule!$A$224</f>
        <v/>
      </c>
      <c r="C1549">
        <f>Schedule!$D$224</f>
        <v/>
      </c>
      <c r="D1549">
        <f>Schedule!$F$224</f>
        <v/>
      </c>
      <c r="E1549" t="n">
        <v>0</v>
      </c>
      <c r="F1549">
        <f>Schedule!$G$1</f>
        <v/>
      </c>
      <c r="G1549">
        <f>Schedule!$G$2</f>
        <v/>
      </c>
      <c r="H1549">
        <f>Schedule!$G$224</f>
        <v/>
      </c>
      <c r="I1549">
        <f>IF($N1549=1,VALUE(LEFT($H1549,2)),"")</f>
        <v/>
      </c>
      <c r="J1549">
        <f>IF($N1549=1,VALUE(MID($H1549,9,2)),"")</f>
        <v/>
      </c>
      <c r="K1549">
        <f>IF($N1549=1,MOD($J1549-$I1549,24),0)</f>
        <v/>
      </c>
      <c r="L1549">
        <f>IF($N1549=1,$E1549*24+$I1549,"")</f>
        <v/>
      </c>
      <c r="M1549">
        <f>IF($N1549=1,$L1549+$K1549,"")</f>
        <v/>
      </c>
      <c r="N1549">
        <f>IF(ISNUMBER(SEARCH(" - ",$H1549&amp;"")),1,0)</f>
        <v/>
      </c>
      <c r="O1549">
        <f>IF(UPPER($H1549&amp;"")="LEAVE",1,0)</f>
        <v/>
      </c>
      <c r="P1549">
        <f>IF($N1549=1,$K1549,0)</f>
        <v/>
      </c>
      <c r="Q1549">
        <f>IF($N1549=0,"",IFERROR($L1549-'Previous Engine'!$M$223,""))</f>
        <v/>
      </c>
    </row>
    <row r="1550">
      <c r="A1550" t="n">
        <v>1549</v>
      </c>
      <c r="B1550">
        <f>Schedule!$A$224</f>
        <v/>
      </c>
      <c r="C1550">
        <f>Schedule!$D$224</f>
        <v/>
      </c>
      <c r="D1550">
        <f>Schedule!$F$224</f>
        <v/>
      </c>
      <c r="E1550" t="n">
        <v>1</v>
      </c>
      <c r="F1550">
        <f>Schedule!$H$1</f>
        <v/>
      </c>
      <c r="G1550">
        <f>Schedule!$H$2</f>
        <v/>
      </c>
      <c r="H1550">
        <f>Schedule!$H$224</f>
        <v/>
      </c>
      <c r="I1550">
        <f>IF($N1550=1,VALUE(LEFT($H1550,2)),"")</f>
        <v/>
      </c>
      <c r="J1550">
        <f>IF($N1550=1,VALUE(MID($H1550,9,2)),"")</f>
        <v/>
      </c>
      <c r="K1550">
        <f>IF($N1550=1,MOD($J1550-$I1550,24),0)</f>
        <v/>
      </c>
      <c r="L1550">
        <f>IF($N1550=1,$E1550*24+$I1550,"")</f>
        <v/>
      </c>
      <c r="M1550">
        <f>IF($N1550=1,$L1550+$K1550,"")</f>
        <v/>
      </c>
      <c r="N1550">
        <f>IF(ISNUMBER(SEARCH(" - ",$H1550&amp;"")),1,0)</f>
        <v/>
      </c>
      <c r="O1550">
        <f>IF(UPPER($H1550&amp;"")="LEAVE",1,0)</f>
        <v/>
      </c>
      <c r="P1550">
        <f>IF($N1550=1,$K1550,0)</f>
        <v/>
      </c>
      <c r="Q1550">
        <f>IF($N1550=0,"",IFERROR($L1550-LOOKUP(2,1/(($B$2:$B1549=$B1550)*($N$2:$N1549=1)),$M$2:$M1549),""))</f>
        <v/>
      </c>
    </row>
    <row r="1551">
      <c r="A1551" t="n">
        <v>1550</v>
      </c>
      <c r="B1551">
        <f>Schedule!$A$224</f>
        <v/>
      </c>
      <c r="C1551">
        <f>Schedule!$D$224</f>
        <v/>
      </c>
      <c r="D1551">
        <f>Schedule!$F$224</f>
        <v/>
      </c>
      <c r="E1551" t="n">
        <v>2</v>
      </c>
      <c r="F1551">
        <f>Schedule!$I$1</f>
        <v/>
      </c>
      <c r="G1551">
        <f>Schedule!$I$2</f>
        <v/>
      </c>
      <c r="H1551">
        <f>Schedule!$I$224</f>
        <v/>
      </c>
      <c r="I1551">
        <f>IF($N1551=1,VALUE(LEFT($H1551,2)),"")</f>
        <v/>
      </c>
      <c r="J1551">
        <f>IF($N1551=1,VALUE(MID($H1551,9,2)),"")</f>
        <v/>
      </c>
      <c r="K1551">
        <f>IF($N1551=1,MOD($J1551-$I1551,24),0)</f>
        <v/>
      </c>
      <c r="L1551">
        <f>IF($N1551=1,$E1551*24+$I1551,"")</f>
        <v/>
      </c>
      <c r="M1551">
        <f>IF($N1551=1,$L1551+$K1551,"")</f>
        <v/>
      </c>
      <c r="N1551">
        <f>IF(ISNUMBER(SEARCH(" - ",$H1551&amp;"")),1,0)</f>
        <v/>
      </c>
      <c r="O1551">
        <f>IF(UPPER($H1551&amp;"")="LEAVE",1,0)</f>
        <v/>
      </c>
      <c r="P1551">
        <f>IF($N1551=1,$K1551,0)</f>
        <v/>
      </c>
      <c r="Q1551">
        <f>IF($N1551=0,"",IFERROR($L1551-LOOKUP(2,1/(($B$2:$B1550=$B1551)*($N$2:$N1550=1)),$M$2:$M1550),""))</f>
        <v/>
      </c>
    </row>
    <row r="1552">
      <c r="A1552" t="n">
        <v>1551</v>
      </c>
      <c r="B1552">
        <f>Schedule!$A$224</f>
        <v/>
      </c>
      <c r="C1552">
        <f>Schedule!$D$224</f>
        <v/>
      </c>
      <c r="D1552">
        <f>Schedule!$F$224</f>
        <v/>
      </c>
      <c r="E1552" t="n">
        <v>3</v>
      </c>
      <c r="F1552">
        <f>Schedule!$J$1</f>
        <v/>
      </c>
      <c r="G1552">
        <f>Schedule!$J$2</f>
        <v/>
      </c>
      <c r="H1552">
        <f>Schedule!$J$224</f>
        <v/>
      </c>
      <c r="I1552">
        <f>IF($N1552=1,VALUE(LEFT($H1552,2)),"")</f>
        <v/>
      </c>
      <c r="J1552">
        <f>IF($N1552=1,VALUE(MID($H1552,9,2)),"")</f>
        <v/>
      </c>
      <c r="K1552">
        <f>IF($N1552=1,MOD($J1552-$I1552,24),0)</f>
        <v/>
      </c>
      <c r="L1552">
        <f>IF($N1552=1,$E1552*24+$I1552,"")</f>
        <v/>
      </c>
      <c r="M1552">
        <f>IF($N1552=1,$L1552+$K1552,"")</f>
        <v/>
      </c>
      <c r="N1552">
        <f>IF(ISNUMBER(SEARCH(" - ",$H1552&amp;"")),1,0)</f>
        <v/>
      </c>
      <c r="O1552">
        <f>IF(UPPER($H1552&amp;"")="LEAVE",1,0)</f>
        <v/>
      </c>
      <c r="P1552">
        <f>IF($N1552=1,$K1552,0)</f>
        <v/>
      </c>
      <c r="Q1552">
        <f>IF($N1552=0,"",IFERROR($L1552-LOOKUP(2,1/(($B$2:$B1551=$B1552)*($N$2:$N1551=1)),$M$2:$M1551),""))</f>
        <v/>
      </c>
    </row>
    <row r="1553">
      <c r="A1553" t="n">
        <v>1552</v>
      </c>
      <c r="B1553">
        <f>Schedule!$A$224</f>
        <v/>
      </c>
      <c r="C1553">
        <f>Schedule!$D$224</f>
        <v/>
      </c>
      <c r="D1553">
        <f>Schedule!$F$224</f>
        <v/>
      </c>
      <c r="E1553" t="n">
        <v>4</v>
      </c>
      <c r="F1553">
        <f>Schedule!$K$1</f>
        <v/>
      </c>
      <c r="G1553">
        <f>Schedule!$K$2</f>
        <v/>
      </c>
      <c r="H1553">
        <f>Schedule!$K$224</f>
        <v/>
      </c>
      <c r="I1553">
        <f>IF($N1553=1,VALUE(LEFT($H1553,2)),"")</f>
        <v/>
      </c>
      <c r="J1553">
        <f>IF($N1553=1,VALUE(MID($H1553,9,2)),"")</f>
        <v/>
      </c>
      <c r="K1553">
        <f>IF($N1553=1,MOD($J1553-$I1553,24),0)</f>
        <v/>
      </c>
      <c r="L1553">
        <f>IF($N1553=1,$E1553*24+$I1553,"")</f>
        <v/>
      </c>
      <c r="M1553">
        <f>IF($N1553=1,$L1553+$K1553,"")</f>
        <v/>
      </c>
      <c r="N1553">
        <f>IF(ISNUMBER(SEARCH(" - ",$H1553&amp;"")),1,0)</f>
        <v/>
      </c>
      <c r="O1553">
        <f>IF(UPPER($H1553&amp;"")="LEAVE",1,0)</f>
        <v/>
      </c>
      <c r="P1553">
        <f>IF($N1553=1,$K1553,0)</f>
        <v/>
      </c>
      <c r="Q1553">
        <f>IF($N1553=0,"",IFERROR($L1553-LOOKUP(2,1/(($B$2:$B1552=$B1553)*($N$2:$N1552=1)),$M$2:$M1552),""))</f>
        <v/>
      </c>
    </row>
    <row r="1554">
      <c r="A1554" t="n">
        <v>1553</v>
      </c>
      <c r="B1554">
        <f>Schedule!$A$224</f>
        <v/>
      </c>
      <c r="C1554">
        <f>Schedule!$D$224</f>
        <v/>
      </c>
      <c r="D1554">
        <f>Schedule!$F$224</f>
        <v/>
      </c>
      <c r="E1554" t="n">
        <v>5</v>
      </c>
      <c r="F1554">
        <f>Schedule!$L$1</f>
        <v/>
      </c>
      <c r="G1554">
        <f>Schedule!$L$2</f>
        <v/>
      </c>
      <c r="H1554">
        <f>Schedule!$L$224</f>
        <v/>
      </c>
      <c r="I1554">
        <f>IF($N1554=1,VALUE(LEFT($H1554,2)),"")</f>
        <v/>
      </c>
      <c r="J1554">
        <f>IF($N1554=1,VALUE(MID($H1554,9,2)),"")</f>
        <v/>
      </c>
      <c r="K1554">
        <f>IF($N1554=1,MOD($J1554-$I1554,24),0)</f>
        <v/>
      </c>
      <c r="L1554">
        <f>IF($N1554=1,$E1554*24+$I1554,"")</f>
        <v/>
      </c>
      <c r="M1554">
        <f>IF($N1554=1,$L1554+$K1554,"")</f>
        <v/>
      </c>
      <c r="N1554">
        <f>IF(ISNUMBER(SEARCH(" - ",$H1554&amp;"")),1,0)</f>
        <v/>
      </c>
      <c r="O1554">
        <f>IF(UPPER($H1554&amp;"")="LEAVE",1,0)</f>
        <v/>
      </c>
      <c r="P1554">
        <f>IF($N1554=1,$K1554,0)</f>
        <v/>
      </c>
      <c r="Q1554">
        <f>IF($N1554=0,"",IFERROR($L1554-LOOKUP(2,1/(($B$2:$B1553=$B1554)*($N$2:$N1553=1)),$M$2:$M1553),""))</f>
        <v/>
      </c>
    </row>
    <row r="1555">
      <c r="A1555" t="n">
        <v>1554</v>
      </c>
      <c r="B1555">
        <f>Schedule!$A$224</f>
        <v/>
      </c>
      <c r="C1555">
        <f>Schedule!$D$224</f>
        <v/>
      </c>
      <c r="D1555">
        <f>Schedule!$F$224</f>
        <v/>
      </c>
      <c r="E1555" t="n">
        <v>6</v>
      </c>
      <c r="F1555">
        <f>Schedule!$M$1</f>
        <v/>
      </c>
      <c r="G1555">
        <f>Schedule!$M$2</f>
        <v/>
      </c>
      <c r="H1555">
        <f>Schedule!$M$224</f>
        <v/>
      </c>
      <c r="I1555">
        <f>IF($N1555=1,VALUE(LEFT($H1555,2)),"")</f>
        <v/>
      </c>
      <c r="J1555">
        <f>IF($N1555=1,VALUE(MID($H1555,9,2)),"")</f>
        <v/>
      </c>
      <c r="K1555">
        <f>IF($N1555=1,MOD($J1555-$I1555,24),0)</f>
        <v/>
      </c>
      <c r="L1555">
        <f>IF($N1555=1,$E1555*24+$I1555,"")</f>
        <v/>
      </c>
      <c r="M1555">
        <f>IF($N1555=1,$L1555+$K1555,"")</f>
        <v/>
      </c>
      <c r="N1555">
        <f>IF(ISNUMBER(SEARCH(" - ",$H1555&amp;"")),1,0)</f>
        <v/>
      </c>
      <c r="O1555">
        <f>IF(UPPER($H1555&amp;"")="LEAVE",1,0)</f>
        <v/>
      </c>
      <c r="P1555">
        <f>IF($N1555=1,$K1555,0)</f>
        <v/>
      </c>
      <c r="Q1555">
        <f>IF($N1555=0,"",IFERROR($L1555-LOOKUP(2,1/(($B$2:$B1554=$B1555)*($N$2:$N1554=1)),$M$2:$M1554),""))</f>
        <v/>
      </c>
    </row>
    <row r="1556">
      <c r="A1556" t="n">
        <v>1555</v>
      </c>
      <c r="B1556">
        <f>Schedule!$A$225</f>
        <v/>
      </c>
      <c r="C1556">
        <f>Schedule!$D$225</f>
        <v/>
      </c>
      <c r="D1556">
        <f>Schedule!$F$225</f>
        <v/>
      </c>
      <c r="E1556" t="n">
        <v>0</v>
      </c>
      <c r="F1556">
        <f>Schedule!$G$1</f>
        <v/>
      </c>
      <c r="G1556">
        <f>Schedule!$G$2</f>
        <v/>
      </c>
      <c r="H1556">
        <f>Schedule!$G$225</f>
        <v/>
      </c>
      <c r="I1556">
        <f>IF($N1556=1,VALUE(LEFT($H1556,2)),"")</f>
        <v/>
      </c>
      <c r="J1556">
        <f>IF($N1556=1,VALUE(MID($H1556,9,2)),"")</f>
        <v/>
      </c>
      <c r="K1556">
        <f>IF($N1556=1,MOD($J1556-$I1556,24),0)</f>
        <v/>
      </c>
      <c r="L1556">
        <f>IF($N1556=1,$E1556*24+$I1556,"")</f>
        <v/>
      </c>
      <c r="M1556">
        <f>IF($N1556=1,$L1556+$K1556,"")</f>
        <v/>
      </c>
      <c r="N1556">
        <f>IF(ISNUMBER(SEARCH(" - ",$H1556&amp;"")),1,0)</f>
        <v/>
      </c>
      <c r="O1556">
        <f>IF(UPPER($H1556&amp;"")="LEAVE",1,0)</f>
        <v/>
      </c>
      <c r="P1556">
        <f>IF($N1556=1,$K1556,0)</f>
        <v/>
      </c>
      <c r="Q1556">
        <f>IF($N1556=0,"",IFERROR($L1556-'Previous Engine'!$M$224,""))</f>
        <v/>
      </c>
    </row>
    <row r="1557">
      <c r="A1557" t="n">
        <v>1556</v>
      </c>
      <c r="B1557">
        <f>Schedule!$A$225</f>
        <v/>
      </c>
      <c r="C1557">
        <f>Schedule!$D$225</f>
        <v/>
      </c>
      <c r="D1557">
        <f>Schedule!$F$225</f>
        <v/>
      </c>
      <c r="E1557" t="n">
        <v>1</v>
      </c>
      <c r="F1557">
        <f>Schedule!$H$1</f>
        <v/>
      </c>
      <c r="G1557">
        <f>Schedule!$H$2</f>
        <v/>
      </c>
      <c r="H1557">
        <f>Schedule!$H$225</f>
        <v/>
      </c>
      <c r="I1557">
        <f>IF($N1557=1,VALUE(LEFT($H1557,2)),"")</f>
        <v/>
      </c>
      <c r="J1557">
        <f>IF($N1557=1,VALUE(MID($H1557,9,2)),"")</f>
        <v/>
      </c>
      <c r="K1557">
        <f>IF($N1557=1,MOD($J1557-$I1557,24),0)</f>
        <v/>
      </c>
      <c r="L1557">
        <f>IF($N1557=1,$E1557*24+$I1557,"")</f>
        <v/>
      </c>
      <c r="M1557">
        <f>IF($N1557=1,$L1557+$K1557,"")</f>
        <v/>
      </c>
      <c r="N1557">
        <f>IF(ISNUMBER(SEARCH(" - ",$H1557&amp;"")),1,0)</f>
        <v/>
      </c>
      <c r="O1557">
        <f>IF(UPPER($H1557&amp;"")="LEAVE",1,0)</f>
        <v/>
      </c>
      <c r="P1557">
        <f>IF($N1557=1,$K1557,0)</f>
        <v/>
      </c>
      <c r="Q1557">
        <f>IF($N1557=0,"",IFERROR($L1557-LOOKUP(2,1/(($B$2:$B1556=$B1557)*($N$2:$N1556=1)),$M$2:$M1556),""))</f>
        <v/>
      </c>
    </row>
    <row r="1558">
      <c r="A1558" t="n">
        <v>1557</v>
      </c>
      <c r="B1558">
        <f>Schedule!$A$225</f>
        <v/>
      </c>
      <c r="C1558">
        <f>Schedule!$D$225</f>
        <v/>
      </c>
      <c r="D1558">
        <f>Schedule!$F$225</f>
        <v/>
      </c>
      <c r="E1558" t="n">
        <v>2</v>
      </c>
      <c r="F1558">
        <f>Schedule!$I$1</f>
        <v/>
      </c>
      <c r="G1558">
        <f>Schedule!$I$2</f>
        <v/>
      </c>
      <c r="H1558">
        <f>Schedule!$I$225</f>
        <v/>
      </c>
      <c r="I1558">
        <f>IF($N1558=1,VALUE(LEFT($H1558,2)),"")</f>
        <v/>
      </c>
      <c r="J1558">
        <f>IF($N1558=1,VALUE(MID($H1558,9,2)),"")</f>
        <v/>
      </c>
      <c r="K1558">
        <f>IF($N1558=1,MOD($J1558-$I1558,24),0)</f>
        <v/>
      </c>
      <c r="L1558">
        <f>IF($N1558=1,$E1558*24+$I1558,"")</f>
        <v/>
      </c>
      <c r="M1558">
        <f>IF($N1558=1,$L1558+$K1558,"")</f>
        <v/>
      </c>
      <c r="N1558">
        <f>IF(ISNUMBER(SEARCH(" - ",$H1558&amp;"")),1,0)</f>
        <v/>
      </c>
      <c r="O1558">
        <f>IF(UPPER($H1558&amp;"")="LEAVE",1,0)</f>
        <v/>
      </c>
      <c r="P1558">
        <f>IF($N1558=1,$K1558,0)</f>
        <v/>
      </c>
      <c r="Q1558">
        <f>IF($N1558=0,"",IFERROR($L1558-LOOKUP(2,1/(($B$2:$B1557=$B1558)*($N$2:$N1557=1)),$M$2:$M1557),""))</f>
        <v/>
      </c>
    </row>
    <row r="1559">
      <c r="A1559" t="n">
        <v>1558</v>
      </c>
      <c r="B1559">
        <f>Schedule!$A$225</f>
        <v/>
      </c>
      <c r="C1559">
        <f>Schedule!$D$225</f>
        <v/>
      </c>
      <c r="D1559">
        <f>Schedule!$F$225</f>
        <v/>
      </c>
      <c r="E1559" t="n">
        <v>3</v>
      </c>
      <c r="F1559">
        <f>Schedule!$J$1</f>
        <v/>
      </c>
      <c r="G1559">
        <f>Schedule!$J$2</f>
        <v/>
      </c>
      <c r="H1559">
        <f>Schedule!$J$225</f>
        <v/>
      </c>
      <c r="I1559">
        <f>IF($N1559=1,VALUE(LEFT($H1559,2)),"")</f>
        <v/>
      </c>
      <c r="J1559">
        <f>IF($N1559=1,VALUE(MID($H1559,9,2)),"")</f>
        <v/>
      </c>
      <c r="K1559">
        <f>IF($N1559=1,MOD($J1559-$I1559,24),0)</f>
        <v/>
      </c>
      <c r="L1559">
        <f>IF($N1559=1,$E1559*24+$I1559,"")</f>
        <v/>
      </c>
      <c r="M1559">
        <f>IF($N1559=1,$L1559+$K1559,"")</f>
        <v/>
      </c>
      <c r="N1559">
        <f>IF(ISNUMBER(SEARCH(" - ",$H1559&amp;"")),1,0)</f>
        <v/>
      </c>
      <c r="O1559">
        <f>IF(UPPER($H1559&amp;"")="LEAVE",1,0)</f>
        <v/>
      </c>
      <c r="P1559">
        <f>IF($N1559=1,$K1559,0)</f>
        <v/>
      </c>
      <c r="Q1559">
        <f>IF($N1559=0,"",IFERROR($L1559-LOOKUP(2,1/(($B$2:$B1558=$B1559)*($N$2:$N1558=1)),$M$2:$M1558),""))</f>
        <v/>
      </c>
    </row>
    <row r="1560">
      <c r="A1560" t="n">
        <v>1559</v>
      </c>
      <c r="B1560">
        <f>Schedule!$A$225</f>
        <v/>
      </c>
      <c r="C1560">
        <f>Schedule!$D$225</f>
        <v/>
      </c>
      <c r="D1560">
        <f>Schedule!$F$225</f>
        <v/>
      </c>
      <c r="E1560" t="n">
        <v>4</v>
      </c>
      <c r="F1560">
        <f>Schedule!$K$1</f>
        <v/>
      </c>
      <c r="G1560">
        <f>Schedule!$K$2</f>
        <v/>
      </c>
      <c r="H1560">
        <f>Schedule!$K$225</f>
        <v/>
      </c>
      <c r="I1560">
        <f>IF($N1560=1,VALUE(LEFT($H1560,2)),"")</f>
        <v/>
      </c>
      <c r="J1560">
        <f>IF($N1560=1,VALUE(MID($H1560,9,2)),"")</f>
        <v/>
      </c>
      <c r="K1560">
        <f>IF($N1560=1,MOD($J1560-$I1560,24),0)</f>
        <v/>
      </c>
      <c r="L1560">
        <f>IF($N1560=1,$E1560*24+$I1560,"")</f>
        <v/>
      </c>
      <c r="M1560">
        <f>IF($N1560=1,$L1560+$K1560,"")</f>
        <v/>
      </c>
      <c r="N1560">
        <f>IF(ISNUMBER(SEARCH(" - ",$H1560&amp;"")),1,0)</f>
        <v/>
      </c>
      <c r="O1560">
        <f>IF(UPPER($H1560&amp;"")="LEAVE",1,0)</f>
        <v/>
      </c>
      <c r="P1560">
        <f>IF($N1560=1,$K1560,0)</f>
        <v/>
      </c>
      <c r="Q1560">
        <f>IF($N1560=0,"",IFERROR($L1560-LOOKUP(2,1/(($B$2:$B1559=$B1560)*($N$2:$N1559=1)),$M$2:$M1559),""))</f>
        <v/>
      </c>
    </row>
    <row r="1561">
      <c r="A1561" t="n">
        <v>1560</v>
      </c>
      <c r="B1561">
        <f>Schedule!$A$225</f>
        <v/>
      </c>
      <c r="C1561">
        <f>Schedule!$D$225</f>
        <v/>
      </c>
      <c r="D1561">
        <f>Schedule!$F$225</f>
        <v/>
      </c>
      <c r="E1561" t="n">
        <v>5</v>
      </c>
      <c r="F1561">
        <f>Schedule!$L$1</f>
        <v/>
      </c>
      <c r="G1561">
        <f>Schedule!$L$2</f>
        <v/>
      </c>
      <c r="H1561">
        <f>Schedule!$L$225</f>
        <v/>
      </c>
      <c r="I1561">
        <f>IF($N1561=1,VALUE(LEFT($H1561,2)),"")</f>
        <v/>
      </c>
      <c r="J1561">
        <f>IF($N1561=1,VALUE(MID($H1561,9,2)),"")</f>
        <v/>
      </c>
      <c r="K1561">
        <f>IF($N1561=1,MOD($J1561-$I1561,24),0)</f>
        <v/>
      </c>
      <c r="L1561">
        <f>IF($N1561=1,$E1561*24+$I1561,"")</f>
        <v/>
      </c>
      <c r="M1561">
        <f>IF($N1561=1,$L1561+$K1561,"")</f>
        <v/>
      </c>
      <c r="N1561">
        <f>IF(ISNUMBER(SEARCH(" - ",$H1561&amp;"")),1,0)</f>
        <v/>
      </c>
      <c r="O1561">
        <f>IF(UPPER($H1561&amp;"")="LEAVE",1,0)</f>
        <v/>
      </c>
      <c r="P1561">
        <f>IF($N1561=1,$K1561,0)</f>
        <v/>
      </c>
      <c r="Q1561">
        <f>IF($N1561=0,"",IFERROR($L1561-LOOKUP(2,1/(($B$2:$B1560=$B1561)*($N$2:$N1560=1)),$M$2:$M1560),""))</f>
        <v/>
      </c>
    </row>
    <row r="1562">
      <c r="A1562" t="n">
        <v>1561</v>
      </c>
      <c r="B1562">
        <f>Schedule!$A$225</f>
        <v/>
      </c>
      <c r="C1562">
        <f>Schedule!$D$225</f>
        <v/>
      </c>
      <c r="D1562">
        <f>Schedule!$F$225</f>
        <v/>
      </c>
      <c r="E1562" t="n">
        <v>6</v>
      </c>
      <c r="F1562">
        <f>Schedule!$M$1</f>
        <v/>
      </c>
      <c r="G1562">
        <f>Schedule!$M$2</f>
        <v/>
      </c>
      <c r="H1562">
        <f>Schedule!$M$225</f>
        <v/>
      </c>
      <c r="I1562">
        <f>IF($N1562=1,VALUE(LEFT($H1562,2)),"")</f>
        <v/>
      </c>
      <c r="J1562">
        <f>IF($N1562=1,VALUE(MID($H1562,9,2)),"")</f>
        <v/>
      </c>
      <c r="K1562">
        <f>IF($N1562=1,MOD($J1562-$I1562,24),0)</f>
        <v/>
      </c>
      <c r="L1562">
        <f>IF($N1562=1,$E1562*24+$I1562,"")</f>
        <v/>
      </c>
      <c r="M1562">
        <f>IF($N1562=1,$L1562+$K1562,"")</f>
        <v/>
      </c>
      <c r="N1562">
        <f>IF(ISNUMBER(SEARCH(" - ",$H1562&amp;"")),1,0)</f>
        <v/>
      </c>
      <c r="O1562">
        <f>IF(UPPER($H1562&amp;"")="LEAVE",1,0)</f>
        <v/>
      </c>
      <c r="P1562">
        <f>IF($N1562=1,$K1562,0)</f>
        <v/>
      </c>
      <c r="Q1562">
        <f>IF($N1562=0,"",IFERROR($L1562-LOOKUP(2,1/(($B$2:$B1561=$B1562)*($N$2:$N1561=1)),$M$2:$M1561),""))</f>
        <v/>
      </c>
    </row>
    <row r="1563">
      <c r="A1563" t="n">
        <v>1562</v>
      </c>
      <c r="B1563">
        <f>Schedule!$A$226</f>
        <v/>
      </c>
      <c r="C1563">
        <f>Schedule!$D$226</f>
        <v/>
      </c>
      <c r="D1563">
        <f>Schedule!$F$226</f>
        <v/>
      </c>
      <c r="E1563" t="n">
        <v>0</v>
      </c>
      <c r="F1563">
        <f>Schedule!$G$1</f>
        <v/>
      </c>
      <c r="G1563">
        <f>Schedule!$G$2</f>
        <v/>
      </c>
      <c r="H1563">
        <f>Schedule!$G$226</f>
        <v/>
      </c>
      <c r="I1563">
        <f>IF($N1563=1,VALUE(LEFT($H1563,2)),"")</f>
        <v/>
      </c>
      <c r="J1563">
        <f>IF($N1563=1,VALUE(MID($H1563,9,2)),"")</f>
        <v/>
      </c>
      <c r="K1563">
        <f>IF($N1563=1,MOD($J1563-$I1563,24),0)</f>
        <v/>
      </c>
      <c r="L1563">
        <f>IF($N1563=1,$E1563*24+$I1563,"")</f>
        <v/>
      </c>
      <c r="M1563">
        <f>IF($N1563=1,$L1563+$K1563,"")</f>
        <v/>
      </c>
      <c r="N1563">
        <f>IF(ISNUMBER(SEARCH(" - ",$H1563&amp;"")),1,0)</f>
        <v/>
      </c>
      <c r="O1563">
        <f>IF(UPPER($H1563&amp;"")="LEAVE",1,0)</f>
        <v/>
      </c>
      <c r="P1563">
        <f>IF($N1563=1,$K1563,0)</f>
        <v/>
      </c>
      <c r="Q1563">
        <f>IF($N1563=0,"",IFERROR($L1563-'Previous Engine'!$M$225,""))</f>
        <v/>
      </c>
    </row>
    <row r="1564">
      <c r="A1564" t="n">
        <v>1563</v>
      </c>
      <c r="B1564">
        <f>Schedule!$A$226</f>
        <v/>
      </c>
      <c r="C1564">
        <f>Schedule!$D$226</f>
        <v/>
      </c>
      <c r="D1564">
        <f>Schedule!$F$226</f>
        <v/>
      </c>
      <c r="E1564" t="n">
        <v>1</v>
      </c>
      <c r="F1564">
        <f>Schedule!$H$1</f>
        <v/>
      </c>
      <c r="G1564">
        <f>Schedule!$H$2</f>
        <v/>
      </c>
      <c r="H1564">
        <f>Schedule!$H$226</f>
        <v/>
      </c>
      <c r="I1564">
        <f>IF($N1564=1,VALUE(LEFT($H1564,2)),"")</f>
        <v/>
      </c>
      <c r="J1564">
        <f>IF($N1564=1,VALUE(MID($H1564,9,2)),"")</f>
        <v/>
      </c>
      <c r="K1564">
        <f>IF($N1564=1,MOD($J1564-$I1564,24),0)</f>
        <v/>
      </c>
      <c r="L1564">
        <f>IF($N1564=1,$E1564*24+$I1564,"")</f>
        <v/>
      </c>
      <c r="M1564">
        <f>IF($N1564=1,$L1564+$K1564,"")</f>
        <v/>
      </c>
      <c r="N1564">
        <f>IF(ISNUMBER(SEARCH(" - ",$H1564&amp;"")),1,0)</f>
        <v/>
      </c>
      <c r="O1564">
        <f>IF(UPPER($H1564&amp;"")="LEAVE",1,0)</f>
        <v/>
      </c>
      <c r="P1564">
        <f>IF($N1564=1,$K1564,0)</f>
        <v/>
      </c>
      <c r="Q1564">
        <f>IF($N1564=0,"",IFERROR($L1564-LOOKUP(2,1/(($B$2:$B1563=$B1564)*($N$2:$N1563=1)),$M$2:$M1563),""))</f>
        <v/>
      </c>
    </row>
    <row r="1565">
      <c r="A1565" t="n">
        <v>1564</v>
      </c>
      <c r="B1565">
        <f>Schedule!$A$226</f>
        <v/>
      </c>
      <c r="C1565">
        <f>Schedule!$D$226</f>
        <v/>
      </c>
      <c r="D1565">
        <f>Schedule!$F$226</f>
        <v/>
      </c>
      <c r="E1565" t="n">
        <v>2</v>
      </c>
      <c r="F1565">
        <f>Schedule!$I$1</f>
        <v/>
      </c>
      <c r="G1565">
        <f>Schedule!$I$2</f>
        <v/>
      </c>
      <c r="H1565">
        <f>Schedule!$I$226</f>
        <v/>
      </c>
      <c r="I1565">
        <f>IF($N1565=1,VALUE(LEFT($H1565,2)),"")</f>
        <v/>
      </c>
      <c r="J1565">
        <f>IF($N1565=1,VALUE(MID($H1565,9,2)),"")</f>
        <v/>
      </c>
      <c r="K1565">
        <f>IF($N1565=1,MOD($J1565-$I1565,24),0)</f>
        <v/>
      </c>
      <c r="L1565">
        <f>IF($N1565=1,$E1565*24+$I1565,"")</f>
        <v/>
      </c>
      <c r="M1565">
        <f>IF($N1565=1,$L1565+$K1565,"")</f>
        <v/>
      </c>
      <c r="N1565">
        <f>IF(ISNUMBER(SEARCH(" - ",$H1565&amp;"")),1,0)</f>
        <v/>
      </c>
      <c r="O1565">
        <f>IF(UPPER($H1565&amp;"")="LEAVE",1,0)</f>
        <v/>
      </c>
      <c r="P1565">
        <f>IF($N1565=1,$K1565,0)</f>
        <v/>
      </c>
      <c r="Q1565">
        <f>IF($N1565=0,"",IFERROR($L1565-LOOKUP(2,1/(($B$2:$B1564=$B1565)*($N$2:$N1564=1)),$M$2:$M1564),""))</f>
        <v/>
      </c>
    </row>
    <row r="1566">
      <c r="A1566" t="n">
        <v>1565</v>
      </c>
      <c r="B1566">
        <f>Schedule!$A$226</f>
        <v/>
      </c>
      <c r="C1566">
        <f>Schedule!$D$226</f>
        <v/>
      </c>
      <c r="D1566">
        <f>Schedule!$F$226</f>
        <v/>
      </c>
      <c r="E1566" t="n">
        <v>3</v>
      </c>
      <c r="F1566">
        <f>Schedule!$J$1</f>
        <v/>
      </c>
      <c r="G1566">
        <f>Schedule!$J$2</f>
        <v/>
      </c>
      <c r="H1566">
        <f>Schedule!$J$226</f>
        <v/>
      </c>
      <c r="I1566">
        <f>IF($N1566=1,VALUE(LEFT($H1566,2)),"")</f>
        <v/>
      </c>
      <c r="J1566">
        <f>IF($N1566=1,VALUE(MID($H1566,9,2)),"")</f>
        <v/>
      </c>
      <c r="K1566">
        <f>IF($N1566=1,MOD($J1566-$I1566,24),0)</f>
        <v/>
      </c>
      <c r="L1566">
        <f>IF($N1566=1,$E1566*24+$I1566,"")</f>
        <v/>
      </c>
      <c r="M1566">
        <f>IF($N1566=1,$L1566+$K1566,"")</f>
        <v/>
      </c>
      <c r="N1566">
        <f>IF(ISNUMBER(SEARCH(" - ",$H1566&amp;"")),1,0)</f>
        <v/>
      </c>
      <c r="O1566">
        <f>IF(UPPER($H1566&amp;"")="LEAVE",1,0)</f>
        <v/>
      </c>
      <c r="P1566">
        <f>IF($N1566=1,$K1566,0)</f>
        <v/>
      </c>
      <c r="Q1566">
        <f>IF($N1566=0,"",IFERROR($L1566-LOOKUP(2,1/(($B$2:$B1565=$B1566)*($N$2:$N1565=1)),$M$2:$M1565),""))</f>
        <v/>
      </c>
    </row>
    <row r="1567">
      <c r="A1567" t="n">
        <v>1566</v>
      </c>
      <c r="B1567">
        <f>Schedule!$A$226</f>
        <v/>
      </c>
      <c r="C1567">
        <f>Schedule!$D$226</f>
        <v/>
      </c>
      <c r="D1567">
        <f>Schedule!$F$226</f>
        <v/>
      </c>
      <c r="E1567" t="n">
        <v>4</v>
      </c>
      <c r="F1567">
        <f>Schedule!$K$1</f>
        <v/>
      </c>
      <c r="G1567">
        <f>Schedule!$K$2</f>
        <v/>
      </c>
      <c r="H1567">
        <f>Schedule!$K$226</f>
        <v/>
      </c>
      <c r="I1567">
        <f>IF($N1567=1,VALUE(LEFT($H1567,2)),"")</f>
        <v/>
      </c>
      <c r="J1567">
        <f>IF($N1567=1,VALUE(MID($H1567,9,2)),"")</f>
        <v/>
      </c>
      <c r="K1567">
        <f>IF($N1567=1,MOD($J1567-$I1567,24),0)</f>
        <v/>
      </c>
      <c r="L1567">
        <f>IF($N1567=1,$E1567*24+$I1567,"")</f>
        <v/>
      </c>
      <c r="M1567">
        <f>IF($N1567=1,$L1567+$K1567,"")</f>
        <v/>
      </c>
      <c r="N1567">
        <f>IF(ISNUMBER(SEARCH(" - ",$H1567&amp;"")),1,0)</f>
        <v/>
      </c>
      <c r="O1567">
        <f>IF(UPPER($H1567&amp;"")="LEAVE",1,0)</f>
        <v/>
      </c>
      <c r="P1567">
        <f>IF($N1567=1,$K1567,0)</f>
        <v/>
      </c>
      <c r="Q1567">
        <f>IF($N1567=0,"",IFERROR($L1567-LOOKUP(2,1/(($B$2:$B1566=$B1567)*($N$2:$N1566=1)),$M$2:$M1566),""))</f>
        <v/>
      </c>
    </row>
    <row r="1568">
      <c r="A1568" t="n">
        <v>1567</v>
      </c>
      <c r="B1568">
        <f>Schedule!$A$226</f>
        <v/>
      </c>
      <c r="C1568">
        <f>Schedule!$D$226</f>
        <v/>
      </c>
      <c r="D1568">
        <f>Schedule!$F$226</f>
        <v/>
      </c>
      <c r="E1568" t="n">
        <v>5</v>
      </c>
      <c r="F1568">
        <f>Schedule!$L$1</f>
        <v/>
      </c>
      <c r="G1568">
        <f>Schedule!$L$2</f>
        <v/>
      </c>
      <c r="H1568">
        <f>Schedule!$L$226</f>
        <v/>
      </c>
      <c r="I1568">
        <f>IF($N1568=1,VALUE(LEFT($H1568,2)),"")</f>
        <v/>
      </c>
      <c r="J1568">
        <f>IF($N1568=1,VALUE(MID($H1568,9,2)),"")</f>
        <v/>
      </c>
      <c r="K1568">
        <f>IF($N1568=1,MOD($J1568-$I1568,24),0)</f>
        <v/>
      </c>
      <c r="L1568">
        <f>IF($N1568=1,$E1568*24+$I1568,"")</f>
        <v/>
      </c>
      <c r="M1568">
        <f>IF($N1568=1,$L1568+$K1568,"")</f>
        <v/>
      </c>
      <c r="N1568">
        <f>IF(ISNUMBER(SEARCH(" - ",$H1568&amp;"")),1,0)</f>
        <v/>
      </c>
      <c r="O1568">
        <f>IF(UPPER($H1568&amp;"")="LEAVE",1,0)</f>
        <v/>
      </c>
      <c r="P1568">
        <f>IF($N1568=1,$K1568,0)</f>
        <v/>
      </c>
      <c r="Q1568">
        <f>IF($N1568=0,"",IFERROR($L1568-LOOKUP(2,1/(($B$2:$B1567=$B1568)*($N$2:$N1567=1)),$M$2:$M1567),""))</f>
        <v/>
      </c>
    </row>
    <row r="1569">
      <c r="A1569" t="n">
        <v>1568</v>
      </c>
      <c r="B1569">
        <f>Schedule!$A$226</f>
        <v/>
      </c>
      <c r="C1569">
        <f>Schedule!$D$226</f>
        <v/>
      </c>
      <c r="D1569">
        <f>Schedule!$F$226</f>
        <v/>
      </c>
      <c r="E1569" t="n">
        <v>6</v>
      </c>
      <c r="F1569">
        <f>Schedule!$M$1</f>
        <v/>
      </c>
      <c r="G1569">
        <f>Schedule!$M$2</f>
        <v/>
      </c>
      <c r="H1569">
        <f>Schedule!$M$226</f>
        <v/>
      </c>
      <c r="I1569">
        <f>IF($N1569=1,VALUE(LEFT($H1569,2)),"")</f>
        <v/>
      </c>
      <c r="J1569">
        <f>IF($N1569=1,VALUE(MID($H1569,9,2)),"")</f>
        <v/>
      </c>
      <c r="K1569">
        <f>IF($N1569=1,MOD($J1569-$I1569,24),0)</f>
        <v/>
      </c>
      <c r="L1569">
        <f>IF($N1569=1,$E1569*24+$I1569,"")</f>
        <v/>
      </c>
      <c r="M1569">
        <f>IF($N1569=1,$L1569+$K1569,"")</f>
        <v/>
      </c>
      <c r="N1569">
        <f>IF(ISNUMBER(SEARCH(" - ",$H1569&amp;"")),1,0)</f>
        <v/>
      </c>
      <c r="O1569">
        <f>IF(UPPER($H1569&amp;"")="LEAVE",1,0)</f>
        <v/>
      </c>
      <c r="P1569">
        <f>IF($N1569=1,$K1569,0)</f>
        <v/>
      </c>
      <c r="Q1569">
        <f>IF($N1569=0,"",IFERROR($L1569-LOOKUP(2,1/(($B$2:$B1568=$B1569)*($N$2:$N1568=1)),$M$2:$M1568),""))</f>
        <v/>
      </c>
    </row>
    <row r="1570">
      <c r="A1570" t="n">
        <v>1569</v>
      </c>
      <c r="B1570">
        <f>Schedule!$A$227</f>
        <v/>
      </c>
      <c r="C1570">
        <f>Schedule!$D$227</f>
        <v/>
      </c>
      <c r="D1570">
        <f>Schedule!$F$227</f>
        <v/>
      </c>
      <c r="E1570" t="n">
        <v>0</v>
      </c>
      <c r="F1570">
        <f>Schedule!$G$1</f>
        <v/>
      </c>
      <c r="G1570">
        <f>Schedule!$G$2</f>
        <v/>
      </c>
      <c r="H1570">
        <f>Schedule!$G$227</f>
        <v/>
      </c>
      <c r="I1570">
        <f>IF($N1570=1,VALUE(LEFT($H1570,2)),"")</f>
        <v/>
      </c>
      <c r="J1570">
        <f>IF($N1570=1,VALUE(MID($H1570,9,2)),"")</f>
        <v/>
      </c>
      <c r="K1570">
        <f>IF($N1570=1,MOD($J1570-$I1570,24),0)</f>
        <v/>
      </c>
      <c r="L1570">
        <f>IF($N1570=1,$E1570*24+$I1570,"")</f>
        <v/>
      </c>
      <c r="M1570">
        <f>IF($N1570=1,$L1570+$K1570,"")</f>
        <v/>
      </c>
      <c r="N1570">
        <f>IF(ISNUMBER(SEARCH(" - ",$H1570&amp;"")),1,0)</f>
        <v/>
      </c>
      <c r="O1570">
        <f>IF(UPPER($H1570&amp;"")="LEAVE",1,0)</f>
        <v/>
      </c>
      <c r="P1570">
        <f>IF($N1570=1,$K1570,0)</f>
        <v/>
      </c>
      <c r="Q1570">
        <f>IF($N1570=0,"",IFERROR($L1570-'Previous Engine'!$M$226,""))</f>
        <v/>
      </c>
    </row>
    <row r="1571">
      <c r="A1571" t="n">
        <v>1570</v>
      </c>
      <c r="B1571">
        <f>Schedule!$A$227</f>
        <v/>
      </c>
      <c r="C1571">
        <f>Schedule!$D$227</f>
        <v/>
      </c>
      <c r="D1571">
        <f>Schedule!$F$227</f>
        <v/>
      </c>
      <c r="E1571" t="n">
        <v>1</v>
      </c>
      <c r="F1571">
        <f>Schedule!$H$1</f>
        <v/>
      </c>
      <c r="G1571">
        <f>Schedule!$H$2</f>
        <v/>
      </c>
      <c r="H1571">
        <f>Schedule!$H$227</f>
        <v/>
      </c>
      <c r="I1571">
        <f>IF($N1571=1,VALUE(LEFT($H1571,2)),"")</f>
        <v/>
      </c>
      <c r="J1571">
        <f>IF($N1571=1,VALUE(MID($H1571,9,2)),"")</f>
        <v/>
      </c>
      <c r="K1571">
        <f>IF($N1571=1,MOD($J1571-$I1571,24),0)</f>
        <v/>
      </c>
      <c r="L1571">
        <f>IF($N1571=1,$E1571*24+$I1571,"")</f>
        <v/>
      </c>
      <c r="M1571">
        <f>IF($N1571=1,$L1571+$K1571,"")</f>
        <v/>
      </c>
      <c r="N1571">
        <f>IF(ISNUMBER(SEARCH(" - ",$H1571&amp;"")),1,0)</f>
        <v/>
      </c>
      <c r="O1571">
        <f>IF(UPPER($H1571&amp;"")="LEAVE",1,0)</f>
        <v/>
      </c>
      <c r="P1571">
        <f>IF($N1571=1,$K1571,0)</f>
        <v/>
      </c>
      <c r="Q1571">
        <f>IF($N1571=0,"",IFERROR($L1571-LOOKUP(2,1/(($B$2:$B1570=$B1571)*($N$2:$N1570=1)),$M$2:$M1570),""))</f>
        <v/>
      </c>
    </row>
    <row r="1572">
      <c r="A1572" t="n">
        <v>1571</v>
      </c>
      <c r="B1572">
        <f>Schedule!$A$227</f>
        <v/>
      </c>
      <c r="C1572">
        <f>Schedule!$D$227</f>
        <v/>
      </c>
      <c r="D1572">
        <f>Schedule!$F$227</f>
        <v/>
      </c>
      <c r="E1572" t="n">
        <v>2</v>
      </c>
      <c r="F1572">
        <f>Schedule!$I$1</f>
        <v/>
      </c>
      <c r="G1572">
        <f>Schedule!$I$2</f>
        <v/>
      </c>
      <c r="H1572">
        <f>Schedule!$I$227</f>
        <v/>
      </c>
      <c r="I1572">
        <f>IF($N1572=1,VALUE(LEFT($H1572,2)),"")</f>
        <v/>
      </c>
      <c r="J1572">
        <f>IF($N1572=1,VALUE(MID($H1572,9,2)),"")</f>
        <v/>
      </c>
      <c r="K1572">
        <f>IF($N1572=1,MOD($J1572-$I1572,24),0)</f>
        <v/>
      </c>
      <c r="L1572">
        <f>IF($N1572=1,$E1572*24+$I1572,"")</f>
        <v/>
      </c>
      <c r="M1572">
        <f>IF($N1572=1,$L1572+$K1572,"")</f>
        <v/>
      </c>
      <c r="N1572">
        <f>IF(ISNUMBER(SEARCH(" - ",$H1572&amp;"")),1,0)</f>
        <v/>
      </c>
      <c r="O1572">
        <f>IF(UPPER($H1572&amp;"")="LEAVE",1,0)</f>
        <v/>
      </c>
      <c r="P1572">
        <f>IF($N1572=1,$K1572,0)</f>
        <v/>
      </c>
      <c r="Q1572">
        <f>IF($N1572=0,"",IFERROR($L1572-LOOKUP(2,1/(($B$2:$B1571=$B1572)*($N$2:$N1571=1)),$M$2:$M1571),""))</f>
        <v/>
      </c>
    </row>
    <row r="1573">
      <c r="A1573" t="n">
        <v>1572</v>
      </c>
      <c r="B1573">
        <f>Schedule!$A$227</f>
        <v/>
      </c>
      <c r="C1573">
        <f>Schedule!$D$227</f>
        <v/>
      </c>
      <c r="D1573">
        <f>Schedule!$F$227</f>
        <v/>
      </c>
      <c r="E1573" t="n">
        <v>3</v>
      </c>
      <c r="F1573">
        <f>Schedule!$J$1</f>
        <v/>
      </c>
      <c r="G1573">
        <f>Schedule!$J$2</f>
        <v/>
      </c>
      <c r="H1573">
        <f>Schedule!$J$227</f>
        <v/>
      </c>
      <c r="I1573">
        <f>IF($N1573=1,VALUE(LEFT($H1573,2)),"")</f>
        <v/>
      </c>
      <c r="J1573">
        <f>IF($N1573=1,VALUE(MID($H1573,9,2)),"")</f>
        <v/>
      </c>
      <c r="K1573">
        <f>IF($N1573=1,MOD($J1573-$I1573,24),0)</f>
        <v/>
      </c>
      <c r="L1573">
        <f>IF($N1573=1,$E1573*24+$I1573,"")</f>
        <v/>
      </c>
      <c r="M1573">
        <f>IF($N1573=1,$L1573+$K1573,"")</f>
        <v/>
      </c>
      <c r="N1573">
        <f>IF(ISNUMBER(SEARCH(" - ",$H1573&amp;"")),1,0)</f>
        <v/>
      </c>
      <c r="O1573">
        <f>IF(UPPER($H1573&amp;"")="LEAVE",1,0)</f>
        <v/>
      </c>
      <c r="P1573">
        <f>IF($N1573=1,$K1573,0)</f>
        <v/>
      </c>
      <c r="Q1573">
        <f>IF($N1573=0,"",IFERROR($L1573-LOOKUP(2,1/(($B$2:$B1572=$B1573)*($N$2:$N1572=1)),$M$2:$M1572),""))</f>
        <v/>
      </c>
    </row>
    <row r="1574">
      <c r="A1574" t="n">
        <v>1573</v>
      </c>
      <c r="B1574">
        <f>Schedule!$A$227</f>
        <v/>
      </c>
      <c r="C1574">
        <f>Schedule!$D$227</f>
        <v/>
      </c>
      <c r="D1574">
        <f>Schedule!$F$227</f>
        <v/>
      </c>
      <c r="E1574" t="n">
        <v>4</v>
      </c>
      <c r="F1574">
        <f>Schedule!$K$1</f>
        <v/>
      </c>
      <c r="G1574">
        <f>Schedule!$K$2</f>
        <v/>
      </c>
      <c r="H1574">
        <f>Schedule!$K$227</f>
        <v/>
      </c>
      <c r="I1574">
        <f>IF($N1574=1,VALUE(LEFT($H1574,2)),"")</f>
        <v/>
      </c>
      <c r="J1574">
        <f>IF($N1574=1,VALUE(MID($H1574,9,2)),"")</f>
        <v/>
      </c>
      <c r="K1574">
        <f>IF($N1574=1,MOD($J1574-$I1574,24),0)</f>
        <v/>
      </c>
      <c r="L1574">
        <f>IF($N1574=1,$E1574*24+$I1574,"")</f>
        <v/>
      </c>
      <c r="M1574">
        <f>IF($N1574=1,$L1574+$K1574,"")</f>
        <v/>
      </c>
      <c r="N1574">
        <f>IF(ISNUMBER(SEARCH(" - ",$H1574&amp;"")),1,0)</f>
        <v/>
      </c>
      <c r="O1574">
        <f>IF(UPPER($H1574&amp;"")="LEAVE",1,0)</f>
        <v/>
      </c>
      <c r="P1574">
        <f>IF($N1574=1,$K1574,0)</f>
        <v/>
      </c>
      <c r="Q1574">
        <f>IF($N1574=0,"",IFERROR($L1574-LOOKUP(2,1/(($B$2:$B1573=$B1574)*($N$2:$N1573=1)),$M$2:$M1573),""))</f>
        <v/>
      </c>
    </row>
    <row r="1575">
      <c r="A1575" t="n">
        <v>1574</v>
      </c>
      <c r="B1575">
        <f>Schedule!$A$227</f>
        <v/>
      </c>
      <c r="C1575">
        <f>Schedule!$D$227</f>
        <v/>
      </c>
      <c r="D1575">
        <f>Schedule!$F$227</f>
        <v/>
      </c>
      <c r="E1575" t="n">
        <v>5</v>
      </c>
      <c r="F1575">
        <f>Schedule!$L$1</f>
        <v/>
      </c>
      <c r="G1575">
        <f>Schedule!$L$2</f>
        <v/>
      </c>
      <c r="H1575">
        <f>Schedule!$L$227</f>
        <v/>
      </c>
      <c r="I1575">
        <f>IF($N1575=1,VALUE(LEFT($H1575,2)),"")</f>
        <v/>
      </c>
      <c r="J1575">
        <f>IF($N1575=1,VALUE(MID($H1575,9,2)),"")</f>
        <v/>
      </c>
      <c r="K1575">
        <f>IF($N1575=1,MOD($J1575-$I1575,24),0)</f>
        <v/>
      </c>
      <c r="L1575">
        <f>IF($N1575=1,$E1575*24+$I1575,"")</f>
        <v/>
      </c>
      <c r="M1575">
        <f>IF($N1575=1,$L1575+$K1575,"")</f>
        <v/>
      </c>
      <c r="N1575">
        <f>IF(ISNUMBER(SEARCH(" - ",$H1575&amp;"")),1,0)</f>
        <v/>
      </c>
      <c r="O1575">
        <f>IF(UPPER($H1575&amp;"")="LEAVE",1,0)</f>
        <v/>
      </c>
      <c r="P1575">
        <f>IF($N1575=1,$K1575,0)</f>
        <v/>
      </c>
      <c r="Q1575">
        <f>IF($N1575=0,"",IFERROR($L1575-LOOKUP(2,1/(($B$2:$B1574=$B1575)*($N$2:$N1574=1)),$M$2:$M1574),""))</f>
        <v/>
      </c>
    </row>
    <row r="1576">
      <c r="A1576" t="n">
        <v>1575</v>
      </c>
      <c r="B1576">
        <f>Schedule!$A$227</f>
        <v/>
      </c>
      <c r="C1576">
        <f>Schedule!$D$227</f>
        <v/>
      </c>
      <c r="D1576">
        <f>Schedule!$F$227</f>
        <v/>
      </c>
      <c r="E1576" t="n">
        <v>6</v>
      </c>
      <c r="F1576">
        <f>Schedule!$M$1</f>
        <v/>
      </c>
      <c r="G1576">
        <f>Schedule!$M$2</f>
        <v/>
      </c>
      <c r="H1576">
        <f>Schedule!$M$227</f>
        <v/>
      </c>
      <c r="I1576">
        <f>IF($N1576=1,VALUE(LEFT($H1576,2)),"")</f>
        <v/>
      </c>
      <c r="J1576">
        <f>IF($N1576=1,VALUE(MID($H1576,9,2)),"")</f>
        <v/>
      </c>
      <c r="K1576">
        <f>IF($N1576=1,MOD($J1576-$I1576,24),0)</f>
        <v/>
      </c>
      <c r="L1576">
        <f>IF($N1576=1,$E1576*24+$I1576,"")</f>
        <v/>
      </c>
      <c r="M1576">
        <f>IF($N1576=1,$L1576+$K1576,"")</f>
        <v/>
      </c>
      <c r="N1576">
        <f>IF(ISNUMBER(SEARCH(" - ",$H1576&amp;"")),1,0)</f>
        <v/>
      </c>
      <c r="O1576">
        <f>IF(UPPER($H1576&amp;"")="LEAVE",1,0)</f>
        <v/>
      </c>
      <c r="P1576">
        <f>IF($N1576=1,$K1576,0)</f>
        <v/>
      </c>
      <c r="Q1576">
        <f>IF($N1576=0,"",IFERROR($L1576-LOOKUP(2,1/(($B$2:$B1575=$B1576)*($N$2:$N1575=1)),$M$2:$M1575),""))</f>
        <v/>
      </c>
    </row>
    <row r="1577">
      <c r="A1577" t="n">
        <v>1576</v>
      </c>
      <c r="B1577">
        <f>Schedule!$A$228</f>
        <v/>
      </c>
      <c r="C1577">
        <f>Schedule!$D$228</f>
        <v/>
      </c>
      <c r="D1577">
        <f>Schedule!$F$228</f>
        <v/>
      </c>
      <c r="E1577" t="n">
        <v>0</v>
      </c>
      <c r="F1577">
        <f>Schedule!$G$1</f>
        <v/>
      </c>
      <c r="G1577">
        <f>Schedule!$G$2</f>
        <v/>
      </c>
      <c r="H1577">
        <f>Schedule!$G$228</f>
        <v/>
      </c>
      <c r="I1577">
        <f>IF($N1577=1,VALUE(LEFT($H1577,2)),"")</f>
        <v/>
      </c>
      <c r="J1577">
        <f>IF($N1577=1,VALUE(MID($H1577,9,2)),"")</f>
        <v/>
      </c>
      <c r="K1577">
        <f>IF($N1577=1,MOD($J1577-$I1577,24),0)</f>
        <v/>
      </c>
      <c r="L1577">
        <f>IF($N1577=1,$E1577*24+$I1577,"")</f>
        <v/>
      </c>
      <c r="M1577">
        <f>IF($N1577=1,$L1577+$K1577,"")</f>
        <v/>
      </c>
      <c r="N1577">
        <f>IF(ISNUMBER(SEARCH(" - ",$H1577&amp;"")),1,0)</f>
        <v/>
      </c>
      <c r="O1577">
        <f>IF(UPPER($H1577&amp;"")="LEAVE",1,0)</f>
        <v/>
      </c>
      <c r="P1577">
        <f>IF($N1577=1,$K1577,0)</f>
        <v/>
      </c>
      <c r="Q1577">
        <f>IF($N1577=0,"",IFERROR($L1577-'Previous Engine'!$M$227,""))</f>
        <v/>
      </c>
    </row>
    <row r="1578">
      <c r="A1578" t="n">
        <v>1577</v>
      </c>
      <c r="B1578">
        <f>Schedule!$A$228</f>
        <v/>
      </c>
      <c r="C1578">
        <f>Schedule!$D$228</f>
        <v/>
      </c>
      <c r="D1578">
        <f>Schedule!$F$228</f>
        <v/>
      </c>
      <c r="E1578" t="n">
        <v>1</v>
      </c>
      <c r="F1578">
        <f>Schedule!$H$1</f>
        <v/>
      </c>
      <c r="G1578">
        <f>Schedule!$H$2</f>
        <v/>
      </c>
      <c r="H1578">
        <f>Schedule!$H$228</f>
        <v/>
      </c>
      <c r="I1578">
        <f>IF($N1578=1,VALUE(LEFT($H1578,2)),"")</f>
        <v/>
      </c>
      <c r="J1578">
        <f>IF($N1578=1,VALUE(MID($H1578,9,2)),"")</f>
        <v/>
      </c>
      <c r="K1578">
        <f>IF($N1578=1,MOD($J1578-$I1578,24),0)</f>
        <v/>
      </c>
      <c r="L1578">
        <f>IF($N1578=1,$E1578*24+$I1578,"")</f>
        <v/>
      </c>
      <c r="M1578">
        <f>IF($N1578=1,$L1578+$K1578,"")</f>
        <v/>
      </c>
      <c r="N1578">
        <f>IF(ISNUMBER(SEARCH(" - ",$H1578&amp;"")),1,0)</f>
        <v/>
      </c>
      <c r="O1578">
        <f>IF(UPPER($H1578&amp;"")="LEAVE",1,0)</f>
        <v/>
      </c>
      <c r="P1578">
        <f>IF($N1578=1,$K1578,0)</f>
        <v/>
      </c>
      <c r="Q1578">
        <f>IF($N1578=0,"",IFERROR($L1578-LOOKUP(2,1/(($B$2:$B1577=$B1578)*($N$2:$N1577=1)),$M$2:$M1577),""))</f>
        <v/>
      </c>
    </row>
    <row r="1579">
      <c r="A1579" t="n">
        <v>1578</v>
      </c>
      <c r="B1579">
        <f>Schedule!$A$228</f>
        <v/>
      </c>
      <c r="C1579">
        <f>Schedule!$D$228</f>
        <v/>
      </c>
      <c r="D1579">
        <f>Schedule!$F$228</f>
        <v/>
      </c>
      <c r="E1579" t="n">
        <v>2</v>
      </c>
      <c r="F1579">
        <f>Schedule!$I$1</f>
        <v/>
      </c>
      <c r="G1579">
        <f>Schedule!$I$2</f>
        <v/>
      </c>
      <c r="H1579">
        <f>Schedule!$I$228</f>
        <v/>
      </c>
      <c r="I1579">
        <f>IF($N1579=1,VALUE(LEFT($H1579,2)),"")</f>
        <v/>
      </c>
      <c r="J1579">
        <f>IF($N1579=1,VALUE(MID($H1579,9,2)),"")</f>
        <v/>
      </c>
      <c r="K1579">
        <f>IF($N1579=1,MOD($J1579-$I1579,24),0)</f>
        <v/>
      </c>
      <c r="L1579">
        <f>IF($N1579=1,$E1579*24+$I1579,"")</f>
        <v/>
      </c>
      <c r="M1579">
        <f>IF($N1579=1,$L1579+$K1579,"")</f>
        <v/>
      </c>
      <c r="N1579">
        <f>IF(ISNUMBER(SEARCH(" - ",$H1579&amp;"")),1,0)</f>
        <v/>
      </c>
      <c r="O1579">
        <f>IF(UPPER($H1579&amp;"")="LEAVE",1,0)</f>
        <v/>
      </c>
      <c r="P1579">
        <f>IF($N1579=1,$K1579,0)</f>
        <v/>
      </c>
      <c r="Q1579">
        <f>IF($N1579=0,"",IFERROR($L1579-LOOKUP(2,1/(($B$2:$B1578=$B1579)*($N$2:$N1578=1)),$M$2:$M1578),""))</f>
        <v/>
      </c>
    </row>
    <row r="1580">
      <c r="A1580" t="n">
        <v>1579</v>
      </c>
      <c r="B1580">
        <f>Schedule!$A$228</f>
        <v/>
      </c>
      <c r="C1580">
        <f>Schedule!$D$228</f>
        <v/>
      </c>
      <c r="D1580">
        <f>Schedule!$F$228</f>
        <v/>
      </c>
      <c r="E1580" t="n">
        <v>3</v>
      </c>
      <c r="F1580">
        <f>Schedule!$J$1</f>
        <v/>
      </c>
      <c r="G1580">
        <f>Schedule!$J$2</f>
        <v/>
      </c>
      <c r="H1580">
        <f>Schedule!$J$228</f>
        <v/>
      </c>
      <c r="I1580">
        <f>IF($N1580=1,VALUE(LEFT($H1580,2)),"")</f>
        <v/>
      </c>
      <c r="J1580">
        <f>IF($N1580=1,VALUE(MID($H1580,9,2)),"")</f>
        <v/>
      </c>
      <c r="K1580">
        <f>IF($N1580=1,MOD($J1580-$I1580,24),0)</f>
        <v/>
      </c>
      <c r="L1580">
        <f>IF($N1580=1,$E1580*24+$I1580,"")</f>
        <v/>
      </c>
      <c r="M1580">
        <f>IF($N1580=1,$L1580+$K1580,"")</f>
        <v/>
      </c>
      <c r="N1580">
        <f>IF(ISNUMBER(SEARCH(" - ",$H1580&amp;"")),1,0)</f>
        <v/>
      </c>
      <c r="O1580">
        <f>IF(UPPER($H1580&amp;"")="LEAVE",1,0)</f>
        <v/>
      </c>
      <c r="P1580">
        <f>IF($N1580=1,$K1580,0)</f>
        <v/>
      </c>
      <c r="Q1580">
        <f>IF($N1580=0,"",IFERROR($L1580-LOOKUP(2,1/(($B$2:$B1579=$B1580)*($N$2:$N1579=1)),$M$2:$M1579),""))</f>
        <v/>
      </c>
    </row>
    <row r="1581">
      <c r="A1581" t="n">
        <v>1580</v>
      </c>
      <c r="B1581">
        <f>Schedule!$A$228</f>
        <v/>
      </c>
      <c r="C1581">
        <f>Schedule!$D$228</f>
        <v/>
      </c>
      <c r="D1581">
        <f>Schedule!$F$228</f>
        <v/>
      </c>
      <c r="E1581" t="n">
        <v>4</v>
      </c>
      <c r="F1581">
        <f>Schedule!$K$1</f>
        <v/>
      </c>
      <c r="G1581">
        <f>Schedule!$K$2</f>
        <v/>
      </c>
      <c r="H1581">
        <f>Schedule!$K$228</f>
        <v/>
      </c>
      <c r="I1581">
        <f>IF($N1581=1,VALUE(LEFT($H1581,2)),"")</f>
        <v/>
      </c>
      <c r="J1581">
        <f>IF($N1581=1,VALUE(MID($H1581,9,2)),"")</f>
        <v/>
      </c>
      <c r="K1581">
        <f>IF($N1581=1,MOD($J1581-$I1581,24),0)</f>
        <v/>
      </c>
      <c r="L1581">
        <f>IF($N1581=1,$E1581*24+$I1581,"")</f>
        <v/>
      </c>
      <c r="M1581">
        <f>IF($N1581=1,$L1581+$K1581,"")</f>
        <v/>
      </c>
      <c r="N1581">
        <f>IF(ISNUMBER(SEARCH(" - ",$H1581&amp;"")),1,0)</f>
        <v/>
      </c>
      <c r="O1581">
        <f>IF(UPPER($H1581&amp;"")="LEAVE",1,0)</f>
        <v/>
      </c>
      <c r="P1581">
        <f>IF($N1581=1,$K1581,0)</f>
        <v/>
      </c>
      <c r="Q1581">
        <f>IF($N1581=0,"",IFERROR($L1581-LOOKUP(2,1/(($B$2:$B1580=$B1581)*($N$2:$N1580=1)),$M$2:$M1580),""))</f>
        <v/>
      </c>
    </row>
    <row r="1582">
      <c r="A1582" t="n">
        <v>1581</v>
      </c>
      <c r="B1582">
        <f>Schedule!$A$228</f>
        <v/>
      </c>
      <c r="C1582">
        <f>Schedule!$D$228</f>
        <v/>
      </c>
      <c r="D1582">
        <f>Schedule!$F$228</f>
        <v/>
      </c>
      <c r="E1582" t="n">
        <v>5</v>
      </c>
      <c r="F1582">
        <f>Schedule!$L$1</f>
        <v/>
      </c>
      <c r="G1582">
        <f>Schedule!$L$2</f>
        <v/>
      </c>
      <c r="H1582">
        <f>Schedule!$L$228</f>
        <v/>
      </c>
      <c r="I1582">
        <f>IF($N1582=1,VALUE(LEFT($H1582,2)),"")</f>
        <v/>
      </c>
      <c r="J1582">
        <f>IF($N1582=1,VALUE(MID($H1582,9,2)),"")</f>
        <v/>
      </c>
      <c r="K1582">
        <f>IF($N1582=1,MOD($J1582-$I1582,24),0)</f>
        <v/>
      </c>
      <c r="L1582">
        <f>IF($N1582=1,$E1582*24+$I1582,"")</f>
        <v/>
      </c>
      <c r="M1582">
        <f>IF($N1582=1,$L1582+$K1582,"")</f>
        <v/>
      </c>
      <c r="N1582">
        <f>IF(ISNUMBER(SEARCH(" - ",$H1582&amp;"")),1,0)</f>
        <v/>
      </c>
      <c r="O1582">
        <f>IF(UPPER($H1582&amp;"")="LEAVE",1,0)</f>
        <v/>
      </c>
      <c r="P1582">
        <f>IF($N1582=1,$K1582,0)</f>
        <v/>
      </c>
      <c r="Q1582">
        <f>IF($N1582=0,"",IFERROR($L1582-LOOKUP(2,1/(($B$2:$B1581=$B1582)*($N$2:$N1581=1)),$M$2:$M1581),""))</f>
        <v/>
      </c>
    </row>
    <row r="1583">
      <c r="A1583" t="n">
        <v>1582</v>
      </c>
      <c r="B1583">
        <f>Schedule!$A$228</f>
        <v/>
      </c>
      <c r="C1583">
        <f>Schedule!$D$228</f>
        <v/>
      </c>
      <c r="D1583">
        <f>Schedule!$F$228</f>
        <v/>
      </c>
      <c r="E1583" t="n">
        <v>6</v>
      </c>
      <c r="F1583">
        <f>Schedule!$M$1</f>
        <v/>
      </c>
      <c r="G1583">
        <f>Schedule!$M$2</f>
        <v/>
      </c>
      <c r="H1583">
        <f>Schedule!$M$228</f>
        <v/>
      </c>
      <c r="I1583">
        <f>IF($N1583=1,VALUE(LEFT($H1583,2)),"")</f>
        <v/>
      </c>
      <c r="J1583">
        <f>IF($N1583=1,VALUE(MID($H1583,9,2)),"")</f>
        <v/>
      </c>
      <c r="K1583">
        <f>IF($N1583=1,MOD($J1583-$I1583,24),0)</f>
        <v/>
      </c>
      <c r="L1583">
        <f>IF($N1583=1,$E1583*24+$I1583,"")</f>
        <v/>
      </c>
      <c r="M1583">
        <f>IF($N1583=1,$L1583+$K1583,"")</f>
        <v/>
      </c>
      <c r="N1583">
        <f>IF(ISNUMBER(SEARCH(" - ",$H1583&amp;"")),1,0)</f>
        <v/>
      </c>
      <c r="O1583">
        <f>IF(UPPER($H1583&amp;"")="LEAVE",1,0)</f>
        <v/>
      </c>
      <c r="P1583">
        <f>IF($N1583=1,$K1583,0)</f>
        <v/>
      </c>
      <c r="Q1583">
        <f>IF($N1583=0,"",IFERROR($L1583-LOOKUP(2,1/(($B$2:$B1582=$B1583)*($N$2:$N1582=1)),$M$2:$M1582),""))</f>
        <v/>
      </c>
    </row>
    <row r="1584">
      <c r="A1584" t="n">
        <v>1583</v>
      </c>
      <c r="B1584">
        <f>Schedule!$A$229</f>
        <v/>
      </c>
      <c r="C1584">
        <f>Schedule!$D$229</f>
        <v/>
      </c>
      <c r="D1584">
        <f>Schedule!$F$229</f>
        <v/>
      </c>
      <c r="E1584" t="n">
        <v>0</v>
      </c>
      <c r="F1584">
        <f>Schedule!$G$1</f>
        <v/>
      </c>
      <c r="G1584">
        <f>Schedule!$G$2</f>
        <v/>
      </c>
      <c r="H1584">
        <f>Schedule!$G$229</f>
        <v/>
      </c>
      <c r="I1584">
        <f>IF($N1584=1,VALUE(LEFT($H1584,2)),"")</f>
        <v/>
      </c>
      <c r="J1584">
        <f>IF($N1584=1,VALUE(MID($H1584,9,2)),"")</f>
        <v/>
      </c>
      <c r="K1584">
        <f>IF($N1584=1,MOD($J1584-$I1584,24),0)</f>
        <v/>
      </c>
      <c r="L1584">
        <f>IF($N1584=1,$E1584*24+$I1584,"")</f>
        <v/>
      </c>
      <c r="M1584">
        <f>IF($N1584=1,$L1584+$K1584,"")</f>
        <v/>
      </c>
      <c r="N1584">
        <f>IF(ISNUMBER(SEARCH(" - ",$H1584&amp;"")),1,0)</f>
        <v/>
      </c>
      <c r="O1584">
        <f>IF(UPPER($H1584&amp;"")="LEAVE",1,0)</f>
        <v/>
      </c>
      <c r="P1584">
        <f>IF($N1584=1,$K1584,0)</f>
        <v/>
      </c>
      <c r="Q1584">
        <f>IF($N1584=0,"",IFERROR($L1584-'Previous Engine'!$M$228,""))</f>
        <v/>
      </c>
    </row>
    <row r="1585">
      <c r="A1585" t="n">
        <v>1584</v>
      </c>
      <c r="B1585">
        <f>Schedule!$A$229</f>
        <v/>
      </c>
      <c r="C1585">
        <f>Schedule!$D$229</f>
        <v/>
      </c>
      <c r="D1585">
        <f>Schedule!$F$229</f>
        <v/>
      </c>
      <c r="E1585" t="n">
        <v>1</v>
      </c>
      <c r="F1585">
        <f>Schedule!$H$1</f>
        <v/>
      </c>
      <c r="G1585">
        <f>Schedule!$H$2</f>
        <v/>
      </c>
      <c r="H1585">
        <f>Schedule!$H$229</f>
        <v/>
      </c>
      <c r="I1585">
        <f>IF($N1585=1,VALUE(LEFT($H1585,2)),"")</f>
        <v/>
      </c>
      <c r="J1585">
        <f>IF($N1585=1,VALUE(MID($H1585,9,2)),"")</f>
        <v/>
      </c>
      <c r="K1585">
        <f>IF($N1585=1,MOD($J1585-$I1585,24),0)</f>
        <v/>
      </c>
      <c r="L1585">
        <f>IF($N1585=1,$E1585*24+$I1585,"")</f>
        <v/>
      </c>
      <c r="M1585">
        <f>IF($N1585=1,$L1585+$K1585,"")</f>
        <v/>
      </c>
      <c r="N1585">
        <f>IF(ISNUMBER(SEARCH(" - ",$H1585&amp;"")),1,0)</f>
        <v/>
      </c>
      <c r="O1585">
        <f>IF(UPPER($H1585&amp;"")="LEAVE",1,0)</f>
        <v/>
      </c>
      <c r="P1585">
        <f>IF($N1585=1,$K1585,0)</f>
        <v/>
      </c>
      <c r="Q1585">
        <f>IF($N1585=0,"",IFERROR($L1585-LOOKUP(2,1/(($B$2:$B1584=$B1585)*($N$2:$N1584=1)),$M$2:$M1584),""))</f>
        <v/>
      </c>
    </row>
    <row r="1586">
      <c r="A1586" t="n">
        <v>1585</v>
      </c>
      <c r="B1586">
        <f>Schedule!$A$229</f>
        <v/>
      </c>
      <c r="C1586">
        <f>Schedule!$D$229</f>
        <v/>
      </c>
      <c r="D1586">
        <f>Schedule!$F$229</f>
        <v/>
      </c>
      <c r="E1586" t="n">
        <v>2</v>
      </c>
      <c r="F1586">
        <f>Schedule!$I$1</f>
        <v/>
      </c>
      <c r="G1586">
        <f>Schedule!$I$2</f>
        <v/>
      </c>
      <c r="H1586">
        <f>Schedule!$I$229</f>
        <v/>
      </c>
      <c r="I1586">
        <f>IF($N1586=1,VALUE(LEFT($H1586,2)),"")</f>
        <v/>
      </c>
      <c r="J1586">
        <f>IF($N1586=1,VALUE(MID($H1586,9,2)),"")</f>
        <v/>
      </c>
      <c r="K1586">
        <f>IF($N1586=1,MOD($J1586-$I1586,24),0)</f>
        <v/>
      </c>
      <c r="L1586">
        <f>IF($N1586=1,$E1586*24+$I1586,"")</f>
        <v/>
      </c>
      <c r="M1586">
        <f>IF($N1586=1,$L1586+$K1586,"")</f>
        <v/>
      </c>
      <c r="N1586">
        <f>IF(ISNUMBER(SEARCH(" - ",$H1586&amp;"")),1,0)</f>
        <v/>
      </c>
      <c r="O1586">
        <f>IF(UPPER($H1586&amp;"")="LEAVE",1,0)</f>
        <v/>
      </c>
      <c r="P1586">
        <f>IF($N1586=1,$K1586,0)</f>
        <v/>
      </c>
      <c r="Q1586">
        <f>IF($N1586=0,"",IFERROR($L1586-LOOKUP(2,1/(($B$2:$B1585=$B1586)*($N$2:$N1585=1)),$M$2:$M1585),""))</f>
        <v/>
      </c>
    </row>
    <row r="1587">
      <c r="A1587" t="n">
        <v>1586</v>
      </c>
      <c r="B1587">
        <f>Schedule!$A$229</f>
        <v/>
      </c>
      <c r="C1587">
        <f>Schedule!$D$229</f>
        <v/>
      </c>
      <c r="D1587">
        <f>Schedule!$F$229</f>
        <v/>
      </c>
      <c r="E1587" t="n">
        <v>3</v>
      </c>
      <c r="F1587">
        <f>Schedule!$J$1</f>
        <v/>
      </c>
      <c r="G1587">
        <f>Schedule!$J$2</f>
        <v/>
      </c>
      <c r="H1587">
        <f>Schedule!$J$229</f>
        <v/>
      </c>
      <c r="I1587">
        <f>IF($N1587=1,VALUE(LEFT($H1587,2)),"")</f>
        <v/>
      </c>
      <c r="J1587">
        <f>IF($N1587=1,VALUE(MID($H1587,9,2)),"")</f>
        <v/>
      </c>
      <c r="K1587">
        <f>IF($N1587=1,MOD($J1587-$I1587,24),0)</f>
        <v/>
      </c>
      <c r="L1587">
        <f>IF($N1587=1,$E1587*24+$I1587,"")</f>
        <v/>
      </c>
      <c r="M1587">
        <f>IF($N1587=1,$L1587+$K1587,"")</f>
        <v/>
      </c>
      <c r="N1587">
        <f>IF(ISNUMBER(SEARCH(" - ",$H1587&amp;"")),1,0)</f>
        <v/>
      </c>
      <c r="O1587">
        <f>IF(UPPER($H1587&amp;"")="LEAVE",1,0)</f>
        <v/>
      </c>
      <c r="P1587">
        <f>IF($N1587=1,$K1587,0)</f>
        <v/>
      </c>
      <c r="Q1587">
        <f>IF($N1587=0,"",IFERROR($L1587-LOOKUP(2,1/(($B$2:$B1586=$B1587)*($N$2:$N1586=1)),$M$2:$M1586),""))</f>
        <v/>
      </c>
    </row>
    <row r="1588">
      <c r="A1588" t="n">
        <v>1587</v>
      </c>
      <c r="B1588">
        <f>Schedule!$A$229</f>
        <v/>
      </c>
      <c r="C1588">
        <f>Schedule!$D$229</f>
        <v/>
      </c>
      <c r="D1588">
        <f>Schedule!$F$229</f>
        <v/>
      </c>
      <c r="E1588" t="n">
        <v>4</v>
      </c>
      <c r="F1588">
        <f>Schedule!$K$1</f>
        <v/>
      </c>
      <c r="G1588">
        <f>Schedule!$K$2</f>
        <v/>
      </c>
      <c r="H1588">
        <f>Schedule!$K$229</f>
        <v/>
      </c>
      <c r="I1588">
        <f>IF($N1588=1,VALUE(LEFT($H1588,2)),"")</f>
        <v/>
      </c>
      <c r="J1588">
        <f>IF($N1588=1,VALUE(MID($H1588,9,2)),"")</f>
        <v/>
      </c>
      <c r="K1588">
        <f>IF($N1588=1,MOD($J1588-$I1588,24),0)</f>
        <v/>
      </c>
      <c r="L1588">
        <f>IF($N1588=1,$E1588*24+$I1588,"")</f>
        <v/>
      </c>
      <c r="M1588">
        <f>IF($N1588=1,$L1588+$K1588,"")</f>
        <v/>
      </c>
      <c r="N1588">
        <f>IF(ISNUMBER(SEARCH(" - ",$H1588&amp;"")),1,0)</f>
        <v/>
      </c>
      <c r="O1588">
        <f>IF(UPPER($H1588&amp;"")="LEAVE",1,0)</f>
        <v/>
      </c>
      <c r="P1588">
        <f>IF($N1588=1,$K1588,0)</f>
        <v/>
      </c>
      <c r="Q1588">
        <f>IF($N1588=0,"",IFERROR($L1588-LOOKUP(2,1/(($B$2:$B1587=$B1588)*($N$2:$N1587=1)),$M$2:$M1587),""))</f>
        <v/>
      </c>
    </row>
    <row r="1589">
      <c r="A1589" t="n">
        <v>1588</v>
      </c>
      <c r="B1589">
        <f>Schedule!$A$229</f>
        <v/>
      </c>
      <c r="C1589">
        <f>Schedule!$D$229</f>
        <v/>
      </c>
      <c r="D1589">
        <f>Schedule!$F$229</f>
        <v/>
      </c>
      <c r="E1589" t="n">
        <v>5</v>
      </c>
      <c r="F1589">
        <f>Schedule!$L$1</f>
        <v/>
      </c>
      <c r="G1589">
        <f>Schedule!$L$2</f>
        <v/>
      </c>
      <c r="H1589">
        <f>Schedule!$L$229</f>
        <v/>
      </c>
      <c r="I1589">
        <f>IF($N1589=1,VALUE(LEFT($H1589,2)),"")</f>
        <v/>
      </c>
      <c r="J1589">
        <f>IF($N1589=1,VALUE(MID($H1589,9,2)),"")</f>
        <v/>
      </c>
      <c r="K1589">
        <f>IF($N1589=1,MOD($J1589-$I1589,24),0)</f>
        <v/>
      </c>
      <c r="L1589">
        <f>IF($N1589=1,$E1589*24+$I1589,"")</f>
        <v/>
      </c>
      <c r="M1589">
        <f>IF($N1589=1,$L1589+$K1589,"")</f>
        <v/>
      </c>
      <c r="N1589">
        <f>IF(ISNUMBER(SEARCH(" - ",$H1589&amp;"")),1,0)</f>
        <v/>
      </c>
      <c r="O1589">
        <f>IF(UPPER($H1589&amp;"")="LEAVE",1,0)</f>
        <v/>
      </c>
      <c r="P1589">
        <f>IF($N1589=1,$K1589,0)</f>
        <v/>
      </c>
      <c r="Q1589">
        <f>IF($N1589=0,"",IFERROR($L1589-LOOKUP(2,1/(($B$2:$B1588=$B1589)*($N$2:$N1588=1)),$M$2:$M1588),""))</f>
        <v/>
      </c>
    </row>
    <row r="1590">
      <c r="A1590" t="n">
        <v>1589</v>
      </c>
      <c r="B1590">
        <f>Schedule!$A$229</f>
        <v/>
      </c>
      <c r="C1590">
        <f>Schedule!$D$229</f>
        <v/>
      </c>
      <c r="D1590">
        <f>Schedule!$F$229</f>
        <v/>
      </c>
      <c r="E1590" t="n">
        <v>6</v>
      </c>
      <c r="F1590">
        <f>Schedule!$M$1</f>
        <v/>
      </c>
      <c r="G1590">
        <f>Schedule!$M$2</f>
        <v/>
      </c>
      <c r="H1590">
        <f>Schedule!$M$229</f>
        <v/>
      </c>
      <c r="I1590">
        <f>IF($N1590=1,VALUE(LEFT($H1590,2)),"")</f>
        <v/>
      </c>
      <c r="J1590">
        <f>IF($N1590=1,VALUE(MID($H1590,9,2)),"")</f>
        <v/>
      </c>
      <c r="K1590">
        <f>IF($N1590=1,MOD($J1590-$I1590,24),0)</f>
        <v/>
      </c>
      <c r="L1590">
        <f>IF($N1590=1,$E1590*24+$I1590,"")</f>
        <v/>
      </c>
      <c r="M1590">
        <f>IF($N1590=1,$L1590+$K1590,"")</f>
        <v/>
      </c>
      <c r="N1590">
        <f>IF(ISNUMBER(SEARCH(" - ",$H1590&amp;"")),1,0)</f>
        <v/>
      </c>
      <c r="O1590">
        <f>IF(UPPER($H1590&amp;"")="LEAVE",1,0)</f>
        <v/>
      </c>
      <c r="P1590">
        <f>IF($N1590=1,$K1590,0)</f>
        <v/>
      </c>
      <c r="Q1590">
        <f>IF($N1590=0,"",IFERROR($L1590-LOOKUP(2,1/(($B$2:$B1589=$B1590)*($N$2:$N1589=1)),$M$2:$M1589),""))</f>
        <v/>
      </c>
    </row>
    <row r="1591">
      <c r="A1591" t="n">
        <v>1590</v>
      </c>
      <c r="B1591">
        <f>Schedule!$A$230</f>
        <v/>
      </c>
      <c r="C1591">
        <f>Schedule!$D$230</f>
        <v/>
      </c>
      <c r="D1591">
        <f>Schedule!$F$230</f>
        <v/>
      </c>
      <c r="E1591" t="n">
        <v>0</v>
      </c>
      <c r="F1591">
        <f>Schedule!$G$1</f>
        <v/>
      </c>
      <c r="G1591">
        <f>Schedule!$G$2</f>
        <v/>
      </c>
      <c r="H1591">
        <f>Schedule!$G$230</f>
        <v/>
      </c>
      <c r="I1591">
        <f>IF($N1591=1,VALUE(LEFT($H1591,2)),"")</f>
        <v/>
      </c>
      <c r="J1591">
        <f>IF($N1591=1,VALUE(MID($H1591,9,2)),"")</f>
        <v/>
      </c>
      <c r="K1591">
        <f>IF($N1591=1,MOD($J1591-$I1591,24),0)</f>
        <v/>
      </c>
      <c r="L1591">
        <f>IF($N1591=1,$E1591*24+$I1591,"")</f>
        <v/>
      </c>
      <c r="M1591">
        <f>IF($N1591=1,$L1591+$K1591,"")</f>
        <v/>
      </c>
      <c r="N1591">
        <f>IF(ISNUMBER(SEARCH(" - ",$H1591&amp;"")),1,0)</f>
        <v/>
      </c>
      <c r="O1591">
        <f>IF(UPPER($H1591&amp;"")="LEAVE",1,0)</f>
        <v/>
      </c>
      <c r="P1591">
        <f>IF($N1591=1,$K1591,0)</f>
        <v/>
      </c>
      <c r="Q1591">
        <f>IF($N1591=0,"",IFERROR($L1591-'Previous Engine'!$M$229,""))</f>
        <v/>
      </c>
    </row>
    <row r="1592">
      <c r="A1592" t="n">
        <v>1591</v>
      </c>
      <c r="B1592">
        <f>Schedule!$A$230</f>
        <v/>
      </c>
      <c r="C1592">
        <f>Schedule!$D$230</f>
        <v/>
      </c>
      <c r="D1592">
        <f>Schedule!$F$230</f>
        <v/>
      </c>
      <c r="E1592" t="n">
        <v>1</v>
      </c>
      <c r="F1592">
        <f>Schedule!$H$1</f>
        <v/>
      </c>
      <c r="G1592">
        <f>Schedule!$H$2</f>
        <v/>
      </c>
      <c r="H1592">
        <f>Schedule!$H$230</f>
        <v/>
      </c>
      <c r="I1592">
        <f>IF($N1592=1,VALUE(LEFT($H1592,2)),"")</f>
        <v/>
      </c>
      <c r="J1592">
        <f>IF($N1592=1,VALUE(MID($H1592,9,2)),"")</f>
        <v/>
      </c>
      <c r="K1592">
        <f>IF($N1592=1,MOD($J1592-$I1592,24),0)</f>
        <v/>
      </c>
      <c r="L1592">
        <f>IF($N1592=1,$E1592*24+$I1592,"")</f>
        <v/>
      </c>
      <c r="M1592">
        <f>IF($N1592=1,$L1592+$K1592,"")</f>
        <v/>
      </c>
      <c r="N1592">
        <f>IF(ISNUMBER(SEARCH(" - ",$H1592&amp;"")),1,0)</f>
        <v/>
      </c>
      <c r="O1592">
        <f>IF(UPPER($H1592&amp;"")="LEAVE",1,0)</f>
        <v/>
      </c>
      <c r="P1592">
        <f>IF($N1592=1,$K1592,0)</f>
        <v/>
      </c>
      <c r="Q1592">
        <f>IF($N1592=0,"",IFERROR($L1592-LOOKUP(2,1/(($B$2:$B1591=$B1592)*($N$2:$N1591=1)),$M$2:$M1591),""))</f>
        <v/>
      </c>
    </row>
    <row r="1593">
      <c r="A1593" t="n">
        <v>1592</v>
      </c>
      <c r="B1593">
        <f>Schedule!$A$230</f>
        <v/>
      </c>
      <c r="C1593">
        <f>Schedule!$D$230</f>
        <v/>
      </c>
      <c r="D1593">
        <f>Schedule!$F$230</f>
        <v/>
      </c>
      <c r="E1593" t="n">
        <v>2</v>
      </c>
      <c r="F1593">
        <f>Schedule!$I$1</f>
        <v/>
      </c>
      <c r="G1593">
        <f>Schedule!$I$2</f>
        <v/>
      </c>
      <c r="H1593">
        <f>Schedule!$I$230</f>
        <v/>
      </c>
      <c r="I1593">
        <f>IF($N1593=1,VALUE(LEFT($H1593,2)),"")</f>
        <v/>
      </c>
      <c r="J1593">
        <f>IF($N1593=1,VALUE(MID($H1593,9,2)),"")</f>
        <v/>
      </c>
      <c r="K1593">
        <f>IF($N1593=1,MOD($J1593-$I1593,24),0)</f>
        <v/>
      </c>
      <c r="L1593">
        <f>IF($N1593=1,$E1593*24+$I1593,"")</f>
        <v/>
      </c>
      <c r="M1593">
        <f>IF($N1593=1,$L1593+$K1593,"")</f>
        <v/>
      </c>
      <c r="N1593">
        <f>IF(ISNUMBER(SEARCH(" - ",$H1593&amp;"")),1,0)</f>
        <v/>
      </c>
      <c r="O1593">
        <f>IF(UPPER($H1593&amp;"")="LEAVE",1,0)</f>
        <v/>
      </c>
      <c r="P1593">
        <f>IF($N1593=1,$K1593,0)</f>
        <v/>
      </c>
      <c r="Q1593">
        <f>IF($N1593=0,"",IFERROR($L1593-LOOKUP(2,1/(($B$2:$B1592=$B1593)*($N$2:$N1592=1)),$M$2:$M1592),""))</f>
        <v/>
      </c>
    </row>
    <row r="1594">
      <c r="A1594" t="n">
        <v>1593</v>
      </c>
      <c r="B1594">
        <f>Schedule!$A$230</f>
        <v/>
      </c>
      <c r="C1594">
        <f>Schedule!$D$230</f>
        <v/>
      </c>
      <c r="D1594">
        <f>Schedule!$F$230</f>
        <v/>
      </c>
      <c r="E1594" t="n">
        <v>3</v>
      </c>
      <c r="F1594">
        <f>Schedule!$J$1</f>
        <v/>
      </c>
      <c r="G1594">
        <f>Schedule!$J$2</f>
        <v/>
      </c>
      <c r="H1594">
        <f>Schedule!$J$230</f>
        <v/>
      </c>
      <c r="I1594">
        <f>IF($N1594=1,VALUE(LEFT($H1594,2)),"")</f>
        <v/>
      </c>
      <c r="J1594">
        <f>IF($N1594=1,VALUE(MID($H1594,9,2)),"")</f>
        <v/>
      </c>
      <c r="K1594">
        <f>IF($N1594=1,MOD($J1594-$I1594,24),0)</f>
        <v/>
      </c>
      <c r="L1594">
        <f>IF($N1594=1,$E1594*24+$I1594,"")</f>
        <v/>
      </c>
      <c r="M1594">
        <f>IF($N1594=1,$L1594+$K1594,"")</f>
        <v/>
      </c>
      <c r="N1594">
        <f>IF(ISNUMBER(SEARCH(" - ",$H1594&amp;"")),1,0)</f>
        <v/>
      </c>
      <c r="O1594">
        <f>IF(UPPER($H1594&amp;"")="LEAVE",1,0)</f>
        <v/>
      </c>
      <c r="P1594">
        <f>IF($N1594=1,$K1594,0)</f>
        <v/>
      </c>
      <c r="Q1594">
        <f>IF($N1594=0,"",IFERROR($L1594-LOOKUP(2,1/(($B$2:$B1593=$B1594)*($N$2:$N1593=1)),$M$2:$M1593),""))</f>
        <v/>
      </c>
    </row>
    <row r="1595">
      <c r="A1595" t="n">
        <v>1594</v>
      </c>
      <c r="B1595">
        <f>Schedule!$A$230</f>
        <v/>
      </c>
      <c r="C1595">
        <f>Schedule!$D$230</f>
        <v/>
      </c>
      <c r="D1595">
        <f>Schedule!$F$230</f>
        <v/>
      </c>
      <c r="E1595" t="n">
        <v>4</v>
      </c>
      <c r="F1595">
        <f>Schedule!$K$1</f>
        <v/>
      </c>
      <c r="G1595">
        <f>Schedule!$K$2</f>
        <v/>
      </c>
      <c r="H1595">
        <f>Schedule!$K$230</f>
        <v/>
      </c>
      <c r="I1595">
        <f>IF($N1595=1,VALUE(LEFT($H1595,2)),"")</f>
        <v/>
      </c>
      <c r="J1595">
        <f>IF($N1595=1,VALUE(MID($H1595,9,2)),"")</f>
        <v/>
      </c>
      <c r="K1595">
        <f>IF($N1595=1,MOD($J1595-$I1595,24),0)</f>
        <v/>
      </c>
      <c r="L1595">
        <f>IF($N1595=1,$E1595*24+$I1595,"")</f>
        <v/>
      </c>
      <c r="M1595">
        <f>IF($N1595=1,$L1595+$K1595,"")</f>
        <v/>
      </c>
      <c r="N1595">
        <f>IF(ISNUMBER(SEARCH(" - ",$H1595&amp;"")),1,0)</f>
        <v/>
      </c>
      <c r="O1595">
        <f>IF(UPPER($H1595&amp;"")="LEAVE",1,0)</f>
        <v/>
      </c>
      <c r="P1595">
        <f>IF($N1595=1,$K1595,0)</f>
        <v/>
      </c>
      <c r="Q1595">
        <f>IF($N1595=0,"",IFERROR($L1595-LOOKUP(2,1/(($B$2:$B1594=$B1595)*($N$2:$N1594=1)),$M$2:$M1594),""))</f>
        <v/>
      </c>
    </row>
    <row r="1596">
      <c r="A1596" t="n">
        <v>1595</v>
      </c>
      <c r="B1596">
        <f>Schedule!$A$230</f>
        <v/>
      </c>
      <c r="C1596">
        <f>Schedule!$D$230</f>
        <v/>
      </c>
      <c r="D1596">
        <f>Schedule!$F$230</f>
        <v/>
      </c>
      <c r="E1596" t="n">
        <v>5</v>
      </c>
      <c r="F1596">
        <f>Schedule!$L$1</f>
        <v/>
      </c>
      <c r="G1596">
        <f>Schedule!$L$2</f>
        <v/>
      </c>
      <c r="H1596">
        <f>Schedule!$L$230</f>
        <v/>
      </c>
      <c r="I1596">
        <f>IF($N1596=1,VALUE(LEFT($H1596,2)),"")</f>
        <v/>
      </c>
      <c r="J1596">
        <f>IF($N1596=1,VALUE(MID($H1596,9,2)),"")</f>
        <v/>
      </c>
      <c r="K1596">
        <f>IF($N1596=1,MOD($J1596-$I1596,24),0)</f>
        <v/>
      </c>
      <c r="L1596">
        <f>IF($N1596=1,$E1596*24+$I1596,"")</f>
        <v/>
      </c>
      <c r="M1596">
        <f>IF($N1596=1,$L1596+$K1596,"")</f>
        <v/>
      </c>
      <c r="N1596">
        <f>IF(ISNUMBER(SEARCH(" - ",$H1596&amp;"")),1,0)</f>
        <v/>
      </c>
      <c r="O1596">
        <f>IF(UPPER($H1596&amp;"")="LEAVE",1,0)</f>
        <v/>
      </c>
      <c r="P1596">
        <f>IF($N1596=1,$K1596,0)</f>
        <v/>
      </c>
      <c r="Q1596">
        <f>IF($N1596=0,"",IFERROR($L1596-LOOKUP(2,1/(($B$2:$B1595=$B1596)*($N$2:$N1595=1)),$M$2:$M1595),""))</f>
        <v/>
      </c>
    </row>
    <row r="1597">
      <c r="A1597" t="n">
        <v>1596</v>
      </c>
      <c r="B1597">
        <f>Schedule!$A$230</f>
        <v/>
      </c>
      <c r="C1597">
        <f>Schedule!$D$230</f>
        <v/>
      </c>
      <c r="D1597">
        <f>Schedule!$F$230</f>
        <v/>
      </c>
      <c r="E1597" t="n">
        <v>6</v>
      </c>
      <c r="F1597">
        <f>Schedule!$M$1</f>
        <v/>
      </c>
      <c r="G1597">
        <f>Schedule!$M$2</f>
        <v/>
      </c>
      <c r="H1597">
        <f>Schedule!$M$230</f>
        <v/>
      </c>
      <c r="I1597">
        <f>IF($N1597=1,VALUE(LEFT($H1597,2)),"")</f>
        <v/>
      </c>
      <c r="J1597">
        <f>IF($N1597=1,VALUE(MID($H1597,9,2)),"")</f>
        <v/>
      </c>
      <c r="K1597">
        <f>IF($N1597=1,MOD($J1597-$I1597,24),0)</f>
        <v/>
      </c>
      <c r="L1597">
        <f>IF($N1597=1,$E1597*24+$I1597,"")</f>
        <v/>
      </c>
      <c r="M1597">
        <f>IF($N1597=1,$L1597+$K1597,"")</f>
        <v/>
      </c>
      <c r="N1597">
        <f>IF(ISNUMBER(SEARCH(" - ",$H1597&amp;"")),1,0)</f>
        <v/>
      </c>
      <c r="O1597">
        <f>IF(UPPER($H1597&amp;"")="LEAVE",1,0)</f>
        <v/>
      </c>
      <c r="P1597">
        <f>IF($N1597=1,$K1597,0)</f>
        <v/>
      </c>
      <c r="Q1597">
        <f>IF($N1597=0,"",IFERROR($L1597-LOOKUP(2,1/(($B$2:$B1596=$B1597)*($N$2:$N1596=1)),$M$2:$M1596),""))</f>
        <v/>
      </c>
    </row>
    <row r="1598">
      <c r="A1598" t="n">
        <v>1597</v>
      </c>
      <c r="B1598">
        <f>Schedule!$A$231</f>
        <v/>
      </c>
      <c r="C1598">
        <f>Schedule!$D$231</f>
        <v/>
      </c>
      <c r="D1598">
        <f>Schedule!$F$231</f>
        <v/>
      </c>
      <c r="E1598" t="n">
        <v>0</v>
      </c>
      <c r="F1598">
        <f>Schedule!$G$1</f>
        <v/>
      </c>
      <c r="G1598">
        <f>Schedule!$G$2</f>
        <v/>
      </c>
      <c r="H1598">
        <f>Schedule!$G$231</f>
        <v/>
      </c>
      <c r="I1598">
        <f>IF($N1598=1,VALUE(LEFT($H1598,2)),"")</f>
        <v/>
      </c>
      <c r="J1598">
        <f>IF($N1598=1,VALUE(MID($H1598,9,2)),"")</f>
        <v/>
      </c>
      <c r="K1598">
        <f>IF($N1598=1,MOD($J1598-$I1598,24),0)</f>
        <v/>
      </c>
      <c r="L1598">
        <f>IF($N1598=1,$E1598*24+$I1598,"")</f>
        <v/>
      </c>
      <c r="M1598">
        <f>IF($N1598=1,$L1598+$K1598,"")</f>
        <v/>
      </c>
      <c r="N1598">
        <f>IF(ISNUMBER(SEARCH(" - ",$H1598&amp;"")),1,0)</f>
        <v/>
      </c>
      <c r="O1598">
        <f>IF(UPPER($H1598&amp;"")="LEAVE",1,0)</f>
        <v/>
      </c>
      <c r="P1598">
        <f>IF($N1598=1,$K1598,0)</f>
        <v/>
      </c>
      <c r="Q1598">
        <f>IF($N1598=0,"",IFERROR($L1598-'Previous Engine'!$M$230,""))</f>
        <v/>
      </c>
    </row>
    <row r="1599">
      <c r="A1599" t="n">
        <v>1598</v>
      </c>
      <c r="B1599">
        <f>Schedule!$A$231</f>
        <v/>
      </c>
      <c r="C1599">
        <f>Schedule!$D$231</f>
        <v/>
      </c>
      <c r="D1599">
        <f>Schedule!$F$231</f>
        <v/>
      </c>
      <c r="E1599" t="n">
        <v>1</v>
      </c>
      <c r="F1599">
        <f>Schedule!$H$1</f>
        <v/>
      </c>
      <c r="G1599">
        <f>Schedule!$H$2</f>
        <v/>
      </c>
      <c r="H1599">
        <f>Schedule!$H$231</f>
        <v/>
      </c>
      <c r="I1599">
        <f>IF($N1599=1,VALUE(LEFT($H1599,2)),"")</f>
        <v/>
      </c>
      <c r="J1599">
        <f>IF($N1599=1,VALUE(MID($H1599,9,2)),"")</f>
        <v/>
      </c>
      <c r="K1599">
        <f>IF($N1599=1,MOD($J1599-$I1599,24),0)</f>
        <v/>
      </c>
      <c r="L1599">
        <f>IF($N1599=1,$E1599*24+$I1599,"")</f>
        <v/>
      </c>
      <c r="M1599">
        <f>IF($N1599=1,$L1599+$K1599,"")</f>
        <v/>
      </c>
      <c r="N1599">
        <f>IF(ISNUMBER(SEARCH(" - ",$H1599&amp;"")),1,0)</f>
        <v/>
      </c>
      <c r="O1599">
        <f>IF(UPPER($H1599&amp;"")="LEAVE",1,0)</f>
        <v/>
      </c>
      <c r="P1599">
        <f>IF($N1599=1,$K1599,0)</f>
        <v/>
      </c>
      <c r="Q1599">
        <f>IF($N1599=0,"",IFERROR($L1599-LOOKUP(2,1/(($B$2:$B1598=$B1599)*($N$2:$N1598=1)),$M$2:$M1598),""))</f>
        <v/>
      </c>
    </row>
    <row r="1600">
      <c r="A1600" t="n">
        <v>1599</v>
      </c>
      <c r="B1600">
        <f>Schedule!$A$231</f>
        <v/>
      </c>
      <c r="C1600">
        <f>Schedule!$D$231</f>
        <v/>
      </c>
      <c r="D1600">
        <f>Schedule!$F$231</f>
        <v/>
      </c>
      <c r="E1600" t="n">
        <v>2</v>
      </c>
      <c r="F1600">
        <f>Schedule!$I$1</f>
        <v/>
      </c>
      <c r="G1600">
        <f>Schedule!$I$2</f>
        <v/>
      </c>
      <c r="H1600">
        <f>Schedule!$I$231</f>
        <v/>
      </c>
      <c r="I1600">
        <f>IF($N1600=1,VALUE(LEFT($H1600,2)),"")</f>
        <v/>
      </c>
      <c r="J1600">
        <f>IF($N1600=1,VALUE(MID($H1600,9,2)),"")</f>
        <v/>
      </c>
      <c r="K1600">
        <f>IF($N1600=1,MOD($J1600-$I1600,24),0)</f>
        <v/>
      </c>
      <c r="L1600">
        <f>IF($N1600=1,$E1600*24+$I1600,"")</f>
        <v/>
      </c>
      <c r="M1600">
        <f>IF($N1600=1,$L1600+$K1600,"")</f>
        <v/>
      </c>
      <c r="N1600">
        <f>IF(ISNUMBER(SEARCH(" - ",$H1600&amp;"")),1,0)</f>
        <v/>
      </c>
      <c r="O1600">
        <f>IF(UPPER($H1600&amp;"")="LEAVE",1,0)</f>
        <v/>
      </c>
      <c r="P1600">
        <f>IF($N1600=1,$K1600,0)</f>
        <v/>
      </c>
      <c r="Q1600">
        <f>IF($N1600=0,"",IFERROR($L1600-LOOKUP(2,1/(($B$2:$B1599=$B1600)*($N$2:$N1599=1)),$M$2:$M1599),""))</f>
        <v/>
      </c>
    </row>
    <row r="1601">
      <c r="A1601" t="n">
        <v>1600</v>
      </c>
      <c r="B1601">
        <f>Schedule!$A$231</f>
        <v/>
      </c>
      <c r="C1601">
        <f>Schedule!$D$231</f>
        <v/>
      </c>
      <c r="D1601">
        <f>Schedule!$F$231</f>
        <v/>
      </c>
      <c r="E1601" t="n">
        <v>3</v>
      </c>
      <c r="F1601">
        <f>Schedule!$J$1</f>
        <v/>
      </c>
      <c r="G1601">
        <f>Schedule!$J$2</f>
        <v/>
      </c>
      <c r="H1601">
        <f>Schedule!$J$231</f>
        <v/>
      </c>
      <c r="I1601">
        <f>IF($N1601=1,VALUE(LEFT($H1601,2)),"")</f>
        <v/>
      </c>
      <c r="J1601">
        <f>IF($N1601=1,VALUE(MID($H1601,9,2)),"")</f>
        <v/>
      </c>
      <c r="K1601">
        <f>IF($N1601=1,MOD($J1601-$I1601,24),0)</f>
        <v/>
      </c>
      <c r="L1601">
        <f>IF($N1601=1,$E1601*24+$I1601,"")</f>
        <v/>
      </c>
      <c r="M1601">
        <f>IF($N1601=1,$L1601+$K1601,"")</f>
        <v/>
      </c>
      <c r="N1601">
        <f>IF(ISNUMBER(SEARCH(" - ",$H1601&amp;"")),1,0)</f>
        <v/>
      </c>
      <c r="O1601">
        <f>IF(UPPER($H1601&amp;"")="LEAVE",1,0)</f>
        <v/>
      </c>
      <c r="P1601">
        <f>IF($N1601=1,$K1601,0)</f>
        <v/>
      </c>
      <c r="Q1601">
        <f>IF($N1601=0,"",IFERROR($L1601-LOOKUP(2,1/(($B$2:$B1600=$B1601)*($N$2:$N1600=1)),$M$2:$M1600),""))</f>
        <v/>
      </c>
    </row>
    <row r="1602">
      <c r="A1602" t="n">
        <v>1601</v>
      </c>
      <c r="B1602">
        <f>Schedule!$A$231</f>
        <v/>
      </c>
      <c r="C1602">
        <f>Schedule!$D$231</f>
        <v/>
      </c>
      <c r="D1602">
        <f>Schedule!$F$231</f>
        <v/>
      </c>
      <c r="E1602" t="n">
        <v>4</v>
      </c>
      <c r="F1602">
        <f>Schedule!$K$1</f>
        <v/>
      </c>
      <c r="G1602">
        <f>Schedule!$K$2</f>
        <v/>
      </c>
      <c r="H1602">
        <f>Schedule!$K$231</f>
        <v/>
      </c>
      <c r="I1602">
        <f>IF($N1602=1,VALUE(LEFT($H1602,2)),"")</f>
        <v/>
      </c>
      <c r="J1602">
        <f>IF($N1602=1,VALUE(MID($H1602,9,2)),"")</f>
        <v/>
      </c>
      <c r="K1602">
        <f>IF($N1602=1,MOD($J1602-$I1602,24),0)</f>
        <v/>
      </c>
      <c r="L1602">
        <f>IF($N1602=1,$E1602*24+$I1602,"")</f>
        <v/>
      </c>
      <c r="M1602">
        <f>IF($N1602=1,$L1602+$K1602,"")</f>
        <v/>
      </c>
      <c r="N1602">
        <f>IF(ISNUMBER(SEARCH(" - ",$H1602&amp;"")),1,0)</f>
        <v/>
      </c>
      <c r="O1602">
        <f>IF(UPPER($H1602&amp;"")="LEAVE",1,0)</f>
        <v/>
      </c>
      <c r="P1602">
        <f>IF($N1602=1,$K1602,0)</f>
        <v/>
      </c>
      <c r="Q1602">
        <f>IF($N1602=0,"",IFERROR($L1602-LOOKUP(2,1/(($B$2:$B1601=$B1602)*($N$2:$N1601=1)),$M$2:$M1601),""))</f>
        <v/>
      </c>
    </row>
    <row r="1603">
      <c r="A1603" t="n">
        <v>1602</v>
      </c>
      <c r="B1603">
        <f>Schedule!$A$231</f>
        <v/>
      </c>
      <c r="C1603">
        <f>Schedule!$D$231</f>
        <v/>
      </c>
      <c r="D1603">
        <f>Schedule!$F$231</f>
        <v/>
      </c>
      <c r="E1603" t="n">
        <v>5</v>
      </c>
      <c r="F1603">
        <f>Schedule!$L$1</f>
        <v/>
      </c>
      <c r="G1603">
        <f>Schedule!$L$2</f>
        <v/>
      </c>
      <c r="H1603">
        <f>Schedule!$L$231</f>
        <v/>
      </c>
      <c r="I1603">
        <f>IF($N1603=1,VALUE(LEFT($H1603,2)),"")</f>
        <v/>
      </c>
      <c r="J1603">
        <f>IF($N1603=1,VALUE(MID($H1603,9,2)),"")</f>
        <v/>
      </c>
      <c r="K1603">
        <f>IF($N1603=1,MOD($J1603-$I1603,24),0)</f>
        <v/>
      </c>
      <c r="L1603">
        <f>IF($N1603=1,$E1603*24+$I1603,"")</f>
        <v/>
      </c>
      <c r="M1603">
        <f>IF($N1603=1,$L1603+$K1603,"")</f>
        <v/>
      </c>
      <c r="N1603">
        <f>IF(ISNUMBER(SEARCH(" - ",$H1603&amp;"")),1,0)</f>
        <v/>
      </c>
      <c r="O1603">
        <f>IF(UPPER($H1603&amp;"")="LEAVE",1,0)</f>
        <v/>
      </c>
      <c r="P1603">
        <f>IF($N1603=1,$K1603,0)</f>
        <v/>
      </c>
      <c r="Q1603">
        <f>IF($N1603=0,"",IFERROR($L1603-LOOKUP(2,1/(($B$2:$B1602=$B1603)*($N$2:$N1602=1)),$M$2:$M1602),""))</f>
        <v/>
      </c>
    </row>
    <row r="1604">
      <c r="A1604" t="n">
        <v>1603</v>
      </c>
      <c r="B1604">
        <f>Schedule!$A$231</f>
        <v/>
      </c>
      <c r="C1604">
        <f>Schedule!$D$231</f>
        <v/>
      </c>
      <c r="D1604">
        <f>Schedule!$F$231</f>
        <v/>
      </c>
      <c r="E1604" t="n">
        <v>6</v>
      </c>
      <c r="F1604">
        <f>Schedule!$M$1</f>
        <v/>
      </c>
      <c r="G1604">
        <f>Schedule!$M$2</f>
        <v/>
      </c>
      <c r="H1604">
        <f>Schedule!$M$231</f>
        <v/>
      </c>
      <c r="I1604">
        <f>IF($N1604=1,VALUE(LEFT($H1604,2)),"")</f>
        <v/>
      </c>
      <c r="J1604">
        <f>IF($N1604=1,VALUE(MID($H1604,9,2)),"")</f>
        <v/>
      </c>
      <c r="K1604">
        <f>IF($N1604=1,MOD($J1604-$I1604,24),0)</f>
        <v/>
      </c>
      <c r="L1604">
        <f>IF($N1604=1,$E1604*24+$I1604,"")</f>
        <v/>
      </c>
      <c r="M1604">
        <f>IF($N1604=1,$L1604+$K1604,"")</f>
        <v/>
      </c>
      <c r="N1604">
        <f>IF(ISNUMBER(SEARCH(" - ",$H1604&amp;"")),1,0)</f>
        <v/>
      </c>
      <c r="O1604">
        <f>IF(UPPER($H1604&amp;"")="LEAVE",1,0)</f>
        <v/>
      </c>
      <c r="P1604">
        <f>IF($N1604=1,$K1604,0)</f>
        <v/>
      </c>
      <c r="Q1604">
        <f>IF($N1604=0,"",IFERROR($L1604-LOOKUP(2,1/(($B$2:$B1603=$B1604)*($N$2:$N1603=1)),$M$2:$M1603),""))</f>
        <v/>
      </c>
    </row>
    <row r="1605">
      <c r="A1605" t="n">
        <v>1604</v>
      </c>
      <c r="B1605">
        <f>Schedule!$A$232</f>
        <v/>
      </c>
      <c r="C1605">
        <f>Schedule!$D$232</f>
        <v/>
      </c>
      <c r="D1605">
        <f>Schedule!$F$232</f>
        <v/>
      </c>
      <c r="E1605" t="n">
        <v>0</v>
      </c>
      <c r="F1605">
        <f>Schedule!$G$1</f>
        <v/>
      </c>
      <c r="G1605">
        <f>Schedule!$G$2</f>
        <v/>
      </c>
      <c r="H1605">
        <f>Schedule!$G$232</f>
        <v/>
      </c>
      <c r="I1605">
        <f>IF($N1605=1,VALUE(LEFT($H1605,2)),"")</f>
        <v/>
      </c>
      <c r="J1605">
        <f>IF($N1605=1,VALUE(MID($H1605,9,2)),"")</f>
        <v/>
      </c>
      <c r="K1605">
        <f>IF($N1605=1,MOD($J1605-$I1605,24),0)</f>
        <v/>
      </c>
      <c r="L1605">
        <f>IF($N1605=1,$E1605*24+$I1605,"")</f>
        <v/>
      </c>
      <c r="M1605">
        <f>IF($N1605=1,$L1605+$K1605,"")</f>
        <v/>
      </c>
      <c r="N1605">
        <f>IF(ISNUMBER(SEARCH(" - ",$H1605&amp;"")),1,0)</f>
        <v/>
      </c>
      <c r="O1605">
        <f>IF(UPPER($H1605&amp;"")="LEAVE",1,0)</f>
        <v/>
      </c>
      <c r="P1605">
        <f>IF($N1605=1,$K1605,0)</f>
        <v/>
      </c>
      <c r="Q1605">
        <f>IF($N1605=0,"",IFERROR($L1605-'Previous Engine'!$M$231,""))</f>
        <v/>
      </c>
    </row>
    <row r="1606">
      <c r="A1606" t="n">
        <v>1605</v>
      </c>
      <c r="B1606">
        <f>Schedule!$A$232</f>
        <v/>
      </c>
      <c r="C1606">
        <f>Schedule!$D$232</f>
        <v/>
      </c>
      <c r="D1606">
        <f>Schedule!$F$232</f>
        <v/>
      </c>
      <c r="E1606" t="n">
        <v>1</v>
      </c>
      <c r="F1606">
        <f>Schedule!$H$1</f>
        <v/>
      </c>
      <c r="G1606">
        <f>Schedule!$H$2</f>
        <v/>
      </c>
      <c r="H1606">
        <f>Schedule!$H$232</f>
        <v/>
      </c>
      <c r="I1606">
        <f>IF($N1606=1,VALUE(LEFT($H1606,2)),"")</f>
        <v/>
      </c>
      <c r="J1606">
        <f>IF($N1606=1,VALUE(MID($H1606,9,2)),"")</f>
        <v/>
      </c>
      <c r="K1606">
        <f>IF($N1606=1,MOD($J1606-$I1606,24),0)</f>
        <v/>
      </c>
      <c r="L1606">
        <f>IF($N1606=1,$E1606*24+$I1606,"")</f>
        <v/>
      </c>
      <c r="M1606">
        <f>IF($N1606=1,$L1606+$K1606,"")</f>
        <v/>
      </c>
      <c r="N1606">
        <f>IF(ISNUMBER(SEARCH(" - ",$H1606&amp;"")),1,0)</f>
        <v/>
      </c>
      <c r="O1606">
        <f>IF(UPPER($H1606&amp;"")="LEAVE",1,0)</f>
        <v/>
      </c>
      <c r="P1606">
        <f>IF($N1606=1,$K1606,0)</f>
        <v/>
      </c>
      <c r="Q1606">
        <f>IF($N1606=0,"",IFERROR($L1606-LOOKUP(2,1/(($B$2:$B1605=$B1606)*($N$2:$N1605=1)),$M$2:$M1605),""))</f>
        <v/>
      </c>
    </row>
    <row r="1607">
      <c r="A1607" t="n">
        <v>1606</v>
      </c>
      <c r="B1607">
        <f>Schedule!$A$232</f>
        <v/>
      </c>
      <c r="C1607">
        <f>Schedule!$D$232</f>
        <v/>
      </c>
      <c r="D1607">
        <f>Schedule!$F$232</f>
        <v/>
      </c>
      <c r="E1607" t="n">
        <v>2</v>
      </c>
      <c r="F1607">
        <f>Schedule!$I$1</f>
        <v/>
      </c>
      <c r="G1607">
        <f>Schedule!$I$2</f>
        <v/>
      </c>
      <c r="H1607">
        <f>Schedule!$I$232</f>
        <v/>
      </c>
      <c r="I1607">
        <f>IF($N1607=1,VALUE(LEFT($H1607,2)),"")</f>
        <v/>
      </c>
      <c r="J1607">
        <f>IF($N1607=1,VALUE(MID($H1607,9,2)),"")</f>
        <v/>
      </c>
      <c r="K1607">
        <f>IF($N1607=1,MOD($J1607-$I1607,24),0)</f>
        <v/>
      </c>
      <c r="L1607">
        <f>IF($N1607=1,$E1607*24+$I1607,"")</f>
        <v/>
      </c>
      <c r="M1607">
        <f>IF($N1607=1,$L1607+$K1607,"")</f>
        <v/>
      </c>
      <c r="N1607">
        <f>IF(ISNUMBER(SEARCH(" - ",$H1607&amp;"")),1,0)</f>
        <v/>
      </c>
      <c r="O1607">
        <f>IF(UPPER($H1607&amp;"")="LEAVE",1,0)</f>
        <v/>
      </c>
      <c r="P1607">
        <f>IF($N1607=1,$K1607,0)</f>
        <v/>
      </c>
      <c r="Q1607">
        <f>IF($N1607=0,"",IFERROR($L1607-LOOKUP(2,1/(($B$2:$B1606=$B1607)*($N$2:$N1606=1)),$M$2:$M1606),""))</f>
        <v/>
      </c>
    </row>
    <row r="1608">
      <c r="A1608" t="n">
        <v>1607</v>
      </c>
      <c r="B1608">
        <f>Schedule!$A$232</f>
        <v/>
      </c>
      <c r="C1608">
        <f>Schedule!$D$232</f>
        <v/>
      </c>
      <c r="D1608">
        <f>Schedule!$F$232</f>
        <v/>
      </c>
      <c r="E1608" t="n">
        <v>3</v>
      </c>
      <c r="F1608">
        <f>Schedule!$J$1</f>
        <v/>
      </c>
      <c r="G1608">
        <f>Schedule!$J$2</f>
        <v/>
      </c>
      <c r="H1608">
        <f>Schedule!$J$232</f>
        <v/>
      </c>
      <c r="I1608">
        <f>IF($N1608=1,VALUE(LEFT($H1608,2)),"")</f>
        <v/>
      </c>
      <c r="J1608">
        <f>IF($N1608=1,VALUE(MID($H1608,9,2)),"")</f>
        <v/>
      </c>
      <c r="K1608">
        <f>IF($N1608=1,MOD($J1608-$I1608,24),0)</f>
        <v/>
      </c>
      <c r="L1608">
        <f>IF($N1608=1,$E1608*24+$I1608,"")</f>
        <v/>
      </c>
      <c r="M1608">
        <f>IF($N1608=1,$L1608+$K1608,"")</f>
        <v/>
      </c>
      <c r="N1608">
        <f>IF(ISNUMBER(SEARCH(" - ",$H1608&amp;"")),1,0)</f>
        <v/>
      </c>
      <c r="O1608">
        <f>IF(UPPER($H1608&amp;"")="LEAVE",1,0)</f>
        <v/>
      </c>
      <c r="P1608">
        <f>IF($N1608=1,$K1608,0)</f>
        <v/>
      </c>
      <c r="Q1608">
        <f>IF($N1608=0,"",IFERROR($L1608-LOOKUP(2,1/(($B$2:$B1607=$B1608)*($N$2:$N1607=1)),$M$2:$M1607),""))</f>
        <v/>
      </c>
    </row>
    <row r="1609">
      <c r="A1609" t="n">
        <v>1608</v>
      </c>
      <c r="B1609">
        <f>Schedule!$A$232</f>
        <v/>
      </c>
      <c r="C1609">
        <f>Schedule!$D$232</f>
        <v/>
      </c>
      <c r="D1609">
        <f>Schedule!$F$232</f>
        <v/>
      </c>
      <c r="E1609" t="n">
        <v>4</v>
      </c>
      <c r="F1609">
        <f>Schedule!$K$1</f>
        <v/>
      </c>
      <c r="G1609">
        <f>Schedule!$K$2</f>
        <v/>
      </c>
      <c r="H1609">
        <f>Schedule!$K$232</f>
        <v/>
      </c>
      <c r="I1609">
        <f>IF($N1609=1,VALUE(LEFT($H1609,2)),"")</f>
        <v/>
      </c>
      <c r="J1609">
        <f>IF($N1609=1,VALUE(MID($H1609,9,2)),"")</f>
        <v/>
      </c>
      <c r="K1609">
        <f>IF($N1609=1,MOD($J1609-$I1609,24),0)</f>
        <v/>
      </c>
      <c r="L1609">
        <f>IF($N1609=1,$E1609*24+$I1609,"")</f>
        <v/>
      </c>
      <c r="M1609">
        <f>IF($N1609=1,$L1609+$K1609,"")</f>
        <v/>
      </c>
      <c r="N1609">
        <f>IF(ISNUMBER(SEARCH(" - ",$H1609&amp;"")),1,0)</f>
        <v/>
      </c>
      <c r="O1609">
        <f>IF(UPPER($H1609&amp;"")="LEAVE",1,0)</f>
        <v/>
      </c>
      <c r="P1609">
        <f>IF($N1609=1,$K1609,0)</f>
        <v/>
      </c>
      <c r="Q1609">
        <f>IF($N1609=0,"",IFERROR($L1609-LOOKUP(2,1/(($B$2:$B1608=$B1609)*($N$2:$N1608=1)),$M$2:$M1608),""))</f>
        <v/>
      </c>
    </row>
    <row r="1610">
      <c r="A1610" t="n">
        <v>1609</v>
      </c>
      <c r="B1610">
        <f>Schedule!$A$232</f>
        <v/>
      </c>
      <c r="C1610">
        <f>Schedule!$D$232</f>
        <v/>
      </c>
      <c r="D1610">
        <f>Schedule!$F$232</f>
        <v/>
      </c>
      <c r="E1610" t="n">
        <v>5</v>
      </c>
      <c r="F1610">
        <f>Schedule!$L$1</f>
        <v/>
      </c>
      <c r="G1610">
        <f>Schedule!$L$2</f>
        <v/>
      </c>
      <c r="H1610">
        <f>Schedule!$L$232</f>
        <v/>
      </c>
      <c r="I1610">
        <f>IF($N1610=1,VALUE(LEFT($H1610,2)),"")</f>
        <v/>
      </c>
      <c r="J1610">
        <f>IF($N1610=1,VALUE(MID($H1610,9,2)),"")</f>
        <v/>
      </c>
      <c r="K1610">
        <f>IF($N1610=1,MOD($J1610-$I1610,24),0)</f>
        <v/>
      </c>
      <c r="L1610">
        <f>IF($N1610=1,$E1610*24+$I1610,"")</f>
        <v/>
      </c>
      <c r="M1610">
        <f>IF($N1610=1,$L1610+$K1610,"")</f>
        <v/>
      </c>
      <c r="N1610">
        <f>IF(ISNUMBER(SEARCH(" - ",$H1610&amp;"")),1,0)</f>
        <v/>
      </c>
      <c r="O1610">
        <f>IF(UPPER($H1610&amp;"")="LEAVE",1,0)</f>
        <v/>
      </c>
      <c r="P1610">
        <f>IF($N1610=1,$K1610,0)</f>
        <v/>
      </c>
      <c r="Q1610">
        <f>IF($N1610=0,"",IFERROR($L1610-LOOKUP(2,1/(($B$2:$B1609=$B1610)*($N$2:$N1609=1)),$M$2:$M1609),""))</f>
        <v/>
      </c>
    </row>
    <row r="1611">
      <c r="A1611" t="n">
        <v>1610</v>
      </c>
      <c r="B1611">
        <f>Schedule!$A$232</f>
        <v/>
      </c>
      <c r="C1611">
        <f>Schedule!$D$232</f>
        <v/>
      </c>
      <c r="D1611">
        <f>Schedule!$F$232</f>
        <v/>
      </c>
      <c r="E1611" t="n">
        <v>6</v>
      </c>
      <c r="F1611">
        <f>Schedule!$M$1</f>
        <v/>
      </c>
      <c r="G1611">
        <f>Schedule!$M$2</f>
        <v/>
      </c>
      <c r="H1611">
        <f>Schedule!$M$232</f>
        <v/>
      </c>
      <c r="I1611">
        <f>IF($N1611=1,VALUE(LEFT($H1611,2)),"")</f>
        <v/>
      </c>
      <c r="J1611">
        <f>IF($N1611=1,VALUE(MID($H1611,9,2)),"")</f>
        <v/>
      </c>
      <c r="K1611">
        <f>IF($N1611=1,MOD($J1611-$I1611,24),0)</f>
        <v/>
      </c>
      <c r="L1611">
        <f>IF($N1611=1,$E1611*24+$I1611,"")</f>
        <v/>
      </c>
      <c r="M1611">
        <f>IF($N1611=1,$L1611+$K1611,"")</f>
        <v/>
      </c>
      <c r="N1611">
        <f>IF(ISNUMBER(SEARCH(" - ",$H1611&amp;"")),1,0)</f>
        <v/>
      </c>
      <c r="O1611">
        <f>IF(UPPER($H1611&amp;"")="LEAVE",1,0)</f>
        <v/>
      </c>
      <c r="P1611">
        <f>IF($N1611=1,$K1611,0)</f>
        <v/>
      </c>
      <c r="Q1611">
        <f>IF($N1611=0,"",IFERROR($L1611-LOOKUP(2,1/(($B$2:$B1610=$B1611)*($N$2:$N1610=1)),$M$2:$M1610),""))</f>
        <v/>
      </c>
    </row>
    <row r="1612">
      <c r="A1612" t="n">
        <v>1611</v>
      </c>
      <c r="B1612">
        <f>Schedule!$A$233</f>
        <v/>
      </c>
      <c r="C1612">
        <f>Schedule!$D$233</f>
        <v/>
      </c>
      <c r="D1612">
        <f>Schedule!$F$233</f>
        <v/>
      </c>
      <c r="E1612" t="n">
        <v>0</v>
      </c>
      <c r="F1612">
        <f>Schedule!$G$1</f>
        <v/>
      </c>
      <c r="G1612">
        <f>Schedule!$G$2</f>
        <v/>
      </c>
      <c r="H1612">
        <f>Schedule!$G$233</f>
        <v/>
      </c>
      <c r="I1612">
        <f>IF($N1612=1,VALUE(LEFT($H1612,2)),"")</f>
        <v/>
      </c>
      <c r="J1612">
        <f>IF($N1612=1,VALUE(MID($H1612,9,2)),"")</f>
        <v/>
      </c>
      <c r="K1612">
        <f>IF($N1612=1,MOD($J1612-$I1612,24),0)</f>
        <v/>
      </c>
      <c r="L1612">
        <f>IF($N1612=1,$E1612*24+$I1612,"")</f>
        <v/>
      </c>
      <c r="M1612">
        <f>IF($N1612=1,$L1612+$K1612,"")</f>
        <v/>
      </c>
      <c r="N1612">
        <f>IF(ISNUMBER(SEARCH(" - ",$H1612&amp;"")),1,0)</f>
        <v/>
      </c>
      <c r="O1612">
        <f>IF(UPPER($H1612&amp;"")="LEAVE",1,0)</f>
        <v/>
      </c>
      <c r="P1612">
        <f>IF($N1612=1,$K1612,0)</f>
        <v/>
      </c>
      <c r="Q1612">
        <f>IF($N1612=0,"",IFERROR($L1612-'Previous Engine'!$M$232,""))</f>
        <v/>
      </c>
    </row>
    <row r="1613">
      <c r="A1613" t="n">
        <v>1612</v>
      </c>
      <c r="B1613">
        <f>Schedule!$A$233</f>
        <v/>
      </c>
      <c r="C1613">
        <f>Schedule!$D$233</f>
        <v/>
      </c>
      <c r="D1613">
        <f>Schedule!$F$233</f>
        <v/>
      </c>
      <c r="E1613" t="n">
        <v>1</v>
      </c>
      <c r="F1613">
        <f>Schedule!$H$1</f>
        <v/>
      </c>
      <c r="G1613">
        <f>Schedule!$H$2</f>
        <v/>
      </c>
      <c r="H1613">
        <f>Schedule!$H$233</f>
        <v/>
      </c>
      <c r="I1613">
        <f>IF($N1613=1,VALUE(LEFT($H1613,2)),"")</f>
        <v/>
      </c>
      <c r="J1613">
        <f>IF($N1613=1,VALUE(MID($H1613,9,2)),"")</f>
        <v/>
      </c>
      <c r="K1613">
        <f>IF($N1613=1,MOD($J1613-$I1613,24),0)</f>
        <v/>
      </c>
      <c r="L1613">
        <f>IF($N1613=1,$E1613*24+$I1613,"")</f>
        <v/>
      </c>
      <c r="M1613">
        <f>IF($N1613=1,$L1613+$K1613,"")</f>
        <v/>
      </c>
      <c r="N1613">
        <f>IF(ISNUMBER(SEARCH(" - ",$H1613&amp;"")),1,0)</f>
        <v/>
      </c>
      <c r="O1613">
        <f>IF(UPPER($H1613&amp;"")="LEAVE",1,0)</f>
        <v/>
      </c>
      <c r="P1613">
        <f>IF($N1613=1,$K1613,0)</f>
        <v/>
      </c>
      <c r="Q1613">
        <f>IF($N1613=0,"",IFERROR($L1613-LOOKUP(2,1/(($B$2:$B1612=$B1613)*($N$2:$N1612=1)),$M$2:$M1612),""))</f>
        <v/>
      </c>
    </row>
    <row r="1614">
      <c r="A1614" t="n">
        <v>1613</v>
      </c>
      <c r="B1614">
        <f>Schedule!$A$233</f>
        <v/>
      </c>
      <c r="C1614">
        <f>Schedule!$D$233</f>
        <v/>
      </c>
      <c r="D1614">
        <f>Schedule!$F$233</f>
        <v/>
      </c>
      <c r="E1614" t="n">
        <v>2</v>
      </c>
      <c r="F1614">
        <f>Schedule!$I$1</f>
        <v/>
      </c>
      <c r="G1614">
        <f>Schedule!$I$2</f>
        <v/>
      </c>
      <c r="H1614">
        <f>Schedule!$I$233</f>
        <v/>
      </c>
      <c r="I1614">
        <f>IF($N1614=1,VALUE(LEFT($H1614,2)),"")</f>
        <v/>
      </c>
      <c r="J1614">
        <f>IF($N1614=1,VALUE(MID($H1614,9,2)),"")</f>
        <v/>
      </c>
      <c r="K1614">
        <f>IF($N1614=1,MOD($J1614-$I1614,24),0)</f>
        <v/>
      </c>
      <c r="L1614">
        <f>IF($N1614=1,$E1614*24+$I1614,"")</f>
        <v/>
      </c>
      <c r="M1614">
        <f>IF($N1614=1,$L1614+$K1614,"")</f>
        <v/>
      </c>
      <c r="N1614">
        <f>IF(ISNUMBER(SEARCH(" - ",$H1614&amp;"")),1,0)</f>
        <v/>
      </c>
      <c r="O1614">
        <f>IF(UPPER($H1614&amp;"")="LEAVE",1,0)</f>
        <v/>
      </c>
      <c r="P1614">
        <f>IF($N1614=1,$K1614,0)</f>
        <v/>
      </c>
      <c r="Q1614">
        <f>IF($N1614=0,"",IFERROR($L1614-LOOKUP(2,1/(($B$2:$B1613=$B1614)*($N$2:$N1613=1)),$M$2:$M1613),""))</f>
        <v/>
      </c>
    </row>
    <row r="1615">
      <c r="A1615" t="n">
        <v>1614</v>
      </c>
      <c r="B1615">
        <f>Schedule!$A$233</f>
        <v/>
      </c>
      <c r="C1615">
        <f>Schedule!$D$233</f>
        <v/>
      </c>
      <c r="D1615">
        <f>Schedule!$F$233</f>
        <v/>
      </c>
      <c r="E1615" t="n">
        <v>3</v>
      </c>
      <c r="F1615">
        <f>Schedule!$J$1</f>
        <v/>
      </c>
      <c r="G1615">
        <f>Schedule!$J$2</f>
        <v/>
      </c>
      <c r="H1615">
        <f>Schedule!$J$233</f>
        <v/>
      </c>
      <c r="I1615">
        <f>IF($N1615=1,VALUE(LEFT($H1615,2)),"")</f>
        <v/>
      </c>
      <c r="J1615">
        <f>IF($N1615=1,VALUE(MID($H1615,9,2)),"")</f>
        <v/>
      </c>
      <c r="K1615">
        <f>IF($N1615=1,MOD($J1615-$I1615,24),0)</f>
        <v/>
      </c>
      <c r="L1615">
        <f>IF($N1615=1,$E1615*24+$I1615,"")</f>
        <v/>
      </c>
      <c r="M1615">
        <f>IF($N1615=1,$L1615+$K1615,"")</f>
        <v/>
      </c>
      <c r="N1615">
        <f>IF(ISNUMBER(SEARCH(" - ",$H1615&amp;"")),1,0)</f>
        <v/>
      </c>
      <c r="O1615">
        <f>IF(UPPER($H1615&amp;"")="LEAVE",1,0)</f>
        <v/>
      </c>
      <c r="P1615">
        <f>IF($N1615=1,$K1615,0)</f>
        <v/>
      </c>
      <c r="Q1615">
        <f>IF($N1615=0,"",IFERROR($L1615-LOOKUP(2,1/(($B$2:$B1614=$B1615)*($N$2:$N1614=1)),$M$2:$M1614),""))</f>
        <v/>
      </c>
    </row>
    <row r="1616">
      <c r="A1616" t="n">
        <v>1615</v>
      </c>
      <c r="B1616">
        <f>Schedule!$A$233</f>
        <v/>
      </c>
      <c r="C1616">
        <f>Schedule!$D$233</f>
        <v/>
      </c>
      <c r="D1616">
        <f>Schedule!$F$233</f>
        <v/>
      </c>
      <c r="E1616" t="n">
        <v>4</v>
      </c>
      <c r="F1616">
        <f>Schedule!$K$1</f>
        <v/>
      </c>
      <c r="G1616">
        <f>Schedule!$K$2</f>
        <v/>
      </c>
      <c r="H1616">
        <f>Schedule!$K$233</f>
        <v/>
      </c>
      <c r="I1616">
        <f>IF($N1616=1,VALUE(LEFT($H1616,2)),"")</f>
        <v/>
      </c>
      <c r="J1616">
        <f>IF($N1616=1,VALUE(MID($H1616,9,2)),"")</f>
        <v/>
      </c>
      <c r="K1616">
        <f>IF($N1616=1,MOD($J1616-$I1616,24),0)</f>
        <v/>
      </c>
      <c r="L1616">
        <f>IF($N1616=1,$E1616*24+$I1616,"")</f>
        <v/>
      </c>
      <c r="M1616">
        <f>IF($N1616=1,$L1616+$K1616,"")</f>
        <v/>
      </c>
      <c r="N1616">
        <f>IF(ISNUMBER(SEARCH(" - ",$H1616&amp;"")),1,0)</f>
        <v/>
      </c>
      <c r="O1616">
        <f>IF(UPPER($H1616&amp;"")="LEAVE",1,0)</f>
        <v/>
      </c>
      <c r="P1616">
        <f>IF($N1616=1,$K1616,0)</f>
        <v/>
      </c>
      <c r="Q1616">
        <f>IF($N1616=0,"",IFERROR($L1616-LOOKUP(2,1/(($B$2:$B1615=$B1616)*($N$2:$N1615=1)),$M$2:$M1615),""))</f>
        <v/>
      </c>
    </row>
    <row r="1617">
      <c r="A1617" t="n">
        <v>1616</v>
      </c>
      <c r="B1617">
        <f>Schedule!$A$233</f>
        <v/>
      </c>
      <c r="C1617">
        <f>Schedule!$D$233</f>
        <v/>
      </c>
      <c r="D1617">
        <f>Schedule!$F$233</f>
        <v/>
      </c>
      <c r="E1617" t="n">
        <v>5</v>
      </c>
      <c r="F1617">
        <f>Schedule!$L$1</f>
        <v/>
      </c>
      <c r="G1617">
        <f>Schedule!$L$2</f>
        <v/>
      </c>
      <c r="H1617">
        <f>Schedule!$L$233</f>
        <v/>
      </c>
      <c r="I1617">
        <f>IF($N1617=1,VALUE(LEFT($H1617,2)),"")</f>
        <v/>
      </c>
      <c r="J1617">
        <f>IF($N1617=1,VALUE(MID($H1617,9,2)),"")</f>
        <v/>
      </c>
      <c r="K1617">
        <f>IF($N1617=1,MOD($J1617-$I1617,24),0)</f>
        <v/>
      </c>
      <c r="L1617">
        <f>IF($N1617=1,$E1617*24+$I1617,"")</f>
        <v/>
      </c>
      <c r="M1617">
        <f>IF($N1617=1,$L1617+$K1617,"")</f>
        <v/>
      </c>
      <c r="N1617">
        <f>IF(ISNUMBER(SEARCH(" - ",$H1617&amp;"")),1,0)</f>
        <v/>
      </c>
      <c r="O1617">
        <f>IF(UPPER($H1617&amp;"")="LEAVE",1,0)</f>
        <v/>
      </c>
      <c r="P1617">
        <f>IF($N1617=1,$K1617,0)</f>
        <v/>
      </c>
      <c r="Q1617">
        <f>IF($N1617=0,"",IFERROR($L1617-LOOKUP(2,1/(($B$2:$B1616=$B1617)*($N$2:$N1616=1)),$M$2:$M1616),""))</f>
        <v/>
      </c>
    </row>
    <row r="1618">
      <c r="A1618" t="n">
        <v>1617</v>
      </c>
      <c r="B1618">
        <f>Schedule!$A$233</f>
        <v/>
      </c>
      <c r="C1618">
        <f>Schedule!$D$233</f>
        <v/>
      </c>
      <c r="D1618">
        <f>Schedule!$F$233</f>
        <v/>
      </c>
      <c r="E1618" t="n">
        <v>6</v>
      </c>
      <c r="F1618">
        <f>Schedule!$M$1</f>
        <v/>
      </c>
      <c r="G1618">
        <f>Schedule!$M$2</f>
        <v/>
      </c>
      <c r="H1618">
        <f>Schedule!$M$233</f>
        <v/>
      </c>
      <c r="I1618">
        <f>IF($N1618=1,VALUE(LEFT($H1618,2)),"")</f>
        <v/>
      </c>
      <c r="J1618">
        <f>IF($N1618=1,VALUE(MID($H1618,9,2)),"")</f>
        <v/>
      </c>
      <c r="K1618">
        <f>IF($N1618=1,MOD($J1618-$I1618,24),0)</f>
        <v/>
      </c>
      <c r="L1618">
        <f>IF($N1618=1,$E1618*24+$I1618,"")</f>
        <v/>
      </c>
      <c r="M1618">
        <f>IF($N1618=1,$L1618+$K1618,"")</f>
        <v/>
      </c>
      <c r="N1618">
        <f>IF(ISNUMBER(SEARCH(" - ",$H1618&amp;"")),1,0)</f>
        <v/>
      </c>
      <c r="O1618">
        <f>IF(UPPER($H1618&amp;"")="LEAVE",1,0)</f>
        <v/>
      </c>
      <c r="P1618">
        <f>IF($N1618=1,$K1618,0)</f>
        <v/>
      </c>
      <c r="Q1618">
        <f>IF($N1618=0,"",IFERROR($L1618-LOOKUP(2,1/(($B$2:$B1617=$B1618)*($N$2:$N1617=1)),$M$2:$M1617),""))</f>
        <v/>
      </c>
    </row>
    <row r="1619">
      <c r="A1619" t="n">
        <v>1618</v>
      </c>
      <c r="B1619">
        <f>Schedule!$A$234</f>
        <v/>
      </c>
      <c r="C1619">
        <f>Schedule!$D$234</f>
        <v/>
      </c>
      <c r="D1619">
        <f>Schedule!$F$234</f>
        <v/>
      </c>
      <c r="E1619" t="n">
        <v>0</v>
      </c>
      <c r="F1619">
        <f>Schedule!$G$1</f>
        <v/>
      </c>
      <c r="G1619">
        <f>Schedule!$G$2</f>
        <v/>
      </c>
      <c r="H1619">
        <f>Schedule!$G$234</f>
        <v/>
      </c>
      <c r="I1619">
        <f>IF($N1619=1,VALUE(LEFT($H1619,2)),"")</f>
        <v/>
      </c>
      <c r="J1619">
        <f>IF($N1619=1,VALUE(MID($H1619,9,2)),"")</f>
        <v/>
      </c>
      <c r="K1619">
        <f>IF($N1619=1,MOD($J1619-$I1619,24),0)</f>
        <v/>
      </c>
      <c r="L1619">
        <f>IF($N1619=1,$E1619*24+$I1619,"")</f>
        <v/>
      </c>
      <c r="M1619">
        <f>IF($N1619=1,$L1619+$K1619,"")</f>
        <v/>
      </c>
      <c r="N1619">
        <f>IF(ISNUMBER(SEARCH(" - ",$H1619&amp;"")),1,0)</f>
        <v/>
      </c>
      <c r="O1619">
        <f>IF(UPPER($H1619&amp;"")="LEAVE",1,0)</f>
        <v/>
      </c>
      <c r="P1619">
        <f>IF($N1619=1,$K1619,0)</f>
        <v/>
      </c>
      <c r="Q1619">
        <f>IF($N1619=0,"",IFERROR($L1619-'Previous Engine'!$M$233,""))</f>
        <v/>
      </c>
    </row>
    <row r="1620">
      <c r="A1620" t="n">
        <v>1619</v>
      </c>
      <c r="B1620">
        <f>Schedule!$A$234</f>
        <v/>
      </c>
      <c r="C1620">
        <f>Schedule!$D$234</f>
        <v/>
      </c>
      <c r="D1620">
        <f>Schedule!$F$234</f>
        <v/>
      </c>
      <c r="E1620" t="n">
        <v>1</v>
      </c>
      <c r="F1620">
        <f>Schedule!$H$1</f>
        <v/>
      </c>
      <c r="G1620">
        <f>Schedule!$H$2</f>
        <v/>
      </c>
      <c r="H1620">
        <f>Schedule!$H$234</f>
        <v/>
      </c>
      <c r="I1620">
        <f>IF($N1620=1,VALUE(LEFT($H1620,2)),"")</f>
        <v/>
      </c>
      <c r="J1620">
        <f>IF($N1620=1,VALUE(MID($H1620,9,2)),"")</f>
        <v/>
      </c>
      <c r="K1620">
        <f>IF($N1620=1,MOD($J1620-$I1620,24),0)</f>
        <v/>
      </c>
      <c r="L1620">
        <f>IF($N1620=1,$E1620*24+$I1620,"")</f>
        <v/>
      </c>
      <c r="M1620">
        <f>IF($N1620=1,$L1620+$K1620,"")</f>
        <v/>
      </c>
      <c r="N1620">
        <f>IF(ISNUMBER(SEARCH(" - ",$H1620&amp;"")),1,0)</f>
        <v/>
      </c>
      <c r="O1620">
        <f>IF(UPPER($H1620&amp;"")="LEAVE",1,0)</f>
        <v/>
      </c>
      <c r="P1620">
        <f>IF($N1620=1,$K1620,0)</f>
        <v/>
      </c>
      <c r="Q1620">
        <f>IF($N1620=0,"",IFERROR($L1620-LOOKUP(2,1/(($B$2:$B1619=$B1620)*($N$2:$N1619=1)),$M$2:$M1619),""))</f>
        <v/>
      </c>
    </row>
    <row r="1621">
      <c r="A1621" t="n">
        <v>1620</v>
      </c>
      <c r="B1621">
        <f>Schedule!$A$234</f>
        <v/>
      </c>
      <c r="C1621">
        <f>Schedule!$D$234</f>
        <v/>
      </c>
      <c r="D1621">
        <f>Schedule!$F$234</f>
        <v/>
      </c>
      <c r="E1621" t="n">
        <v>2</v>
      </c>
      <c r="F1621">
        <f>Schedule!$I$1</f>
        <v/>
      </c>
      <c r="G1621">
        <f>Schedule!$I$2</f>
        <v/>
      </c>
      <c r="H1621">
        <f>Schedule!$I$234</f>
        <v/>
      </c>
      <c r="I1621">
        <f>IF($N1621=1,VALUE(LEFT($H1621,2)),"")</f>
        <v/>
      </c>
      <c r="J1621">
        <f>IF($N1621=1,VALUE(MID($H1621,9,2)),"")</f>
        <v/>
      </c>
      <c r="K1621">
        <f>IF($N1621=1,MOD($J1621-$I1621,24),0)</f>
        <v/>
      </c>
      <c r="L1621">
        <f>IF($N1621=1,$E1621*24+$I1621,"")</f>
        <v/>
      </c>
      <c r="M1621">
        <f>IF($N1621=1,$L1621+$K1621,"")</f>
        <v/>
      </c>
      <c r="N1621">
        <f>IF(ISNUMBER(SEARCH(" - ",$H1621&amp;"")),1,0)</f>
        <v/>
      </c>
      <c r="O1621">
        <f>IF(UPPER($H1621&amp;"")="LEAVE",1,0)</f>
        <v/>
      </c>
      <c r="P1621">
        <f>IF($N1621=1,$K1621,0)</f>
        <v/>
      </c>
      <c r="Q1621">
        <f>IF($N1621=0,"",IFERROR($L1621-LOOKUP(2,1/(($B$2:$B1620=$B1621)*($N$2:$N1620=1)),$M$2:$M1620),""))</f>
        <v/>
      </c>
    </row>
    <row r="1622">
      <c r="A1622" t="n">
        <v>1621</v>
      </c>
      <c r="B1622">
        <f>Schedule!$A$234</f>
        <v/>
      </c>
      <c r="C1622">
        <f>Schedule!$D$234</f>
        <v/>
      </c>
      <c r="D1622">
        <f>Schedule!$F$234</f>
        <v/>
      </c>
      <c r="E1622" t="n">
        <v>3</v>
      </c>
      <c r="F1622">
        <f>Schedule!$J$1</f>
        <v/>
      </c>
      <c r="G1622">
        <f>Schedule!$J$2</f>
        <v/>
      </c>
      <c r="H1622">
        <f>Schedule!$J$234</f>
        <v/>
      </c>
      <c r="I1622">
        <f>IF($N1622=1,VALUE(LEFT($H1622,2)),"")</f>
        <v/>
      </c>
      <c r="J1622">
        <f>IF($N1622=1,VALUE(MID($H1622,9,2)),"")</f>
        <v/>
      </c>
      <c r="K1622">
        <f>IF($N1622=1,MOD($J1622-$I1622,24),0)</f>
        <v/>
      </c>
      <c r="L1622">
        <f>IF($N1622=1,$E1622*24+$I1622,"")</f>
        <v/>
      </c>
      <c r="M1622">
        <f>IF($N1622=1,$L1622+$K1622,"")</f>
        <v/>
      </c>
      <c r="N1622">
        <f>IF(ISNUMBER(SEARCH(" - ",$H1622&amp;"")),1,0)</f>
        <v/>
      </c>
      <c r="O1622">
        <f>IF(UPPER($H1622&amp;"")="LEAVE",1,0)</f>
        <v/>
      </c>
      <c r="P1622">
        <f>IF($N1622=1,$K1622,0)</f>
        <v/>
      </c>
      <c r="Q1622">
        <f>IF($N1622=0,"",IFERROR($L1622-LOOKUP(2,1/(($B$2:$B1621=$B1622)*($N$2:$N1621=1)),$M$2:$M1621),""))</f>
        <v/>
      </c>
    </row>
    <row r="1623">
      <c r="A1623" t="n">
        <v>1622</v>
      </c>
      <c r="B1623">
        <f>Schedule!$A$234</f>
        <v/>
      </c>
      <c r="C1623">
        <f>Schedule!$D$234</f>
        <v/>
      </c>
      <c r="D1623">
        <f>Schedule!$F$234</f>
        <v/>
      </c>
      <c r="E1623" t="n">
        <v>4</v>
      </c>
      <c r="F1623">
        <f>Schedule!$K$1</f>
        <v/>
      </c>
      <c r="G1623">
        <f>Schedule!$K$2</f>
        <v/>
      </c>
      <c r="H1623">
        <f>Schedule!$K$234</f>
        <v/>
      </c>
      <c r="I1623">
        <f>IF($N1623=1,VALUE(LEFT($H1623,2)),"")</f>
        <v/>
      </c>
      <c r="J1623">
        <f>IF($N1623=1,VALUE(MID($H1623,9,2)),"")</f>
        <v/>
      </c>
      <c r="K1623">
        <f>IF($N1623=1,MOD($J1623-$I1623,24),0)</f>
        <v/>
      </c>
      <c r="L1623">
        <f>IF($N1623=1,$E1623*24+$I1623,"")</f>
        <v/>
      </c>
      <c r="M1623">
        <f>IF($N1623=1,$L1623+$K1623,"")</f>
        <v/>
      </c>
      <c r="N1623">
        <f>IF(ISNUMBER(SEARCH(" - ",$H1623&amp;"")),1,0)</f>
        <v/>
      </c>
      <c r="O1623">
        <f>IF(UPPER($H1623&amp;"")="LEAVE",1,0)</f>
        <v/>
      </c>
      <c r="P1623">
        <f>IF($N1623=1,$K1623,0)</f>
        <v/>
      </c>
      <c r="Q1623">
        <f>IF($N1623=0,"",IFERROR($L1623-LOOKUP(2,1/(($B$2:$B1622=$B1623)*($N$2:$N1622=1)),$M$2:$M1622),""))</f>
        <v/>
      </c>
    </row>
    <row r="1624">
      <c r="A1624" t="n">
        <v>1623</v>
      </c>
      <c r="B1624">
        <f>Schedule!$A$234</f>
        <v/>
      </c>
      <c r="C1624">
        <f>Schedule!$D$234</f>
        <v/>
      </c>
      <c r="D1624">
        <f>Schedule!$F$234</f>
        <v/>
      </c>
      <c r="E1624" t="n">
        <v>5</v>
      </c>
      <c r="F1624">
        <f>Schedule!$L$1</f>
        <v/>
      </c>
      <c r="G1624">
        <f>Schedule!$L$2</f>
        <v/>
      </c>
      <c r="H1624">
        <f>Schedule!$L$234</f>
        <v/>
      </c>
      <c r="I1624">
        <f>IF($N1624=1,VALUE(LEFT($H1624,2)),"")</f>
        <v/>
      </c>
      <c r="J1624">
        <f>IF($N1624=1,VALUE(MID($H1624,9,2)),"")</f>
        <v/>
      </c>
      <c r="K1624">
        <f>IF($N1624=1,MOD($J1624-$I1624,24),0)</f>
        <v/>
      </c>
      <c r="L1624">
        <f>IF($N1624=1,$E1624*24+$I1624,"")</f>
        <v/>
      </c>
      <c r="M1624">
        <f>IF($N1624=1,$L1624+$K1624,"")</f>
        <v/>
      </c>
      <c r="N1624">
        <f>IF(ISNUMBER(SEARCH(" - ",$H1624&amp;"")),1,0)</f>
        <v/>
      </c>
      <c r="O1624">
        <f>IF(UPPER($H1624&amp;"")="LEAVE",1,0)</f>
        <v/>
      </c>
      <c r="P1624">
        <f>IF($N1624=1,$K1624,0)</f>
        <v/>
      </c>
      <c r="Q1624">
        <f>IF($N1624=0,"",IFERROR($L1624-LOOKUP(2,1/(($B$2:$B1623=$B1624)*($N$2:$N1623=1)),$M$2:$M1623),""))</f>
        <v/>
      </c>
    </row>
    <row r="1625">
      <c r="A1625" t="n">
        <v>1624</v>
      </c>
      <c r="B1625">
        <f>Schedule!$A$234</f>
        <v/>
      </c>
      <c r="C1625">
        <f>Schedule!$D$234</f>
        <v/>
      </c>
      <c r="D1625">
        <f>Schedule!$F$234</f>
        <v/>
      </c>
      <c r="E1625" t="n">
        <v>6</v>
      </c>
      <c r="F1625">
        <f>Schedule!$M$1</f>
        <v/>
      </c>
      <c r="G1625">
        <f>Schedule!$M$2</f>
        <v/>
      </c>
      <c r="H1625">
        <f>Schedule!$M$234</f>
        <v/>
      </c>
      <c r="I1625">
        <f>IF($N1625=1,VALUE(LEFT($H1625,2)),"")</f>
        <v/>
      </c>
      <c r="J1625">
        <f>IF($N1625=1,VALUE(MID($H1625,9,2)),"")</f>
        <v/>
      </c>
      <c r="K1625">
        <f>IF($N1625=1,MOD($J1625-$I1625,24),0)</f>
        <v/>
      </c>
      <c r="L1625">
        <f>IF($N1625=1,$E1625*24+$I1625,"")</f>
        <v/>
      </c>
      <c r="M1625">
        <f>IF($N1625=1,$L1625+$K1625,"")</f>
        <v/>
      </c>
      <c r="N1625">
        <f>IF(ISNUMBER(SEARCH(" - ",$H1625&amp;"")),1,0)</f>
        <v/>
      </c>
      <c r="O1625">
        <f>IF(UPPER($H1625&amp;"")="LEAVE",1,0)</f>
        <v/>
      </c>
      <c r="P1625">
        <f>IF($N1625=1,$K1625,0)</f>
        <v/>
      </c>
      <c r="Q1625">
        <f>IF($N1625=0,"",IFERROR($L1625-LOOKUP(2,1/(($B$2:$B1624=$B1625)*($N$2:$N1624=1)),$M$2:$M1624),""))</f>
        <v/>
      </c>
    </row>
    <row r="1626">
      <c r="A1626" t="n">
        <v>1625</v>
      </c>
      <c r="B1626">
        <f>Schedule!$A$235</f>
        <v/>
      </c>
      <c r="C1626">
        <f>Schedule!$D$235</f>
        <v/>
      </c>
      <c r="D1626">
        <f>Schedule!$F$235</f>
        <v/>
      </c>
      <c r="E1626" t="n">
        <v>0</v>
      </c>
      <c r="F1626">
        <f>Schedule!$G$1</f>
        <v/>
      </c>
      <c r="G1626">
        <f>Schedule!$G$2</f>
        <v/>
      </c>
      <c r="H1626">
        <f>Schedule!$G$235</f>
        <v/>
      </c>
      <c r="I1626">
        <f>IF($N1626=1,VALUE(LEFT($H1626,2)),"")</f>
        <v/>
      </c>
      <c r="J1626">
        <f>IF($N1626=1,VALUE(MID($H1626,9,2)),"")</f>
        <v/>
      </c>
      <c r="K1626">
        <f>IF($N1626=1,MOD($J1626-$I1626,24),0)</f>
        <v/>
      </c>
      <c r="L1626">
        <f>IF($N1626=1,$E1626*24+$I1626,"")</f>
        <v/>
      </c>
      <c r="M1626">
        <f>IF($N1626=1,$L1626+$K1626,"")</f>
        <v/>
      </c>
      <c r="N1626">
        <f>IF(ISNUMBER(SEARCH(" - ",$H1626&amp;"")),1,0)</f>
        <v/>
      </c>
      <c r="O1626">
        <f>IF(UPPER($H1626&amp;"")="LEAVE",1,0)</f>
        <v/>
      </c>
      <c r="P1626">
        <f>IF($N1626=1,$K1626,0)</f>
        <v/>
      </c>
      <c r="Q1626">
        <f>IF($N1626=0,"",IFERROR($L1626-'Previous Engine'!$M$234,""))</f>
        <v/>
      </c>
    </row>
    <row r="1627">
      <c r="A1627" t="n">
        <v>1626</v>
      </c>
      <c r="B1627">
        <f>Schedule!$A$235</f>
        <v/>
      </c>
      <c r="C1627">
        <f>Schedule!$D$235</f>
        <v/>
      </c>
      <c r="D1627">
        <f>Schedule!$F$235</f>
        <v/>
      </c>
      <c r="E1627" t="n">
        <v>1</v>
      </c>
      <c r="F1627">
        <f>Schedule!$H$1</f>
        <v/>
      </c>
      <c r="G1627">
        <f>Schedule!$H$2</f>
        <v/>
      </c>
      <c r="H1627">
        <f>Schedule!$H$235</f>
        <v/>
      </c>
      <c r="I1627">
        <f>IF($N1627=1,VALUE(LEFT($H1627,2)),"")</f>
        <v/>
      </c>
      <c r="J1627">
        <f>IF($N1627=1,VALUE(MID($H1627,9,2)),"")</f>
        <v/>
      </c>
      <c r="K1627">
        <f>IF($N1627=1,MOD($J1627-$I1627,24),0)</f>
        <v/>
      </c>
      <c r="L1627">
        <f>IF($N1627=1,$E1627*24+$I1627,"")</f>
        <v/>
      </c>
      <c r="M1627">
        <f>IF($N1627=1,$L1627+$K1627,"")</f>
        <v/>
      </c>
      <c r="N1627">
        <f>IF(ISNUMBER(SEARCH(" - ",$H1627&amp;"")),1,0)</f>
        <v/>
      </c>
      <c r="O1627">
        <f>IF(UPPER($H1627&amp;"")="LEAVE",1,0)</f>
        <v/>
      </c>
      <c r="P1627">
        <f>IF($N1627=1,$K1627,0)</f>
        <v/>
      </c>
      <c r="Q1627">
        <f>IF($N1627=0,"",IFERROR($L1627-LOOKUP(2,1/(($B$2:$B1626=$B1627)*($N$2:$N1626=1)),$M$2:$M1626),""))</f>
        <v/>
      </c>
    </row>
    <row r="1628">
      <c r="A1628" t="n">
        <v>1627</v>
      </c>
      <c r="B1628">
        <f>Schedule!$A$235</f>
        <v/>
      </c>
      <c r="C1628">
        <f>Schedule!$D$235</f>
        <v/>
      </c>
      <c r="D1628">
        <f>Schedule!$F$235</f>
        <v/>
      </c>
      <c r="E1628" t="n">
        <v>2</v>
      </c>
      <c r="F1628">
        <f>Schedule!$I$1</f>
        <v/>
      </c>
      <c r="G1628">
        <f>Schedule!$I$2</f>
        <v/>
      </c>
      <c r="H1628">
        <f>Schedule!$I$235</f>
        <v/>
      </c>
      <c r="I1628">
        <f>IF($N1628=1,VALUE(LEFT($H1628,2)),"")</f>
        <v/>
      </c>
      <c r="J1628">
        <f>IF($N1628=1,VALUE(MID($H1628,9,2)),"")</f>
        <v/>
      </c>
      <c r="K1628">
        <f>IF($N1628=1,MOD($J1628-$I1628,24),0)</f>
        <v/>
      </c>
      <c r="L1628">
        <f>IF($N1628=1,$E1628*24+$I1628,"")</f>
        <v/>
      </c>
      <c r="M1628">
        <f>IF($N1628=1,$L1628+$K1628,"")</f>
        <v/>
      </c>
      <c r="N1628">
        <f>IF(ISNUMBER(SEARCH(" - ",$H1628&amp;"")),1,0)</f>
        <v/>
      </c>
      <c r="O1628">
        <f>IF(UPPER($H1628&amp;"")="LEAVE",1,0)</f>
        <v/>
      </c>
      <c r="P1628">
        <f>IF($N1628=1,$K1628,0)</f>
        <v/>
      </c>
      <c r="Q1628">
        <f>IF($N1628=0,"",IFERROR($L1628-LOOKUP(2,1/(($B$2:$B1627=$B1628)*($N$2:$N1627=1)),$M$2:$M1627),""))</f>
        <v/>
      </c>
    </row>
    <row r="1629">
      <c r="A1629" t="n">
        <v>1628</v>
      </c>
      <c r="B1629">
        <f>Schedule!$A$235</f>
        <v/>
      </c>
      <c r="C1629">
        <f>Schedule!$D$235</f>
        <v/>
      </c>
      <c r="D1629">
        <f>Schedule!$F$235</f>
        <v/>
      </c>
      <c r="E1629" t="n">
        <v>3</v>
      </c>
      <c r="F1629">
        <f>Schedule!$J$1</f>
        <v/>
      </c>
      <c r="G1629">
        <f>Schedule!$J$2</f>
        <v/>
      </c>
      <c r="H1629">
        <f>Schedule!$J$235</f>
        <v/>
      </c>
      <c r="I1629">
        <f>IF($N1629=1,VALUE(LEFT($H1629,2)),"")</f>
        <v/>
      </c>
      <c r="J1629">
        <f>IF($N1629=1,VALUE(MID($H1629,9,2)),"")</f>
        <v/>
      </c>
      <c r="K1629">
        <f>IF($N1629=1,MOD($J1629-$I1629,24),0)</f>
        <v/>
      </c>
      <c r="L1629">
        <f>IF($N1629=1,$E1629*24+$I1629,"")</f>
        <v/>
      </c>
      <c r="M1629">
        <f>IF($N1629=1,$L1629+$K1629,"")</f>
        <v/>
      </c>
      <c r="N1629">
        <f>IF(ISNUMBER(SEARCH(" - ",$H1629&amp;"")),1,0)</f>
        <v/>
      </c>
      <c r="O1629">
        <f>IF(UPPER($H1629&amp;"")="LEAVE",1,0)</f>
        <v/>
      </c>
      <c r="P1629">
        <f>IF($N1629=1,$K1629,0)</f>
        <v/>
      </c>
      <c r="Q1629">
        <f>IF($N1629=0,"",IFERROR($L1629-LOOKUP(2,1/(($B$2:$B1628=$B1629)*($N$2:$N1628=1)),$M$2:$M1628),""))</f>
        <v/>
      </c>
    </row>
    <row r="1630">
      <c r="A1630" t="n">
        <v>1629</v>
      </c>
      <c r="B1630">
        <f>Schedule!$A$235</f>
        <v/>
      </c>
      <c r="C1630">
        <f>Schedule!$D$235</f>
        <v/>
      </c>
      <c r="D1630">
        <f>Schedule!$F$235</f>
        <v/>
      </c>
      <c r="E1630" t="n">
        <v>4</v>
      </c>
      <c r="F1630">
        <f>Schedule!$K$1</f>
        <v/>
      </c>
      <c r="G1630">
        <f>Schedule!$K$2</f>
        <v/>
      </c>
      <c r="H1630">
        <f>Schedule!$K$235</f>
        <v/>
      </c>
      <c r="I1630">
        <f>IF($N1630=1,VALUE(LEFT($H1630,2)),"")</f>
        <v/>
      </c>
      <c r="J1630">
        <f>IF($N1630=1,VALUE(MID($H1630,9,2)),"")</f>
        <v/>
      </c>
      <c r="K1630">
        <f>IF($N1630=1,MOD($J1630-$I1630,24),0)</f>
        <v/>
      </c>
      <c r="L1630">
        <f>IF($N1630=1,$E1630*24+$I1630,"")</f>
        <v/>
      </c>
      <c r="M1630">
        <f>IF($N1630=1,$L1630+$K1630,"")</f>
        <v/>
      </c>
      <c r="N1630">
        <f>IF(ISNUMBER(SEARCH(" - ",$H1630&amp;"")),1,0)</f>
        <v/>
      </c>
      <c r="O1630">
        <f>IF(UPPER($H1630&amp;"")="LEAVE",1,0)</f>
        <v/>
      </c>
      <c r="P1630">
        <f>IF($N1630=1,$K1630,0)</f>
        <v/>
      </c>
      <c r="Q1630">
        <f>IF($N1630=0,"",IFERROR($L1630-LOOKUP(2,1/(($B$2:$B1629=$B1630)*($N$2:$N1629=1)),$M$2:$M1629),""))</f>
        <v/>
      </c>
    </row>
    <row r="1631">
      <c r="A1631" t="n">
        <v>1630</v>
      </c>
      <c r="B1631">
        <f>Schedule!$A$235</f>
        <v/>
      </c>
      <c r="C1631">
        <f>Schedule!$D$235</f>
        <v/>
      </c>
      <c r="D1631">
        <f>Schedule!$F$235</f>
        <v/>
      </c>
      <c r="E1631" t="n">
        <v>5</v>
      </c>
      <c r="F1631">
        <f>Schedule!$L$1</f>
        <v/>
      </c>
      <c r="G1631">
        <f>Schedule!$L$2</f>
        <v/>
      </c>
      <c r="H1631">
        <f>Schedule!$L$235</f>
        <v/>
      </c>
      <c r="I1631">
        <f>IF($N1631=1,VALUE(LEFT($H1631,2)),"")</f>
        <v/>
      </c>
      <c r="J1631">
        <f>IF($N1631=1,VALUE(MID($H1631,9,2)),"")</f>
        <v/>
      </c>
      <c r="K1631">
        <f>IF($N1631=1,MOD($J1631-$I1631,24),0)</f>
        <v/>
      </c>
      <c r="L1631">
        <f>IF($N1631=1,$E1631*24+$I1631,"")</f>
        <v/>
      </c>
      <c r="M1631">
        <f>IF($N1631=1,$L1631+$K1631,"")</f>
        <v/>
      </c>
      <c r="N1631">
        <f>IF(ISNUMBER(SEARCH(" - ",$H1631&amp;"")),1,0)</f>
        <v/>
      </c>
      <c r="O1631">
        <f>IF(UPPER($H1631&amp;"")="LEAVE",1,0)</f>
        <v/>
      </c>
      <c r="P1631">
        <f>IF($N1631=1,$K1631,0)</f>
        <v/>
      </c>
      <c r="Q1631">
        <f>IF($N1631=0,"",IFERROR($L1631-LOOKUP(2,1/(($B$2:$B1630=$B1631)*($N$2:$N1630=1)),$M$2:$M1630),""))</f>
        <v/>
      </c>
    </row>
    <row r="1632">
      <c r="A1632" t="n">
        <v>1631</v>
      </c>
      <c r="B1632">
        <f>Schedule!$A$235</f>
        <v/>
      </c>
      <c r="C1632">
        <f>Schedule!$D$235</f>
        <v/>
      </c>
      <c r="D1632">
        <f>Schedule!$F$235</f>
        <v/>
      </c>
      <c r="E1632" t="n">
        <v>6</v>
      </c>
      <c r="F1632">
        <f>Schedule!$M$1</f>
        <v/>
      </c>
      <c r="G1632">
        <f>Schedule!$M$2</f>
        <v/>
      </c>
      <c r="H1632">
        <f>Schedule!$M$235</f>
        <v/>
      </c>
      <c r="I1632">
        <f>IF($N1632=1,VALUE(LEFT($H1632,2)),"")</f>
        <v/>
      </c>
      <c r="J1632">
        <f>IF($N1632=1,VALUE(MID($H1632,9,2)),"")</f>
        <v/>
      </c>
      <c r="K1632">
        <f>IF($N1632=1,MOD($J1632-$I1632,24),0)</f>
        <v/>
      </c>
      <c r="L1632">
        <f>IF($N1632=1,$E1632*24+$I1632,"")</f>
        <v/>
      </c>
      <c r="M1632">
        <f>IF($N1632=1,$L1632+$K1632,"")</f>
        <v/>
      </c>
      <c r="N1632">
        <f>IF(ISNUMBER(SEARCH(" - ",$H1632&amp;"")),1,0)</f>
        <v/>
      </c>
      <c r="O1632">
        <f>IF(UPPER($H1632&amp;"")="LEAVE",1,0)</f>
        <v/>
      </c>
      <c r="P1632">
        <f>IF($N1632=1,$K1632,0)</f>
        <v/>
      </c>
      <c r="Q1632">
        <f>IF($N1632=0,"",IFERROR($L1632-LOOKUP(2,1/(($B$2:$B1631=$B1632)*($N$2:$N1631=1)),$M$2:$M1631),""))</f>
        <v/>
      </c>
    </row>
    <row r="1633">
      <c r="A1633" t="n">
        <v>1632</v>
      </c>
      <c r="B1633">
        <f>Schedule!$A$236</f>
        <v/>
      </c>
      <c r="C1633">
        <f>Schedule!$D$236</f>
        <v/>
      </c>
      <c r="D1633">
        <f>Schedule!$F$236</f>
        <v/>
      </c>
      <c r="E1633" t="n">
        <v>0</v>
      </c>
      <c r="F1633">
        <f>Schedule!$G$1</f>
        <v/>
      </c>
      <c r="G1633">
        <f>Schedule!$G$2</f>
        <v/>
      </c>
      <c r="H1633">
        <f>Schedule!$G$236</f>
        <v/>
      </c>
      <c r="I1633">
        <f>IF($N1633=1,VALUE(LEFT($H1633,2)),"")</f>
        <v/>
      </c>
      <c r="J1633">
        <f>IF($N1633=1,VALUE(MID($H1633,9,2)),"")</f>
        <v/>
      </c>
      <c r="K1633">
        <f>IF($N1633=1,MOD($J1633-$I1633,24),0)</f>
        <v/>
      </c>
      <c r="L1633">
        <f>IF($N1633=1,$E1633*24+$I1633,"")</f>
        <v/>
      </c>
      <c r="M1633">
        <f>IF($N1633=1,$L1633+$K1633,"")</f>
        <v/>
      </c>
      <c r="N1633">
        <f>IF(ISNUMBER(SEARCH(" - ",$H1633&amp;"")),1,0)</f>
        <v/>
      </c>
      <c r="O1633">
        <f>IF(UPPER($H1633&amp;"")="LEAVE",1,0)</f>
        <v/>
      </c>
      <c r="P1633">
        <f>IF($N1633=1,$K1633,0)</f>
        <v/>
      </c>
      <c r="Q1633">
        <f>IF($N1633=0,"",IFERROR($L1633-'Previous Engine'!$M$235,""))</f>
        <v/>
      </c>
    </row>
    <row r="1634">
      <c r="A1634" t="n">
        <v>1633</v>
      </c>
      <c r="B1634">
        <f>Schedule!$A$236</f>
        <v/>
      </c>
      <c r="C1634">
        <f>Schedule!$D$236</f>
        <v/>
      </c>
      <c r="D1634">
        <f>Schedule!$F$236</f>
        <v/>
      </c>
      <c r="E1634" t="n">
        <v>1</v>
      </c>
      <c r="F1634">
        <f>Schedule!$H$1</f>
        <v/>
      </c>
      <c r="G1634">
        <f>Schedule!$H$2</f>
        <v/>
      </c>
      <c r="H1634">
        <f>Schedule!$H$236</f>
        <v/>
      </c>
      <c r="I1634">
        <f>IF($N1634=1,VALUE(LEFT($H1634,2)),"")</f>
        <v/>
      </c>
      <c r="J1634">
        <f>IF($N1634=1,VALUE(MID($H1634,9,2)),"")</f>
        <v/>
      </c>
      <c r="K1634">
        <f>IF($N1634=1,MOD($J1634-$I1634,24),0)</f>
        <v/>
      </c>
      <c r="L1634">
        <f>IF($N1634=1,$E1634*24+$I1634,"")</f>
        <v/>
      </c>
      <c r="M1634">
        <f>IF($N1634=1,$L1634+$K1634,"")</f>
        <v/>
      </c>
      <c r="N1634">
        <f>IF(ISNUMBER(SEARCH(" - ",$H1634&amp;"")),1,0)</f>
        <v/>
      </c>
      <c r="O1634">
        <f>IF(UPPER($H1634&amp;"")="LEAVE",1,0)</f>
        <v/>
      </c>
      <c r="P1634">
        <f>IF($N1634=1,$K1634,0)</f>
        <v/>
      </c>
      <c r="Q1634">
        <f>IF($N1634=0,"",IFERROR($L1634-LOOKUP(2,1/(($B$2:$B1633=$B1634)*($N$2:$N1633=1)),$M$2:$M1633),""))</f>
        <v/>
      </c>
    </row>
    <row r="1635">
      <c r="A1635" t="n">
        <v>1634</v>
      </c>
      <c r="B1635">
        <f>Schedule!$A$236</f>
        <v/>
      </c>
      <c r="C1635">
        <f>Schedule!$D$236</f>
        <v/>
      </c>
      <c r="D1635">
        <f>Schedule!$F$236</f>
        <v/>
      </c>
      <c r="E1635" t="n">
        <v>2</v>
      </c>
      <c r="F1635">
        <f>Schedule!$I$1</f>
        <v/>
      </c>
      <c r="G1635">
        <f>Schedule!$I$2</f>
        <v/>
      </c>
      <c r="H1635">
        <f>Schedule!$I$236</f>
        <v/>
      </c>
      <c r="I1635">
        <f>IF($N1635=1,VALUE(LEFT($H1635,2)),"")</f>
        <v/>
      </c>
      <c r="J1635">
        <f>IF($N1635=1,VALUE(MID($H1635,9,2)),"")</f>
        <v/>
      </c>
      <c r="K1635">
        <f>IF($N1635=1,MOD($J1635-$I1635,24),0)</f>
        <v/>
      </c>
      <c r="L1635">
        <f>IF($N1635=1,$E1635*24+$I1635,"")</f>
        <v/>
      </c>
      <c r="M1635">
        <f>IF($N1635=1,$L1635+$K1635,"")</f>
        <v/>
      </c>
      <c r="N1635">
        <f>IF(ISNUMBER(SEARCH(" - ",$H1635&amp;"")),1,0)</f>
        <v/>
      </c>
      <c r="O1635">
        <f>IF(UPPER($H1635&amp;"")="LEAVE",1,0)</f>
        <v/>
      </c>
      <c r="P1635">
        <f>IF($N1635=1,$K1635,0)</f>
        <v/>
      </c>
      <c r="Q1635">
        <f>IF($N1635=0,"",IFERROR($L1635-LOOKUP(2,1/(($B$2:$B1634=$B1635)*($N$2:$N1634=1)),$M$2:$M1634),""))</f>
        <v/>
      </c>
    </row>
    <row r="1636">
      <c r="A1636" t="n">
        <v>1635</v>
      </c>
      <c r="B1636">
        <f>Schedule!$A$236</f>
        <v/>
      </c>
      <c r="C1636">
        <f>Schedule!$D$236</f>
        <v/>
      </c>
      <c r="D1636">
        <f>Schedule!$F$236</f>
        <v/>
      </c>
      <c r="E1636" t="n">
        <v>3</v>
      </c>
      <c r="F1636">
        <f>Schedule!$J$1</f>
        <v/>
      </c>
      <c r="G1636">
        <f>Schedule!$J$2</f>
        <v/>
      </c>
      <c r="H1636">
        <f>Schedule!$J$236</f>
        <v/>
      </c>
      <c r="I1636">
        <f>IF($N1636=1,VALUE(LEFT($H1636,2)),"")</f>
        <v/>
      </c>
      <c r="J1636">
        <f>IF($N1636=1,VALUE(MID($H1636,9,2)),"")</f>
        <v/>
      </c>
      <c r="K1636">
        <f>IF($N1636=1,MOD($J1636-$I1636,24),0)</f>
        <v/>
      </c>
      <c r="L1636">
        <f>IF($N1636=1,$E1636*24+$I1636,"")</f>
        <v/>
      </c>
      <c r="M1636">
        <f>IF($N1636=1,$L1636+$K1636,"")</f>
        <v/>
      </c>
      <c r="N1636">
        <f>IF(ISNUMBER(SEARCH(" - ",$H1636&amp;"")),1,0)</f>
        <v/>
      </c>
      <c r="O1636">
        <f>IF(UPPER($H1636&amp;"")="LEAVE",1,0)</f>
        <v/>
      </c>
      <c r="P1636">
        <f>IF($N1636=1,$K1636,0)</f>
        <v/>
      </c>
      <c r="Q1636">
        <f>IF($N1636=0,"",IFERROR($L1636-LOOKUP(2,1/(($B$2:$B1635=$B1636)*($N$2:$N1635=1)),$M$2:$M1635),""))</f>
        <v/>
      </c>
    </row>
    <row r="1637">
      <c r="A1637" t="n">
        <v>1636</v>
      </c>
      <c r="B1637">
        <f>Schedule!$A$236</f>
        <v/>
      </c>
      <c r="C1637">
        <f>Schedule!$D$236</f>
        <v/>
      </c>
      <c r="D1637">
        <f>Schedule!$F$236</f>
        <v/>
      </c>
      <c r="E1637" t="n">
        <v>4</v>
      </c>
      <c r="F1637">
        <f>Schedule!$K$1</f>
        <v/>
      </c>
      <c r="G1637">
        <f>Schedule!$K$2</f>
        <v/>
      </c>
      <c r="H1637">
        <f>Schedule!$K$236</f>
        <v/>
      </c>
      <c r="I1637">
        <f>IF($N1637=1,VALUE(LEFT($H1637,2)),"")</f>
        <v/>
      </c>
      <c r="J1637">
        <f>IF($N1637=1,VALUE(MID($H1637,9,2)),"")</f>
        <v/>
      </c>
      <c r="K1637">
        <f>IF($N1637=1,MOD($J1637-$I1637,24),0)</f>
        <v/>
      </c>
      <c r="L1637">
        <f>IF($N1637=1,$E1637*24+$I1637,"")</f>
        <v/>
      </c>
      <c r="M1637">
        <f>IF($N1637=1,$L1637+$K1637,"")</f>
        <v/>
      </c>
      <c r="N1637">
        <f>IF(ISNUMBER(SEARCH(" - ",$H1637&amp;"")),1,0)</f>
        <v/>
      </c>
      <c r="O1637">
        <f>IF(UPPER($H1637&amp;"")="LEAVE",1,0)</f>
        <v/>
      </c>
      <c r="P1637">
        <f>IF($N1637=1,$K1637,0)</f>
        <v/>
      </c>
      <c r="Q1637">
        <f>IF($N1637=0,"",IFERROR($L1637-LOOKUP(2,1/(($B$2:$B1636=$B1637)*($N$2:$N1636=1)),$M$2:$M1636),""))</f>
        <v/>
      </c>
    </row>
    <row r="1638">
      <c r="A1638" t="n">
        <v>1637</v>
      </c>
      <c r="B1638">
        <f>Schedule!$A$236</f>
        <v/>
      </c>
      <c r="C1638">
        <f>Schedule!$D$236</f>
        <v/>
      </c>
      <c r="D1638">
        <f>Schedule!$F$236</f>
        <v/>
      </c>
      <c r="E1638" t="n">
        <v>5</v>
      </c>
      <c r="F1638">
        <f>Schedule!$L$1</f>
        <v/>
      </c>
      <c r="G1638">
        <f>Schedule!$L$2</f>
        <v/>
      </c>
      <c r="H1638">
        <f>Schedule!$L$236</f>
        <v/>
      </c>
      <c r="I1638">
        <f>IF($N1638=1,VALUE(LEFT($H1638,2)),"")</f>
        <v/>
      </c>
      <c r="J1638">
        <f>IF($N1638=1,VALUE(MID($H1638,9,2)),"")</f>
        <v/>
      </c>
      <c r="K1638">
        <f>IF($N1638=1,MOD($J1638-$I1638,24),0)</f>
        <v/>
      </c>
      <c r="L1638">
        <f>IF($N1638=1,$E1638*24+$I1638,"")</f>
        <v/>
      </c>
      <c r="M1638">
        <f>IF($N1638=1,$L1638+$K1638,"")</f>
        <v/>
      </c>
      <c r="N1638">
        <f>IF(ISNUMBER(SEARCH(" - ",$H1638&amp;"")),1,0)</f>
        <v/>
      </c>
      <c r="O1638">
        <f>IF(UPPER($H1638&amp;"")="LEAVE",1,0)</f>
        <v/>
      </c>
      <c r="P1638">
        <f>IF($N1638=1,$K1638,0)</f>
        <v/>
      </c>
      <c r="Q1638">
        <f>IF($N1638=0,"",IFERROR($L1638-LOOKUP(2,1/(($B$2:$B1637=$B1638)*($N$2:$N1637=1)),$M$2:$M1637),""))</f>
        <v/>
      </c>
    </row>
    <row r="1639">
      <c r="A1639" t="n">
        <v>1638</v>
      </c>
      <c r="B1639">
        <f>Schedule!$A$236</f>
        <v/>
      </c>
      <c r="C1639">
        <f>Schedule!$D$236</f>
        <v/>
      </c>
      <c r="D1639">
        <f>Schedule!$F$236</f>
        <v/>
      </c>
      <c r="E1639" t="n">
        <v>6</v>
      </c>
      <c r="F1639">
        <f>Schedule!$M$1</f>
        <v/>
      </c>
      <c r="G1639">
        <f>Schedule!$M$2</f>
        <v/>
      </c>
      <c r="H1639">
        <f>Schedule!$M$236</f>
        <v/>
      </c>
      <c r="I1639">
        <f>IF($N1639=1,VALUE(LEFT($H1639,2)),"")</f>
        <v/>
      </c>
      <c r="J1639">
        <f>IF($N1639=1,VALUE(MID($H1639,9,2)),"")</f>
        <v/>
      </c>
      <c r="K1639">
        <f>IF($N1639=1,MOD($J1639-$I1639,24),0)</f>
        <v/>
      </c>
      <c r="L1639">
        <f>IF($N1639=1,$E1639*24+$I1639,"")</f>
        <v/>
      </c>
      <c r="M1639">
        <f>IF($N1639=1,$L1639+$K1639,"")</f>
        <v/>
      </c>
      <c r="N1639">
        <f>IF(ISNUMBER(SEARCH(" - ",$H1639&amp;"")),1,0)</f>
        <v/>
      </c>
      <c r="O1639">
        <f>IF(UPPER($H1639&amp;"")="LEAVE",1,0)</f>
        <v/>
      </c>
      <c r="P1639">
        <f>IF($N1639=1,$K1639,0)</f>
        <v/>
      </c>
      <c r="Q1639">
        <f>IF($N1639=0,"",IFERROR($L1639-LOOKUP(2,1/(($B$2:$B1638=$B1639)*($N$2:$N1638=1)),$M$2:$M1638),""))</f>
        <v/>
      </c>
    </row>
    <row r="1640">
      <c r="A1640" t="n">
        <v>1639</v>
      </c>
      <c r="B1640">
        <f>Schedule!$A$237</f>
        <v/>
      </c>
      <c r="C1640">
        <f>Schedule!$D$237</f>
        <v/>
      </c>
      <c r="D1640">
        <f>Schedule!$F$237</f>
        <v/>
      </c>
      <c r="E1640" t="n">
        <v>0</v>
      </c>
      <c r="F1640">
        <f>Schedule!$G$1</f>
        <v/>
      </c>
      <c r="G1640">
        <f>Schedule!$G$2</f>
        <v/>
      </c>
      <c r="H1640">
        <f>Schedule!$G$237</f>
        <v/>
      </c>
      <c r="I1640">
        <f>IF($N1640=1,VALUE(LEFT($H1640,2)),"")</f>
        <v/>
      </c>
      <c r="J1640">
        <f>IF($N1640=1,VALUE(MID($H1640,9,2)),"")</f>
        <v/>
      </c>
      <c r="K1640">
        <f>IF($N1640=1,MOD($J1640-$I1640,24),0)</f>
        <v/>
      </c>
      <c r="L1640">
        <f>IF($N1640=1,$E1640*24+$I1640,"")</f>
        <v/>
      </c>
      <c r="M1640">
        <f>IF($N1640=1,$L1640+$K1640,"")</f>
        <v/>
      </c>
      <c r="N1640">
        <f>IF(ISNUMBER(SEARCH(" - ",$H1640&amp;"")),1,0)</f>
        <v/>
      </c>
      <c r="O1640">
        <f>IF(UPPER($H1640&amp;"")="LEAVE",1,0)</f>
        <v/>
      </c>
      <c r="P1640">
        <f>IF($N1640=1,$K1640,0)</f>
        <v/>
      </c>
      <c r="Q1640">
        <f>IF($N1640=0,"",IFERROR($L1640-'Previous Engine'!$M$236,""))</f>
        <v/>
      </c>
    </row>
    <row r="1641">
      <c r="A1641" t="n">
        <v>1640</v>
      </c>
      <c r="B1641">
        <f>Schedule!$A$237</f>
        <v/>
      </c>
      <c r="C1641">
        <f>Schedule!$D$237</f>
        <v/>
      </c>
      <c r="D1641">
        <f>Schedule!$F$237</f>
        <v/>
      </c>
      <c r="E1641" t="n">
        <v>1</v>
      </c>
      <c r="F1641">
        <f>Schedule!$H$1</f>
        <v/>
      </c>
      <c r="G1641">
        <f>Schedule!$H$2</f>
        <v/>
      </c>
      <c r="H1641">
        <f>Schedule!$H$237</f>
        <v/>
      </c>
      <c r="I1641">
        <f>IF($N1641=1,VALUE(LEFT($H1641,2)),"")</f>
        <v/>
      </c>
      <c r="J1641">
        <f>IF($N1641=1,VALUE(MID($H1641,9,2)),"")</f>
        <v/>
      </c>
      <c r="K1641">
        <f>IF($N1641=1,MOD($J1641-$I1641,24),0)</f>
        <v/>
      </c>
      <c r="L1641">
        <f>IF($N1641=1,$E1641*24+$I1641,"")</f>
        <v/>
      </c>
      <c r="M1641">
        <f>IF($N1641=1,$L1641+$K1641,"")</f>
        <v/>
      </c>
      <c r="N1641">
        <f>IF(ISNUMBER(SEARCH(" - ",$H1641&amp;"")),1,0)</f>
        <v/>
      </c>
      <c r="O1641">
        <f>IF(UPPER($H1641&amp;"")="LEAVE",1,0)</f>
        <v/>
      </c>
      <c r="P1641">
        <f>IF($N1641=1,$K1641,0)</f>
        <v/>
      </c>
      <c r="Q1641">
        <f>IF($N1641=0,"",IFERROR($L1641-LOOKUP(2,1/(($B$2:$B1640=$B1641)*($N$2:$N1640=1)),$M$2:$M1640),""))</f>
        <v/>
      </c>
    </row>
    <row r="1642">
      <c r="A1642" t="n">
        <v>1641</v>
      </c>
      <c r="B1642">
        <f>Schedule!$A$237</f>
        <v/>
      </c>
      <c r="C1642">
        <f>Schedule!$D$237</f>
        <v/>
      </c>
      <c r="D1642">
        <f>Schedule!$F$237</f>
        <v/>
      </c>
      <c r="E1642" t="n">
        <v>2</v>
      </c>
      <c r="F1642">
        <f>Schedule!$I$1</f>
        <v/>
      </c>
      <c r="G1642">
        <f>Schedule!$I$2</f>
        <v/>
      </c>
      <c r="H1642">
        <f>Schedule!$I$237</f>
        <v/>
      </c>
      <c r="I1642">
        <f>IF($N1642=1,VALUE(LEFT($H1642,2)),"")</f>
        <v/>
      </c>
      <c r="J1642">
        <f>IF($N1642=1,VALUE(MID($H1642,9,2)),"")</f>
        <v/>
      </c>
      <c r="K1642">
        <f>IF($N1642=1,MOD($J1642-$I1642,24),0)</f>
        <v/>
      </c>
      <c r="L1642">
        <f>IF($N1642=1,$E1642*24+$I1642,"")</f>
        <v/>
      </c>
      <c r="M1642">
        <f>IF($N1642=1,$L1642+$K1642,"")</f>
        <v/>
      </c>
      <c r="N1642">
        <f>IF(ISNUMBER(SEARCH(" - ",$H1642&amp;"")),1,0)</f>
        <v/>
      </c>
      <c r="O1642">
        <f>IF(UPPER($H1642&amp;"")="LEAVE",1,0)</f>
        <v/>
      </c>
      <c r="P1642">
        <f>IF($N1642=1,$K1642,0)</f>
        <v/>
      </c>
      <c r="Q1642">
        <f>IF($N1642=0,"",IFERROR($L1642-LOOKUP(2,1/(($B$2:$B1641=$B1642)*($N$2:$N1641=1)),$M$2:$M1641),""))</f>
        <v/>
      </c>
    </row>
    <row r="1643">
      <c r="A1643" t="n">
        <v>1642</v>
      </c>
      <c r="B1643">
        <f>Schedule!$A$237</f>
        <v/>
      </c>
      <c r="C1643">
        <f>Schedule!$D$237</f>
        <v/>
      </c>
      <c r="D1643">
        <f>Schedule!$F$237</f>
        <v/>
      </c>
      <c r="E1643" t="n">
        <v>3</v>
      </c>
      <c r="F1643">
        <f>Schedule!$J$1</f>
        <v/>
      </c>
      <c r="G1643">
        <f>Schedule!$J$2</f>
        <v/>
      </c>
      <c r="H1643">
        <f>Schedule!$J$237</f>
        <v/>
      </c>
      <c r="I1643">
        <f>IF($N1643=1,VALUE(LEFT($H1643,2)),"")</f>
        <v/>
      </c>
      <c r="J1643">
        <f>IF($N1643=1,VALUE(MID($H1643,9,2)),"")</f>
        <v/>
      </c>
      <c r="K1643">
        <f>IF($N1643=1,MOD($J1643-$I1643,24),0)</f>
        <v/>
      </c>
      <c r="L1643">
        <f>IF($N1643=1,$E1643*24+$I1643,"")</f>
        <v/>
      </c>
      <c r="M1643">
        <f>IF($N1643=1,$L1643+$K1643,"")</f>
        <v/>
      </c>
      <c r="N1643">
        <f>IF(ISNUMBER(SEARCH(" - ",$H1643&amp;"")),1,0)</f>
        <v/>
      </c>
      <c r="O1643">
        <f>IF(UPPER($H1643&amp;"")="LEAVE",1,0)</f>
        <v/>
      </c>
      <c r="P1643">
        <f>IF($N1643=1,$K1643,0)</f>
        <v/>
      </c>
      <c r="Q1643">
        <f>IF($N1643=0,"",IFERROR($L1643-LOOKUP(2,1/(($B$2:$B1642=$B1643)*($N$2:$N1642=1)),$M$2:$M1642),""))</f>
        <v/>
      </c>
    </row>
    <row r="1644">
      <c r="A1644" t="n">
        <v>1643</v>
      </c>
      <c r="B1644">
        <f>Schedule!$A$237</f>
        <v/>
      </c>
      <c r="C1644">
        <f>Schedule!$D$237</f>
        <v/>
      </c>
      <c r="D1644">
        <f>Schedule!$F$237</f>
        <v/>
      </c>
      <c r="E1644" t="n">
        <v>4</v>
      </c>
      <c r="F1644">
        <f>Schedule!$K$1</f>
        <v/>
      </c>
      <c r="G1644">
        <f>Schedule!$K$2</f>
        <v/>
      </c>
      <c r="H1644">
        <f>Schedule!$K$237</f>
        <v/>
      </c>
      <c r="I1644">
        <f>IF($N1644=1,VALUE(LEFT($H1644,2)),"")</f>
        <v/>
      </c>
      <c r="J1644">
        <f>IF($N1644=1,VALUE(MID($H1644,9,2)),"")</f>
        <v/>
      </c>
      <c r="K1644">
        <f>IF($N1644=1,MOD($J1644-$I1644,24),0)</f>
        <v/>
      </c>
      <c r="L1644">
        <f>IF($N1644=1,$E1644*24+$I1644,"")</f>
        <v/>
      </c>
      <c r="M1644">
        <f>IF($N1644=1,$L1644+$K1644,"")</f>
        <v/>
      </c>
      <c r="N1644">
        <f>IF(ISNUMBER(SEARCH(" - ",$H1644&amp;"")),1,0)</f>
        <v/>
      </c>
      <c r="O1644">
        <f>IF(UPPER($H1644&amp;"")="LEAVE",1,0)</f>
        <v/>
      </c>
      <c r="P1644">
        <f>IF($N1644=1,$K1644,0)</f>
        <v/>
      </c>
      <c r="Q1644">
        <f>IF($N1644=0,"",IFERROR($L1644-LOOKUP(2,1/(($B$2:$B1643=$B1644)*($N$2:$N1643=1)),$M$2:$M1643),""))</f>
        <v/>
      </c>
    </row>
    <row r="1645">
      <c r="A1645" t="n">
        <v>1644</v>
      </c>
      <c r="B1645">
        <f>Schedule!$A$237</f>
        <v/>
      </c>
      <c r="C1645">
        <f>Schedule!$D$237</f>
        <v/>
      </c>
      <c r="D1645">
        <f>Schedule!$F$237</f>
        <v/>
      </c>
      <c r="E1645" t="n">
        <v>5</v>
      </c>
      <c r="F1645">
        <f>Schedule!$L$1</f>
        <v/>
      </c>
      <c r="G1645">
        <f>Schedule!$L$2</f>
        <v/>
      </c>
      <c r="H1645">
        <f>Schedule!$L$237</f>
        <v/>
      </c>
      <c r="I1645">
        <f>IF($N1645=1,VALUE(LEFT($H1645,2)),"")</f>
        <v/>
      </c>
      <c r="J1645">
        <f>IF($N1645=1,VALUE(MID($H1645,9,2)),"")</f>
        <v/>
      </c>
      <c r="K1645">
        <f>IF($N1645=1,MOD($J1645-$I1645,24),0)</f>
        <v/>
      </c>
      <c r="L1645">
        <f>IF($N1645=1,$E1645*24+$I1645,"")</f>
        <v/>
      </c>
      <c r="M1645">
        <f>IF($N1645=1,$L1645+$K1645,"")</f>
        <v/>
      </c>
      <c r="N1645">
        <f>IF(ISNUMBER(SEARCH(" - ",$H1645&amp;"")),1,0)</f>
        <v/>
      </c>
      <c r="O1645">
        <f>IF(UPPER($H1645&amp;"")="LEAVE",1,0)</f>
        <v/>
      </c>
      <c r="P1645">
        <f>IF($N1645=1,$K1645,0)</f>
        <v/>
      </c>
      <c r="Q1645">
        <f>IF($N1645=0,"",IFERROR($L1645-LOOKUP(2,1/(($B$2:$B1644=$B1645)*($N$2:$N1644=1)),$M$2:$M1644),""))</f>
        <v/>
      </c>
    </row>
    <row r="1646">
      <c r="A1646" t="n">
        <v>1645</v>
      </c>
      <c r="B1646">
        <f>Schedule!$A$237</f>
        <v/>
      </c>
      <c r="C1646">
        <f>Schedule!$D$237</f>
        <v/>
      </c>
      <c r="D1646">
        <f>Schedule!$F$237</f>
        <v/>
      </c>
      <c r="E1646" t="n">
        <v>6</v>
      </c>
      <c r="F1646">
        <f>Schedule!$M$1</f>
        <v/>
      </c>
      <c r="G1646">
        <f>Schedule!$M$2</f>
        <v/>
      </c>
      <c r="H1646">
        <f>Schedule!$M$237</f>
        <v/>
      </c>
      <c r="I1646">
        <f>IF($N1646=1,VALUE(LEFT($H1646,2)),"")</f>
        <v/>
      </c>
      <c r="J1646">
        <f>IF($N1646=1,VALUE(MID($H1646,9,2)),"")</f>
        <v/>
      </c>
      <c r="K1646">
        <f>IF($N1646=1,MOD($J1646-$I1646,24),0)</f>
        <v/>
      </c>
      <c r="L1646">
        <f>IF($N1646=1,$E1646*24+$I1646,"")</f>
        <v/>
      </c>
      <c r="M1646">
        <f>IF($N1646=1,$L1646+$K1646,"")</f>
        <v/>
      </c>
      <c r="N1646">
        <f>IF(ISNUMBER(SEARCH(" - ",$H1646&amp;"")),1,0)</f>
        <v/>
      </c>
      <c r="O1646">
        <f>IF(UPPER($H1646&amp;"")="LEAVE",1,0)</f>
        <v/>
      </c>
      <c r="P1646">
        <f>IF($N1646=1,$K1646,0)</f>
        <v/>
      </c>
      <c r="Q1646">
        <f>IF($N1646=0,"",IFERROR($L1646-LOOKUP(2,1/(($B$2:$B1645=$B1646)*($N$2:$N1645=1)),$M$2:$M1645),""))</f>
        <v/>
      </c>
    </row>
    <row r="1647">
      <c r="A1647" t="n">
        <v>1646</v>
      </c>
      <c r="B1647">
        <f>Schedule!$A$238</f>
        <v/>
      </c>
      <c r="C1647">
        <f>Schedule!$D$238</f>
        <v/>
      </c>
      <c r="D1647">
        <f>Schedule!$F$238</f>
        <v/>
      </c>
      <c r="E1647" t="n">
        <v>0</v>
      </c>
      <c r="F1647">
        <f>Schedule!$G$1</f>
        <v/>
      </c>
      <c r="G1647">
        <f>Schedule!$G$2</f>
        <v/>
      </c>
      <c r="H1647">
        <f>Schedule!$G$238</f>
        <v/>
      </c>
      <c r="I1647">
        <f>IF($N1647=1,VALUE(LEFT($H1647,2)),"")</f>
        <v/>
      </c>
      <c r="J1647">
        <f>IF($N1647=1,VALUE(MID($H1647,9,2)),"")</f>
        <v/>
      </c>
      <c r="K1647">
        <f>IF($N1647=1,MOD($J1647-$I1647,24),0)</f>
        <v/>
      </c>
      <c r="L1647">
        <f>IF($N1647=1,$E1647*24+$I1647,"")</f>
        <v/>
      </c>
      <c r="M1647">
        <f>IF($N1647=1,$L1647+$K1647,"")</f>
        <v/>
      </c>
      <c r="N1647">
        <f>IF(ISNUMBER(SEARCH(" - ",$H1647&amp;"")),1,0)</f>
        <v/>
      </c>
      <c r="O1647">
        <f>IF(UPPER($H1647&amp;"")="LEAVE",1,0)</f>
        <v/>
      </c>
      <c r="P1647">
        <f>IF($N1647=1,$K1647,0)</f>
        <v/>
      </c>
      <c r="Q1647">
        <f>IF($N1647=0,"",IFERROR($L1647-'Previous Engine'!$M$237,""))</f>
        <v/>
      </c>
    </row>
    <row r="1648">
      <c r="A1648" t="n">
        <v>1647</v>
      </c>
      <c r="B1648">
        <f>Schedule!$A$238</f>
        <v/>
      </c>
      <c r="C1648">
        <f>Schedule!$D$238</f>
        <v/>
      </c>
      <c r="D1648">
        <f>Schedule!$F$238</f>
        <v/>
      </c>
      <c r="E1648" t="n">
        <v>1</v>
      </c>
      <c r="F1648">
        <f>Schedule!$H$1</f>
        <v/>
      </c>
      <c r="G1648">
        <f>Schedule!$H$2</f>
        <v/>
      </c>
      <c r="H1648">
        <f>Schedule!$H$238</f>
        <v/>
      </c>
      <c r="I1648">
        <f>IF($N1648=1,VALUE(LEFT($H1648,2)),"")</f>
        <v/>
      </c>
      <c r="J1648">
        <f>IF($N1648=1,VALUE(MID($H1648,9,2)),"")</f>
        <v/>
      </c>
      <c r="K1648">
        <f>IF($N1648=1,MOD($J1648-$I1648,24),0)</f>
        <v/>
      </c>
      <c r="L1648">
        <f>IF($N1648=1,$E1648*24+$I1648,"")</f>
        <v/>
      </c>
      <c r="M1648">
        <f>IF($N1648=1,$L1648+$K1648,"")</f>
        <v/>
      </c>
      <c r="N1648">
        <f>IF(ISNUMBER(SEARCH(" - ",$H1648&amp;"")),1,0)</f>
        <v/>
      </c>
      <c r="O1648">
        <f>IF(UPPER($H1648&amp;"")="LEAVE",1,0)</f>
        <v/>
      </c>
      <c r="P1648">
        <f>IF($N1648=1,$K1648,0)</f>
        <v/>
      </c>
      <c r="Q1648">
        <f>IF($N1648=0,"",IFERROR($L1648-LOOKUP(2,1/(($B$2:$B1647=$B1648)*($N$2:$N1647=1)),$M$2:$M1647),""))</f>
        <v/>
      </c>
    </row>
    <row r="1649">
      <c r="A1649" t="n">
        <v>1648</v>
      </c>
      <c r="B1649">
        <f>Schedule!$A$238</f>
        <v/>
      </c>
      <c r="C1649">
        <f>Schedule!$D$238</f>
        <v/>
      </c>
      <c r="D1649">
        <f>Schedule!$F$238</f>
        <v/>
      </c>
      <c r="E1649" t="n">
        <v>2</v>
      </c>
      <c r="F1649">
        <f>Schedule!$I$1</f>
        <v/>
      </c>
      <c r="G1649">
        <f>Schedule!$I$2</f>
        <v/>
      </c>
      <c r="H1649">
        <f>Schedule!$I$238</f>
        <v/>
      </c>
      <c r="I1649">
        <f>IF($N1649=1,VALUE(LEFT($H1649,2)),"")</f>
        <v/>
      </c>
      <c r="J1649">
        <f>IF($N1649=1,VALUE(MID($H1649,9,2)),"")</f>
        <v/>
      </c>
      <c r="K1649">
        <f>IF($N1649=1,MOD($J1649-$I1649,24),0)</f>
        <v/>
      </c>
      <c r="L1649">
        <f>IF($N1649=1,$E1649*24+$I1649,"")</f>
        <v/>
      </c>
      <c r="M1649">
        <f>IF($N1649=1,$L1649+$K1649,"")</f>
        <v/>
      </c>
      <c r="N1649">
        <f>IF(ISNUMBER(SEARCH(" - ",$H1649&amp;"")),1,0)</f>
        <v/>
      </c>
      <c r="O1649">
        <f>IF(UPPER($H1649&amp;"")="LEAVE",1,0)</f>
        <v/>
      </c>
      <c r="P1649">
        <f>IF($N1649=1,$K1649,0)</f>
        <v/>
      </c>
      <c r="Q1649">
        <f>IF($N1649=0,"",IFERROR($L1649-LOOKUP(2,1/(($B$2:$B1648=$B1649)*($N$2:$N1648=1)),$M$2:$M1648),""))</f>
        <v/>
      </c>
    </row>
    <row r="1650">
      <c r="A1650" t="n">
        <v>1649</v>
      </c>
      <c r="B1650">
        <f>Schedule!$A$238</f>
        <v/>
      </c>
      <c r="C1650">
        <f>Schedule!$D$238</f>
        <v/>
      </c>
      <c r="D1650">
        <f>Schedule!$F$238</f>
        <v/>
      </c>
      <c r="E1650" t="n">
        <v>3</v>
      </c>
      <c r="F1650">
        <f>Schedule!$J$1</f>
        <v/>
      </c>
      <c r="G1650">
        <f>Schedule!$J$2</f>
        <v/>
      </c>
      <c r="H1650">
        <f>Schedule!$J$238</f>
        <v/>
      </c>
      <c r="I1650">
        <f>IF($N1650=1,VALUE(LEFT($H1650,2)),"")</f>
        <v/>
      </c>
      <c r="J1650">
        <f>IF($N1650=1,VALUE(MID($H1650,9,2)),"")</f>
        <v/>
      </c>
      <c r="K1650">
        <f>IF($N1650=1,MOD($J1650-$I1650,24),0)</f>
        <v/>
      </c>
      <c r="L1650">
        <f>IF($N1650=1,$E1650*24+$I1650,"")</f>
        <v/>
      </c>
      <c r="M1650">
        <f>IF($N1650=1,$L1650+$K1650,"")</f>
        <v/>
      </c>
      <c r="N1650">
        <f>IF(ISNUMBER(SEARCH(" - ",$H1650&amp;"")),1,0)</f>
        <v/>
      </c>
      <c r="O1650">
        <f>IF(UPPER($H1650&amp;"")="LEAVE",1,0)</f>
        <v/>
      </c>
      <c r="P1650">
        <f>IF($N1650=1,$K1650,0)</f>
        <v/>
      </c>
      <c r="Q1650">
        <f>IF($N1650=0,"",IFERROR($L1650-LOOKUP(2,1/(($B$2:$B1649=$B1650)*($N$2:$N1649=1)),$M$2:$M1649),""))</f>
        <v/>
      </c>
    </row>
    <row r="1651">
      <c r="A1651" t="n">
        <v>1650</v>
      </c>
      <c r="B1651">
        <f>Schedule!$A$238</f>
        <v/>
      </c>
      <c r="C1651">
        <f>Schedule!$D$238</f>
        <v/>
      </c>
      <c r="D1651">
        <f>Schedule!$F$238</f>
        <v/>
      </c>
      <c r="E1651" t="n">
        <v>4</v>
      </c>
      <c r="F1651">
        <f>Schedule!$K$1</f>
        <v/>
      </c>
      <c r="G1651">
        <f>Schedule!$K$2</f>
        <v/>
      </c>
      <c r="H1651">
        <f>Schedule!$K$238</f>
        <v/>
      </c>
      <c r="I1651">
        <f>IF($N1651=1,VALUE(LEFT($H1651,2)),"")</f>
        <v/>
      </c>
      <c r="J1651">
        <f>IF($N1651=1,VALUE(MID($H1651,9,2)),"")</f>
        <v/>
      </c>
      <c r="K1651">
        <f>IF($N1651=1,MOD($J1651-$I1651,24),0)</f>
        <v/>
      </c>
      <c r="L1651">
        <f>IF($N1651=1,$E1651*24+$I1651,"")</f>
        <v/>
      </c>
      <c r="M1651">
        <f>IF($N1651=1,$L1651+$K1651,"")</f>
        <v/>
      </c>
      <c r="N1651">
        <f>IF(ISNUMBER(SEARCH(" - ",$H1651&amp;"")),1,0)</f>
        <v/>
      </c>
      <c r="O1651">
        <f>IF(UPPER($H1651&amp;"")="LEAVE",1,0)</f>
        <v/>
      </c>
      <c r="P1651">
        <f>IF($N1651=1,$K1651,0)</f>
        <v/>
      </c>
      <c r="Q1651">
        <f>IF($N1651=0,"",IFERROR($L1651-LOOKUP(2,1/(($B$2:$B1650=$B1651)*($N$2:$N1650=1)),$M$2:$M1650),""))</f>
        <v/>
      </c>
    </row>
    <row r="1652">
      <c r="A1652" t="n">
        <v>1651</v>
      </c>
      <c r="B1652">
        <f>Schedule!$A$238</f>
        <v/>
      </c>
      <c r="C1652">
        <f>Schedule!$D$238</f>
        <v/>
      </c>
      <c r="D1652">
        <f>Schedule!$F$238</f>
        <v/>
      </c>
      <c r="E1652" t="n">
        <v>5</v>
      </c>
      <c r="F1652">
        <f>Schedule!$L$1</f>
        <v/>
      </c>
      <c r="G1652">
        <f>Schedule!$L$2</f>
        <v/>
      </c>
      <c r="H1652">
        <f>Schedule!$L$238</f>
        <v/>
      </c>
      <c r="I1652">
        <f>IF($N1652=1,VALUE(LEFT($H1652,2)),"")</f>
        <v/>
      </c>
      <c r="J1652">
        <f>IF($N1652=1,VALUE(MID($H1652,9,2)),"")</f>
        <v/>
      </c>
      <c r="K1652">
        <f>IF($N1652=1,MOD($J1652-$I1652,24),0)</f>
        <v/>
      </c>
      <c r="L1652">
        <f>IF($N1652=1,$E1652*24+$I1652,"")</f>
        <v/>
      </c>
      <c r="M1652">
        <f>IF($N1652=1,$L1652+$K1652,"")</f>
        <v/>
      </c>
      <c r="N1652">
        <f>IF(ISNUMBER(SEARCH(" - ",$H1652&amp;"")),1,0)</f>
        <v/>
      </c>
      <c r="O1652">
        <f>IF(UPPER($H1652&amp;"")="LEAVE",1,0)</f>
        <v/>
      </c>
      <c r="P1652">
        <f>IF($N1652=1,$K1652,0)</f>
        <v/>
      </c>
      <c r="Q1652">
        <f>IF($N1652=0,"",IFERROR($L1652-LOOKUP(2,1/(($B$2:$B1651=$B1652)*($N$2:$N1651=1)),$M$2:$M1651),""))</f>
        <v/>
      </c>
    </row>
    <row r="1653">
      <c r="A1653" t="n">
        <v>1652</v>
      </c>
      <c r="B1653">
        <f>Schedule!$A$238</f>
        <v/>
      </c>
      <c r="C1653">
        <f>Schedule!$D$238</f>
        <v/>
      </c>
      <c r="D1653">
        <f>Schedule!$F$238</f>
        <v/>
      </c>
      <c r="E1653" t="n">
        <v>6</v>
      </c>
      <c r="F1653">
        <f>Schedule!$M$1</f>
        <v/>
      </c>
      <c r="G1653">
        <f>Schedule!$M$2</f>
        <v/>
      </c>
      <c r="H1653">
        <f>Schedule!$M$238</f>
        <v/>
      </c>
      <c r="I1653">
        <f>IF($N1653=1,VALUE(LEFT($H1653,2)),"")</f>
        <v/>
      </c>
      <c r="J1653">
        <f>IF($N1653=1,VALUE(MID($H1653,9,2)),"")</f>
        <v/>
      </c>
      <c r="K1653">
        <f>IF($N1653=1,MOD($J1653-$I1653,24),0)</f>
        <v/>
      </c>
      <c r="L1653">
        <f>IF($N1653=1,$E1653*24+$I1653,"")</f>
        <v/>
      </c>
      <c r="M1653">
        <f>IF($N1653=1,$L1653+$K1653,"")</f>
        <v/>
      </c>
      <c r="N1653">
        <f>IF(ISNUMBER(SEARCH(" - ",$H1653&amp;"")),1,0)</f>
        <v/>
      </c>
      <c r="O1653">
        <f>IF(UPPER($H1653&amp;"")="LEAVE",1,0)</f>
        <v/>
      </c>
      <c r="P1653">
        <f>IF($N1653=1,$K1653,0)</f>
        <v/>
      </c>
      <c r="Q1653">
        <f>IF($N1653=0,"",IFERROR($L1653-LOOKUP(2,1/(($B$2:$B1652=$B1653)*($N$2:$N1652=1)),$M$2:$M1652),""))</f>
        <v/>
      </c>
    </row>
    <row r="1654">
      <c r="A1654" t="n">
        <v>1653</v>
      </c>
      <c r="B1654">
        <f>Schedule!$A$239</f>
        <v/>
      </c>
      <c r="C1654">
        <f>Schedule!$D$239</f>
        <v/>
      </c>
      <c r="D1654">
        <f>Schedule!$F$239</f>
        <v/>
      </c>
      <c r="E1654" t="n">
        <v>0</v>
      </c>
      <c r="F1654">
        <f>Schedule!$G$1</f>
        <v/>
      </c>
      <c r="G1654">
        <f>Schedule!$G$2</f>
        <v/>
      </c>
      <c r="H1654">
        <f>Schedule!$G$239</f>
        <v/>
      </c>
      <c r="I1654">
        <f>IF($N1654=1,VALUE(LEFT($H1654,2)),"")</f>
        <v/>
      </c>
      <c r="J1654">
        <f>IF($N1654=1,VALUE(MID($H1654,9,2)),"")</f>
        <v/>
      </c>
      <c r="K1654">
        <f>IF($N1654=1,MOD($J1654-$I1654,24),0)</f>
        <v/>
      </c>
      <c r="L1654">
        <f>IF($N1654=1,$E1654*24+$I1654,"")</f>
        <v/>
      </c>
      <c r="M1654">
        <f>IF($N1654=1,$L1654+$K1654,"")</f>
        <v/>
      </c>
      <c r="N1654">
        <f>IF(ISNUMBER(SEARCH(" - ",$H1654&amp;"")),1,0)</f>
        <v/>
      </c>
      <c r="O1654">
        <f>IF(UPPER($H1654&amp;"")="LEAVE",1,0)</f>
        <v/>
      </c>
      <c r="P1654">
        <f>IF($N1654=1,$K1654,0)</f>
        <v/>
      </c>
      <c r="Q1654">
        <f>IF($N1654=0,"",IFERROR($L1654-'Previous Engine'!$M$238,""))</f>
        <v/>
      </c>
    </row>
    <row r="1655">
      <c r="A1655" t="n">
        <v>1654</v>
      </c>
      <c r="B1655">
        <f>Schedule!$A$239</f>
        <v/>
      </c>
      <c r="C1655">
        <f>Schedule!$D$239</f>
        <v/>
      </c>
      <c r="D1655">
        <f>Schedule!$F$239</f>
        <v/>
      </c>
      <c r="E1655" t="n">
        <v>1</v>
      </c>
      <c r="F1655">
        <f>Schedule!$H$1</f>
        <v/>
      </c>
      <c r="G1655">
        <f>Schedule!$H$2</f>
        <v/>
      </c>
      <c r="H1655">
        <f>Schedule!$H$239</f>
        <v/>
      </c>
      <c r="I1655">
        <f>IF($N1655=1,VALUE(LEFT($H1655,2)),"")</f>
        <v/>
      </c>
      <c r="J1655">
        <f>IF($N1655=1,VALUE(MID($H1655,9,2)),"")</f>
        <v/>
      </c>
      <c r="K1655">
        <f>IF($N1655=1,MOD($J1655-$I1655,24),0)</f>
        <v/>
      </c>
      <c r="L1655">
        <f>IF($N1655=1,$E1655*24+$I1655,"")</f>
        <v/>
      </c>
      <c r="M1655">
        <f>IF($N1655=1,$L1655+$K1655,"")</f>
        <v/>
      </c>
      <c r="N1655">
        <f>IF(ISNUMBER(SEARCH(" - ",$H1655&amp;"")),1,0)</f>
        <v/>
      </c>
      <c r="O1655">
        <f>IF(UPPER($H1655&amp;"")="LEAVE",1,0)</f>
        <v/>
      </c>
      <c r="P1655">
        <f>IF($N1655=1,$K1655,0)</f>
        <v/>
      </c>
      <c r="Q1655">
        <f>IF($N1655=0,"",IFERROR($L1655-LOOKUP(2,1/(($B$2:$B1654=$B1655)*($N$2:$N1654=1)),$M$2:$M1654),""))</f>
        <v/>
      </c>
    </row>
    <row r="1656">
      <c r="A1656" t="n">
        <v>1655</v>
      </c>
      <c r="B1656">
        <f>Schedule!$A$239</f>
        <v/>
      </c>
      <c r="C1656">
        <f>Schedule!$D$239</f>
        <v/>
      </c>
      <c r="D1656">
        <f>Schedule!$F$239</f>
        <v/>
      </c>
      <c r="E1656" t="n">
        <v>2</v>
      </c>
      <c r="F1656">
        <f>Schedule!$I$1</f>
        <v/>
      </c>
      <c r="G1656">
        <f>Schedule!$I$2</f>
        <v/>
      </c>
      <c r="H1656">
        <f>Schedule!$I$239</f>
        <v/>
      </c>
      <c r="I1656">
        <f>IF($N1656=1,VALUE(LEFT($H1656,2)),"")</f>
        <v/>
      </c>
      <c r="J1656">
        <f>IF($N1656=1,VALUE(MID($H1656,9,2)),"")</f>
        <v/>
      </c>
      <c r="K1656">
        <f>IF($N1656=1,MOD($J1656-$I1656,24),0)</f>
        <v/>
      </c>
      <c r="L1656">
        <f>IF($N1656=1,$E1656*24+$I1656,"")</f>
        <v/>
      </c>
      <c r="M1656">
        <f>IF($N1656=1,$L1656+$K1656,"")</f>
        <v/>
      </c>
      <c r="N1656">
        <f>IF(ISNUMBER(SEARCH(" - ",$H1656&amp;"")),1,0)</f>
        <v/>
      </c>
      <c r="O1656">
        <f>IF(UPPER($H1656&amp;"")="LEAVE",1,0)</f>
        <v/>
      </c>
      <c r="P1656">
        <f>IF($N1656=1,$K1656,0)</f>
        <v/>
      </c>
      <c r="Q1656">
        <f>IF($N1656=0,"",IFERROR($L1656-LOOKUP(2,1/(($B$2:$B1655=$B1656)*($N$2:$N1655=1)),$M$2:$M1655),""))</f>
        <v/>
      </c>
    </row>
    <row r="1657">
      <c r="A1657" t="n">
        <v>1656</v>
      </c>
      <c r="B1657">
        <f>Schedule!$A$239</f>
        <v/>
      </c>
      <c r="C1657">
        <f>Schedule!$D$239</f>
        <v/>
      </c>
      <c r="D1657">
        <f>Schedule!$F$239</f>
        <v/>
      </c>
      <c r="E1657" t="n">
        <v>3</v>
      </c>
      <c r="F1657">
        <f>Schedule!$J$1</f>
        <v/>
      </c>
      <c r="G1657">
        <f>Schedule!$J$2</f>
        <v/>
      </c>
      <c r="H1657">
        <f>Schedule!$J$239</f>
        <v/>
      </c>
      <c r="I1657">
        <f>IF($N1657=1,VALUE(LEFT($H1657,2)),"")</f>
        <v/>
      </c>
      <c r="J1657">
        <f>IF($N1657=1,VALUE(MID($H1657,9,2)),"")</f>
        <v/>
      </c>
      <c r="K1657">
        <f>IF($N1657=1,MOD($J1657-$I1657,24),0)</f>
        <v/>
      </c>
      <c r="L1657">
        <f>IF($N1657=1,$E1657*24+$I1657,"")</f>
        <v/>
      </c>
      <c r="M1657">
        <f>IF($N1657=1,$L1657+$K1657,"")</f>
        <v/>
      </c>
      <c r="N1657">
        <f>IF(ISNUMBER(SEARCH(" - ",$H1657&amp;"")),1,0)</f>
        <v/>
      </c>
      <c r="O1657">
        <f>IF(UPPER($H1657&amp;"")="LEAVE",1,0)</f>
        <v/>
      </c>
      <c r="P1657">
        <f>IF($N1657=1,$K1657,0)</f>
        <v/>
      </c>
      <c r="Q1657">
        <f>IF($N1657=0,"",IFERROR($L1657-LOOKUP(2,1/(($B$2:$B1656=$B1657)*($N$2:$N1656=1)),$M$2:$M1656),""))</f>
        <v/>
      </c>
    </row>
    <row r="1658">
      <c r="A1658" t="n">
        <v>1657</v>
      </c>
      <c r="B1658">
        <f>Schedule!$A$239</f>
        <v/>
      </c>
      <c r="C1658">
        <f>Schedule!$D$239</f>
        <v/>
      </c>
      <c r="D1658">
        <f>Schedule!$F$239</f>
        <v/>
      </c>
      <c r="E1658" t="n">
        <v>4</v>
      </c>
      <c r="F1658">
        <f>Schedule!$K$1</f>
        <v/>
      </c>
      <c r="G1658">
        <f>Schedule!$K$2</f>
        <v/>
      </c>
      <c r="H1658">
        <f>Schedule!$K$239</f>
        <v/>
      </c>
      <c r="I1658">
        <f>IF($N1658=1,VALUE(LEFT($H1658,2)),"")</f>
        <v/>
      </c>
      <c r="J1658">
        <f>IF($N1658=1,VALUE(MID($H1658,9,2)),"")</f>
        <v/>
      </c>
      <c r="K1658">
        <f>IF($N1658=1,MOD($J1658-$I1658,24),0)</f>
        <v/>
      </c>
      <c r="L1658">
        <f>IF($N1658=1,$E1658*24+$I1658,"")</f>
        <v/>
      </c>
      <c r="M1658">
        <f>IF($N1658=1,$L1658+$K1658,"")</f>
        <v/>
      </c>
      <c r="N1658">
        <f>IF(ISNUMBER(SEARCH(" - ",$H1658&amp;"")),1,0)</f>
        <v/>
      </c>
      <c r="O1658">
        <f>IF(UPPER($H1658&amp;"")="LEAVE",1,0)</f>
        <v/>
      </c>
      <c r="P1658">
        <f>IF($N1658=1,$K1658,0)</f>
        <v/>
      </c>
      <c r="Q1658">
        <f>IF($N1658=0,"",IFERROR($L1658-LOOKUP(2,1/(($B$2:$B1657=$B1658)*($N$2:$N1657=1)),$M$2:$M1657),""))</f>
        <v/>
      </c>
    </row>
    <row r="1659">
      <c r="A1659" t="n">
        <v>1658</v>
      </c>
      <c r="B1659">
        <f>Schedule!$A$239</f>
        <v/>
      </c>
      <c r="C1659">
        <f>Schedule!$D$239</f>
        <v/>
      </c>
      <c r="D1659">
        <f>Schedule!$F$239</f>
        <v/>
      </c>
      <c r="E1659" t="n">
        <v>5</v>
      </c>
      <c r="F1659">
        <f>Schedule!$L$1</f>
        <v/>
      </c>
      <c r="G1659">
        <f>Schedule!$L$2</f>
        <v/>
      </c>
      <c r="H1659">
        <f>Schedule!$L$239</f>
        <v/>
      </c>
      <c r="I1659">
        <f>IF($N1659=1,VALUE(LEFT($H1659,2)),"")</f>
        <v/>
      </c>
      <c r="J1659">
        <f>IF($N1659=1,VALUE(MID($H1659,9,2)),"")</f>
        <v/>
      </c>
      <c r="K1659">
        <f>IF($N1659=1,MOD($J1659-$I1659,24),0)</f>
        <v/>
      </c>
      <c r="L1659">
        <f>IF($N1659=1,$E1659*24+$I1659,"")</f>
        <v/>
      </c>
      <c r="M1659">
        <f>IF($N1659=1,$L1659+$K1659,"")</f>
        <v/>
      </c>
      <c r="N1659">
        <f>IF(ISNUMBER(SEARCH(" - ",$H1659&amp;"")),1,0)</f>
        <v/>
      </c>
      <c r="O1659">
        <f>IF(UPPER($H1659&amp;"")="LEAVE",1,0)</f>
        <v/>
      </c>
      <c r="P1659">
        <f>IF($N1659=1,$K1659,0)</f>
        <v/>
      </c>
      <c r="Q1659">
        <f>IF($N1659=0,"",IFERROR($L1659-LOOKUP(2,1/(($B$2:$B1658=$B1659)*($N$2:$N1658=1)),$M$2:$M1658),""))</f>
        <v/>
      </c>
    </row>
    <row r="1660">
      <c r="A1660" t="n">
        <v>1659</v>
      </c>
      <c r="B1660">
        <f>Schedule!$A$239</f>
        <v/>
      </c>
      <c r="C1660">
        <f>Schedule!$D$239</f>
        <v/>
      </c>
      <c r="D1660">
        <f>Schedule!$F$239</f>
        <v/>
      </c>
      <c r="E1660" t="n">
        <v>6</v>
      </c>
      <c r="F1660">
        <f>Schedule!$M$1</f>
        <v/>
      </c>
      <c r="G1660">
        <f>Schedule!$M$2</f>
        <v/>
      </c>
      <c r="H1660">
        <f>Schedule!$M$239</f>
        <v/>
      </c>
      <c r="I1660">
        <f>IF($N1660=1,VALUE(LEFT($H1660,2)),"")</f>
        <v/>
      </c>
      <c r="J1660">
        <f>IF($N1660=1,VALUE(MID($H1660,9,2)),"")</f>
        <v/>
      </c>
      <c r="K1660">
        <f>IF($N1660=1,MOD($J1660-$I1660,24),0)</f>
        <v/>
      </c>
      <c r="L1660">
        <f>IF($N1660=1,$E1660*24+$I1660,"")</f>
        <v/>
      </c>
      <c r="M1660">
        <f>IF($N1660=1,$L1660+$K1660,"")</f>
        <v/>
      </c>
      <c r="N1660">
        <f>IF(ISNUMBER(SEARCH(" - ",$H1660&amp;"")),1,0)</f>
        <v/>
      </c>
      <c r="O1660">
        <f>IF(UPPER($H1660&amp;"")="LEAVE",1,0)</f>
        <v/>
      </c>
      <c r="P1660">
        <f>IF($N1660=1,$K1660,0)</f>
        <v/>
      </c>
      <c r="Q1660">
        <f>IF($N1660=0,"",IFERROR($L1660-LOOKUP(2,1/(($B$2:$B1659=$B1660)*($N$2:$N1659=1)),$M$2:$M1659),""))</f>
        <v/>
      </c>
    </row>
    <row r="1661">
      <c r="A1661" t="n">
        <v>1660</v>
      </c>
      <c r="B1661">
        <f>Schedule!$A$240</f>
        <v/>
      </c>
      <c r="C1661">
        <f>Schedule!$D$240</f>
        <v/>
      </c>
      <c r="D1661">
        <f>Schedule!$F$240</f>
        <v/>
      </c>
      <c r="E1661" t="n">
        <v>0</v>
      </c>
      <c r="F1661">
        <f>Schedule!$G$1</f>
        <v/>
      </c>
      <c r="G1661">
        <f>Schedule!$G$2</f>
        <v/>
      </c>
      <c r="H1661">
        <f>Schedule!$G$240</f>
        <v/>
      </c>
      <c r="I1661">
        <f>IF($N1661=1,VALUE(LEFT($H1661,2)),"")</f>
        <v/>
      </c>
      <c r="J1661">
        <f>IF($N1661=1,VALUE(MID($H1661,9,2)),"")</f>
        <v/>
      </c>
      <c r="K1661">
        <f>IF($N1661=1,MOD($J1661-$I1661,24),0)</f>
        <v/>
      </c>
      <c r="L1661">
        <f>IF($N1661=1,$E1661*24+$I1661,"")</f>
        <v/>
      </c>
      <c r="M1661">
        <f>IF($N1661=1,$L1661+$K1661,"")</f>
        <v/>
      </c>
      <c r="N1661">
        <f>IF(ISNUMBER(SEARCH(" - ",$H1661&amp;"")),1,0)</f>
        <v/>
      </c>
      <c r="O1661">
        <f>IF(UPPER($H1661&amp;"")="LEAVE",1,0)</f>
        <v/>
      </c>
      <c r="P1661">
        <f>IF($N1661=1,$K1661,0)</f>
        <v/>
      </c>
      <c r="Q1661">
        <f>IF($N1661=0,"",IFERROR($L1661-'Previous Engine'!$M$239,""))</f>
        <v/>
      </c>
    </row>
    <row r="1662">
      <c r="A1662" t="n">
        <v>1661</v>
      </c>
      <c r="B1662">
        <f>Schedule!$A$240</f>
        <v/>
      </c>
      <c r="C1662">
        <f>Schedule!$D$240</f>
        <v/>
      </c>
      <c r="D1662">
        <f>Schedule!$F$240</f>
        <v/>
      </c>
      <c r="E1662" t="n">
        <v>1</v>
      </c>
      <c r="F1662">
        <f>Schedule!$H$1</f>
        <v/>
      </c>
      <c r="G1662">
        <f>Schedule!$H$2</f>
        <v/>
      </c>
      <c r="H1662">
        <f>Schedule!$H$240</f>
        <v/>
      </c>
      <c r="I1662">
        <f>IF($N1662=1,VALUE(LEFT($H1662,2)),"")</f>
        <v/>
      </c>
      <c r="J1662">
        <f>IF($N1662=1,VALUE(MID($H1662,9,2)),"")</f>
        <v/>
      </c>
      <c r="K1662">
        <f>IF($N1662=1,MOD($J1662-$I1662,24),0)</f>
        <v/>
      </c>
      <c r="L1662">
        <f>IF($N1662=1,$E1662*24+$I1662,"")</f>
        <v/>
      </c>
      <c r="M1662">
        <f>IF($N1662=1,$L1662+$K1662,"")</f>
        <v/>
      </c>
      <c r="N1662">
        <f>IF(ISNUMBER(SEARCH(" - ",$H1662&amp;"")),1,0)</f>
        <v/>
      </c>
      <c r="O1662">
        <f>IF(UPPER($H1662&amp;"")="LEAVE",1,0)</f>
        <v/>
      </c>
      <c r="P1662">
        <f>IF($N1662=1,$K1662,0)</f>
        <v/>
      </c>
      <c r="Q1662">
        <f>IF($N1662=0,"",IFERROR($L1662-LOOKUP(2,1/(($B$2:$B1661=$B1662)*($N$2:$N1661=1)),$M$2:$M1661),""))</f>
        <v/>
      </c>
    </row>
    <row r="1663">
      <c r="A1663" t="n">
        <v>1662</v>
      </c>
      <c r="B1663">
        <f>Schedule!$A$240</f>
        <v/>
      </c>
      <c r="C1663">
        <f>Schedule!$D$240</f>
        <v/>
      </c>
      <c r="D1663">
        <f>Schedule!$F$240</f>
        <v/>
      </c>
      <c r="E1663" t="n">
        <v>2</v>
      </c>
      <c r="F1663">
        <f>Schedule!$I$1</f>
        <v/>
      </c>
      <c r="G1663">
        <f>Schedule!$I$2</f>
        <v/>
      </c>
      <c r="H1663">
        <f>Schedule!$I$240</f>
        <v/>
      </c>
      <c r="I1663">
        <f>IF($N1663=1,VALUE(LEFT($H1663,2)),"")</f>
        <v/>
      </c>
      <c r="J1663">
        <f>IF($N1663=1,VALUE(MID($H1663,9,2)),"")</f>
        <v/>
      </c>
      <c r="K1663">
        <f>IF($N1663=1,MOD($J1663-$I1663,24),0)</f>
        <v/>
      </c>
      <c r="L1663">
        <f>IF($N1663=1,$E1663*24+$I1663,"")</f>
        <v/>
      </c>
      <c r="M1663">
        <f>IF($N1663=1,$L1663+$K1663,"")</f>
        <v/>
      </c>
      <c r="N1663">
        <f>IF(ISNUMBER(SEARCH(" - ",$H1663&amp;"")),1,0)</f>
        <v/>
      </c>
      <c r="O1663">
        <f>IF(UPPER($H1663&amp;"")="LEAVE",1,0)</f>
        <v/>
      </c>
      <c r="P1663">
        <f>IF($N1663=1,$K1663,0)</f>
        <v/>
      </c>
      <c r="Q1663">
        <f>IF($N1663=0,"",IFERROR($L1663-LOOKUP(2,1/(($B$2:$B1662=$B1663)*($N$2:$N1662=1)),$M$2:$M1662),""))</f>
        <v/>
      </c>
    </row>
    <row r="1664">
      <c r="A1664" t="n">
        <v>1663</v>
      </c>
      <c r="B1664">
        <f>Schedule!$A$240</f>
        <v/>
      </c>
      <c r="C1664">
        <f>Schedule!$D$240</f>
        <v/>
      </c>
      <c r="D1664">
        <f>Schedule!$F$240</f>
        <v/>
      </c>
      <c r="E1664" t="n">
        <v>3</v>
      </c>
      <c r="F1664">
        <f>Schedule!$J$1</f>
        <v/>
      </c>
      <c r="G1664">
        <f>Schedule!$J$2</f>
        <v/>
      </c>
      <c r="H1664">
        <f>Schedule!$J$240</f>
        <v/>
      </c>
      <c r="I1664">
        <f>IF($N1664=1,VALUE(LEFT($H1664,2)),"")</f>
        <v/>
      </c>
      <c r="J1664">
        <f>IF($N1664=1,VALUE(MID($H1664,9,2)),"")</f>
        <v/>
      </c>
      <c r="K1664">
        <f>IF($N1664=1,MOD($J1664-$I1664,24),0)</f>
        <v/>
      </c>
      <c r="L1664">
        <f>IF($N1664=1,$E1664*24+$I1664,"")</f>
        <v/>
      </c>
      <c r="M1664">
        <f>IF($N1664=1,$L1664+$K1664,"")</f>
        <v/>
      </c>
      <c r="N1664">
        <f>IF(ISNUMBER(SEARCH(" - ",$H1664&amp;"")),1,0)</f>
        <v/>
      </c>
      <c r="O1664">
        <f>IF(UPPER($H1664&amp;"")="LEAVE",1,0)</f>
        <v/>
      </c>
      <c r="P1664">
        <f>IF($N1664=1,$K1664,0)</f>
        <v/>
      </c>
      <c r="Q1664">
        <f>IF($N1664=0,"",IFERROR($L1664-LOOKUP(2,1/(($B$2:$B1663=$B1664)*($N$2:$N1663=1)),$M$2:$M1663),""))</f>
        <v/>
      </c>
    </row>
    <row r="1665">
      <c r="A1665" t="n">
        <v>1664</v>
      </c>
      <c r="B1665">
        <f>Schedule!$A$240</f>
        <v/>
      </c>
      <c r="C1665">
        <f>Schedule!$D$240</f>
        <v/>
      </c>
      <c r="D1665">
        <f>Schedule!$F$240</f>
        <v/>
      </c>
      <c r="E1665" t="n">
        <v>4</v>
      </c>
      <c r="F1665">
        <f>Schedule!$K$1</f>
        <v/>
      </c>
      <c r="G1665">
        <f>Schedule!$K$2</f>
        <v/>
      </c>
      <c r="H1665">
        <f>Schedule!$K$240</f>
        <v/>
      </c>
      <c r="I1665">
        <f>IF($N1665=1,VALUE(LEFT($H1665,2)),"")</f>
        <v/>
      </c>
      <c r="J1665">
        <f>IF($N1665=1,VALUE(MID($H1665,9,2)),"")</f>
        <v/>
      </c>
      <c r="K1665">
        <f>IF($N1665=1,MOD($J1665-$I1665,24),0)</f>
        <v/>
      </c>
      <c r="L1665">
        <f>IF($N1665=1,$E1665*24+$I1665,"")</f>
        <v/>
      </c>
      <c r="M1665">
        <f>IF($N1665=1,$L1665+$K1665,"")</f>
        <v/>
      </c>
      <c r="N1665">
        <f>IF(ISNUMBER(SEARCH(" - ",$H1665&amp;"")),1,0)</f>
        <v/>
      </c>
      <c r="O1665">
        <f>IF(UPPER($H1665&amp;"")="LEAVE",1,0)</f>
        <v/>
      </c>
      <c r="P1665">
        <f>IF($N1665=1,$K1665,0)</f>
        <v/>
      </c>
      <c r="Q1665">
        <f>IF($N1665=0,"",IFERROR($L1665-LOOKUP(2,1/(($B$2:$B1664=$B1665)*($N$2:$N1664=1)),$M$2:$M1664),""))</f>
        <v/>
      </c>
    </row>
    <row r="1666">
      <c r="A1666" t="n">
        <v>1665</v>
      </c>
      <c r="B1666">
        <f>Schedule!$A$240</f>
        <v/>
      </c>
      <c r="C1666">
        <f>Schedule!$D$240</f>
        <v/>
      </c>
      <c r="D1666">
        <f>Schedule!$F$240</f>
        <v/>
      </c>
      <c r="E1666" t="n">
        <v>5</v>
      </c>
      <c r="F1666">
        <f>Schedule!$L$1</f>
        <v/>
      </c>
      <c r="G1666">
        <f>Schedule!$L$2</f>
        <v/>
      </c>
      <c r="H1666">
        <f>Schedule!$L$240</f>
        <v/>
      </c>
      <c r="I1666">
        <f>IF($N1666=1,VALUE(LEFT($H1666,2)),"")</f>
        <v/>
      </c>
      <c r="J1666">
        <f>IF($N1666=1,VALUE(MID($H1666,9,2)),"")</f>
        <v/>
      </c>
      <c r="K1666">
        <f>IF($N1666=1,MOD($J1666-$I1666,24),0)</f>
        <v/>
      </c>
      <c r="L1666">
        <f>IF($N1666=1,$E1666*24+$I1666,"")</f>
        <v/>
      </c>
      <c r="M1666">
        <f>IF($N1666=1,$L1666+$K1666,"")</f>
        <v/>
      </c>
      <c r="N1666">
        <f>IF(ISNUMBER(SEARCH(" - ",$H1666&amp;"")),1,0)</f>
        <v/>
      </c>
      <c r="O1666">
        <f>IF(UPPER($H1666&amp;"")="LEAVE",1,0)</f>
        <v/>
      </c>
      <c r="P1666">
        <f>IF($N1666=1,$K1666,0)</f>
        <v/>
      </c>
      <c r="Q1666">
        <f>IF($N1666=0,"",IFERROR($L1666-LOOKUP(2,1/(($B$2:$B1665=$B1666)*($N$2:$N1665=1)),$M$2:$M1665),""))</f>
        <v/>
      </c>
    </row>
    <row r="1667">
      <c r="A1667" t="n">
        <v>1666</v>
      </c>
      <c r="B1667">
        <f>Schedule!$A$240</f>
        <v/>
      </c>
      <c r="C1667">
        <f>Schedule!$D$240</f>
        <v/>
      </c>
      <c r="D1667">
        <f>Schedule!$F$240</f>
        <v/>
      </c>
      <c r="E1667" t="n">
        <v>6</v>
      </c>
      <c r="F1667">
        <f>Schedule!$M$1</f>
        <v/>
      </c>
      <c r="G1667">
        <f>Schedule!$M$2</f>
        <v/>
      </c>
      <c r="H1667">
        <f>Schedule!$M$240</f>
        <v/>
      </c>
      <c r="I1667">
        <f>IF($N1667=1,VALUE(LEFT($H1667,2)),"")</f>
        <v/>
      </c>
      <c r="J1667">
        <f>IF($N1667=1,VALUE(MID($H1667,9,2)),"")</f>
        <v/>
      </c>
      <c r="K1667">
        <f>IF($N1667=1,MOD($J1667-$I1667,24),0)</f>
        <v/>
      </c>
      <c r="L1667">
        <f>IF($N1667=1,$E1667*24+$I1667,"")</f>
        <v/>
      </c>
      <c r="M1667">
        <f>IF($N1667=1,$L1667+$K1667,"")</f>
        <v/>
      </c>
      <c r="N1667">
        <f>IF(ISNUMBER(SEARCH(" - ",$H1667&amp;"")),1,0)</f>
        <v/>
      </c>
      <c r="O1667">
        <f>IF(UPPER($H1667&amp;"")="LEAVE",1,0)</f>
        <v/>
      </c>
      <c r="P1667">
        <f>IF($N1667=1,$K1667,0)</f>
        <v/>
      </c>
      <c r="Q1667">
        <f>IF($N1667=0,"",IFERROR($L1667-LOOKUP(2,1/(($B$2:$B1666=$B1667)*($N$2:$N1666=1)),$M$2:$M1666),""))</f>
        <v/>
      </c>
    </row>
    <row r="1668">
      <c r="A1668" t="n">
        <v>1667</v>
      </c>
      <c r="B1668">
        <f>Schedule!$A$241</f>
        <v/>
      </c>
      <c r="C1668">
        <f>Schedule!$D$241</f>
        <v/>
      </c>
      <c r="D1668">
        <f>Schedule!$F$241</f>
        <v/>
      </c>
      <c r="E1668" t="n">
        <v>0</v>
      </c>
      <c r="F1668">
        <f>Schedule!$G$1</f>
        <v/>
      </c>
      <c r="G1668">
        <f>Schedule!$G$2</f>
        <v/>
      </c>
      <c r="H1668">
        <f>Schedule!$G$241</f>
        <v/>
      </c>
      <c r="I1668">
        <f>IF($N1668=1,VALUE(LEFT($H1668,2)),"")</f>
        <v/>
      </c>
      <c r="J1668">
        <f>IF($N1668=1,VALUE(MID($H1668,9,2)),"")</f>
        <v/>
      </c>
      <c r="K1668">
        <f>IF($N1668=1,MOD($J1668-$I1668,24),0)</f>
        <v/>
      </c>
      <c r="L1668">
        <f>IF($N1668=1,$E1668*24+$I1668,"")</f>
        <v/>
      </c>
      <c r="M1668">
        <f>IF($N1668=1,$L1668+$K1668,"")</f>
        <v/>
      </c>
      <c r="N1668">
        <f>IF(ISNUMBER(SEARCH(" - ",$H1668&amp;"")),1,0)</f>
        <v/>
      </c>
      <c r="O1668">
        <f>IF(UPPER($H1668&amp;"")="LEAVE",1,0)</f>
        <v/>
      </c>
      <c r="P1668">
        <f>IF($N1668=1,$K1668,0)</f>
        <v/>
      </c>
      <c r="Q1668">
        <f>IF($N1668=0,"",IFERROR($L1668-'Previous Engine'!$M$240,""))</f>
        <v/>
      </c>
    </row>
    <row r="1669">
      <c r="A1669" t="n">
        <v>1668</v>
      </c>
      <c r="B1669">
        <f>Schedule!$A$241</f>
        <v/>
      </c>
      <c r="C1669">
        <f>Schedule!$D$241</f>
        <v/>
      </c>
      <c r="D1669">
        <f>Schedule!$F$241</f>
        <v/>
      </c>
      <c r="E1669" t="n">
        <v>1</v>
      </c>
      <c r="F1669">
        <f>Schedule!$H$1</f>
        <v/>
      </c>
      <c r="G1669">
        <f>Schedule!$H$2</f>
        <v/>
      </c>
      <c r="H1669">
        <f>Schedule!$H$241</f>
        <v/>
      </c>
      <c r="I1669">
        <f>IF($N1669=1,VALUE(LEFT($H1669,2)),"")</f>
        <v/>
      </c>
      <c r="J1669">
        <f>IF($N1669=1,VALUE(MID($H1669,9,2)),"")</f>
        <v/>
      </c>
      <c r="K1669">
        <f>IF($N1669=1,MOD($J1669-$I1669,24),0)</f>
        <v/>
      </c>
      <c r="L1669">
        <f>IF($N1669=1,$E1669*24+$I1669,"")</f>
        <v/>
      </c>
      <c r="M1669">
        <f>IF($N1669=1,$L1669+$K1669,"")</f>
        <v/>
      </c>
      <c r="N1669">
        <f>IF(ISNUMBER(SEARCH(" - ",$H1669&amp;"")),1,0)</f>
        <v/>
      </c>
      <c r="O1669">
        <f>IF(UPPER($H1669&amp;"")="LEAVE",1,0)</f>
        <v/>
      </c>
      <c r="P1669">
        <f>IF($N1669=1,$K1669,0)</f>
        <v/>
      </c>
      <c r="Q1669">
        <f>IF($N1669=0,"",IFERROR($L1669-LOOKUP(2,1/(($B$2:$B1668=$B1669)*($N$2:$N1668=1)),$M$2:$M1668),""))</f>
        <v/>
      </c>
    </row>
    <row r="1670">
      <c r="A1670" t="n">
        <v>1669</v>
      </c>
      <c r="B1670">
        <f>Schedule!$A$241</f>
        <v/>
      </c>
      <c r="C1670">
        <f>Schedule!$D$241</f>
        <v/>
      </c>
      <c r="D1670">
        <f>Schedule!$F$241</f>
        <v/>
      </c>
      <c r="E1670" t="n">
        <v>2</v>
      </c>
      <c r="F1670">
        <f>Schedule!$I$1</f>
        <v/>
      </c>
      <c r="G1670">
        <f>Schedule!$I$2</f>
        <v/>
      </c>
      <c r="H1670">
        <f>Schedule!$I$241</f>
        <v/>
      </c>
      <c r="I1670">
        <f>IF($N1670=1,VALUE(LEFT($H1670,2)),"")</f>
        <v/>
      </c>
      <c r="J1670">
        <f>IF($N1670=1,VALUE(MID($H1670,9,2)),"")</f>
        <v/>
      </c>
      <c r="K1670">
        <f>IF($N1670=1,MOD($J1670-$I1670,24),0)</f>
        <v/>
      </c>
      <c r="L1670">
        <f>IF($N1670=1,$E1670*24+$I1670,"")</f>
        <v/>
      </c>
      <c r="M1670">
        <f>IF($N1670=1,$L1670+$K1670,"")</f>
        <v/>
      </c>
      <c r="N1670">
        <f>IF(ISNUMBER(SEARCH(" - ",$H1670&amp;"")),1,0)</f>
        <v/>
      </c>
      <c r="O1670">
        <f>IF(UPPER($H1670&amp;"")="LEAVE",1,0)</f>
        <v/>
      </c>
      <c r="P1670">
        <f>IF($N1670=1,$K1670,0)</f>
        <v/>
      </c>
      <c r="Q1670">
        <f>IF($N1670=0,"",IFERROR($L1670-LOOKUP(2,1/(($B$2:$B1669=$B1670)*($N$2:$N1669=1)),$M$2:$M1669),""))</f>
        <v/>
      </c>
    </row>
    <row r="1671">
      <c r="A1671" t="n">
        <v>1670</v>
      </c>
      <c r="B1671">
        <f>Schedule!$A$241</f>
        <v/>
      </c>
      <c r="C1671">
        <f>Schedule!$D$241</f>
        <v/>
      </c>
      <c r="D1671">
        <f>Schedule!$F$241</f>
        <v/>
      </c>
      <c r="E1671" t="n">
        <v>3</v>
      </c>
      <c r="F1671">
        <f>Schedule!$J$1</f>
        <v/>
      </c>
      <c r="G1671">
        <f>Schedule!$J$2</f>
        <v/>
      </c>
      <c r="H1671">
        <f>Schedule!$J$241</f>
        <v/>
      </c>
      <c r="I1671">
        <f>IF($N1671=1,VALUE(LEFT($H1671,2)),"")</f>
        <v/>
      </c>
      <c r="J1671">
        <f>IF($N1671=1,VALUE(MID($H1671,9,2)),"")</f>
        <v/>
      </c>
      <c r="K1671">
        <f>IF($N1671=1,MOD($J1671-$I1671,24),0)</f>
        <v/>
      </c>
      <c r="L1671">
        <f>IF($N1671=1,$E1671*24+$I1671,"")</f>
        <v/>
      </c>
      <c r="M1671">
        <f>IF($N1671=1,$L1671+$K1671,"")</f>
        <v/>
      </c>
      <c r="N1671">
        <f>IF(ISNUMBER(SEARCH(" - ",$H1671&amp;"")),1,0)</f>
        <v/>
      </c>
      <c r="O1671">
        <f>IF(UPPER($H1671&amp;"")="LEAVE",1,0)</f>
        <v/>
      </c>
      <c r="P1671">
        <f>IF($N1671=1,$K1671,0)</f>
        <v/>
      </c>
      <c r="Q1671">
        <f>IF($N1671=0,"",IFERROR($L1671-LOOKUP(2,1/(($B$2:$B1670=$B1671)*($N$2:$N1670=1)),$M$2:$M1670),""))</f>
        <v/>
      </c>
    </row>
    <row r="1672">
      <c r="A1672" t="n">
        <v>1671</v>
      </c>
      <c r="B1672">
        <f>Schedule!$A$241</f>
        <v/>
      </c>
      <c r="C1672">
        <f>Schedule!$D$241</f>
        <v/>
      </c>
      <c r="D1672">
        <f>Schedule!$F$241</f>
        <v/>
      </c>
      <c r="E1672" t="n">
        <v>4</v>
      </c>
      <c r="F1672">
        <f>Schedule!$K$1</f>
        <v/>
      </c>
      <c r="G1672">
        <f>Schedule!$K$2</f>
        <v/>
      </c>
      <c r="H1672">
        <f>Schedule!$K$241</f>
        <v/>
      </c>
      <c r="I1672">
        <f>IF($N1672=1,VALUE(LEFT($H1672,2)),"")</f>
        <v/>
      </c>
      <c r="J1672">
        <f>IF($N1672=1,VALUE(MID($H1672,9,2)),"")</f>
        <v/>
      </c>
      <c r="K1672">
        <f>IF($N1672=1,MOD($J1672-$I1672,24),0)</f>
        <v/>
      </c>
      <c r="L1672">
        <f>IF($N1672=1,$E1672*24+$I1672,"")</f>
        <v/>
      </c>
      <c r="M1672">
        <f>IF($N1672=1,$L1672+$K1672,"")</f>
        <v/>
      </c>
      <c r="N1672">
        <f>IF(ISNUMBER(SEARCH(" - ",$H1672&amp;"")),1,0)</f>
        <v/>
      </c>
      <c r="O1672">
        <f>IF(UPPER($H1672&amp;"")="LEAVE",1,0)</f>
        <v/>
      </c>
      <c r="P1672">
        <f>IF($N1672=1,$K1672,0)</f>
        <v/>
      </c>
      <c r="Q1672">
        <f>IF($N1672=0,"",IFERROR($L1672-LOOKUP(2,1/(($B$2:$B1671=$B1672)*($N$2:$N1671=1)),$M$2:$M1671),""))</f>
        <v/>
      </c>
    </row>
    <row r="1673">
      <c r="A1673" t="n">
        <v>1672</v>
      </c>
      <c r="B1673">
        <f>Schedule!$A$241</f>
        <v/>
      </c>
      <c r="C1673">
        <f>Schedule!$D$241</f>
        <v/>
      </c>
      <c r="D1673">
        <f>Schedule!$F$241</f>
        <v/>
      </c>
      <c r="E1673" t="n">
        <v>5</v>
      </c>
      <c r="F1673">
        <f>Schedule!$L$1</f>
        <v/>
      </c>
      <c r="G1673">
        <f>Schedule!$L$2</f>
        <v/>
      </c>
      <c r="H1673">
        <f>Schedule!$L$241</f>
        <v/>
      </c>
      <c r="I1673">
        <f>IF($N1673=1,VALUE(LEFT($H1673,2)),"")</f>
        <v/>
      </c>
      <c r="J1673">
        <f>IF($N1673=1,VALUE(MID($H1673,9,2)),"")</f>
        <v/>
      </c>
      <c r="K1673">
        <f>IF($N1673=1,MOD($J1673-$I1673,24),0)</f>
        <v/>
      </c>
      <c r="L1673">
        <f>IF($N1673=1,$E1673*24+$I1673,"")</f>
        <v/>
      </c>
      <c r="M1673">
        <f>IF($N1673=1,$L1673+$K1673,"")</f>
        <v/>
      </c>
      <c r="N1673">
        <f>IF(ISNUMBER(SEARCH(" - ",$H1673&amp;"")),1,0)</f>
        <v/>
      </c>
      <c r="O1673">
        <f>IF(UPPER($H1673&amp;"")="LEAVE",1,0)</f>
        <v/>
      </c>
      <c r="P1673">
        <f>IF($N1673=1,$K1673,0)</f>
        <v/>
      </c>
      <c r="Q1673">
        <f>IF($N1673=0,"",IFERROR($L1673-LOOKUP(2,1/(($B$2:$B1672=$B1673)*($N$2:$N1672=1)),$M$2:$M1672),""))</f>
        <v/>
      </c>
    </row>
    <row r="1674">
      <c r="A1674" t="n">
        <v>1673</v>
      </c>
      <c r="B1674">
        <f>Schedule!$A$241</f>
        <v/>
      </c>
      <c r="C1674">
        <f>Schedule!$D$241</f>
        <v/>
      </c>
      <c r="D1674">
        <f>Schedule!$F$241</f>
        <v/>
      </c>
      <c r="E1674" t="n">
        <v>6</v>
      </c>
      <c r="F1674">
        <f>Schedule!$M$1</f>
        <v/>
      </c>
      <c r="G1674">
        <f>Schedule!$M$2</f>
        <v/>
      </c>
      <c r="H1674">
        <f>Schedule!$M$241</f>
        <v/>
      </c>
      <c r="I1674">
        <f>IF($N1674=1,VALUE(LEFT($H1674,2)),"")</f>
        <v/>
      </c>
      <c r="J1674">
        <f>IF($N1674=1,VALUE(MID($H1674,9,2)),"")</f>
        <v/>
      </c>
      <c r="K1674">
        <f>IF($N1674=1,MOD($J1674-$I1674,24),0)</f>
        <v/>
      </c>
      <c r="L1674">
        <f>IF($N1674=1,$E1674*24+$I1674,"")</f>
        <v/>
      </c>
      <c r="M1674">
        <f>IF($N1674=1,$L1674+$K1674,"")</f>
        <v/>
      </c>
      <c r="N1674">
        <f>IF(ISNUMBER(SEARCH(" - ",$H1674&amp;"")),1,0)</f>
        <v/>
      </c>
      <c r="O1674">
        <f>IF(UPPER($H1674&amp;"")="LEAVE",1,0)</f>
        <v/>
      </c>
      <c r="P1674">
        <f>IF($N1674=1,$K1674,0)</f>
        <v/>
      </c>
      <c r="Q1674">
        <f>IF($N1674=0,"",IFERROR($L1674-LOOKUP(2,1/(($B$2:$B1673=$B1674)*($N$2:$N1673=1)),$M$2:$M1673),""))</f>
        <v/>
      </c>
    </row>
    <row r="1675">
      <c r="A1675" t="n">
        <v>1674</v>
      </c>
      <c r="B1675">
        <f>Schedule!$A$242</f>
        <v/>
      </c>
      <c r="C1675">
        <f>Schedule!$D$242</f>
        <v/>
      </c>
      <c r="D1675">
        <f>Schedule!$F$242</f>
        <v/>
      </c>
      <c r="E1675" t="n">
        <v>0</v>
      </c>
      <c r="F1675">
        <f>Schedule!$G$1</f>
        <v/>
      </c>
      <c r="G1675">
        <f>Schedule!$G$2</f>
        <v/>
      </c>
      <c r="H1675">
        <f>Schedule!$G$242</f>
        <v/>
      </c>
      <c r="I1675">
        <f>IF($N1675=1,VALUE(LEFT($H1675,2)),"")</f>
        <v/>
      </c>
      <c r="J1675">
        <f>IF($N1675=1,VALUE(MID($H1675,9,2)),"")</f>
        <v/>
      </c>
      <c r="K1675">
        <f>IF($N1675=1,MOD($J1675-$I1675,24),0)</f>
        <v/>
      </c>
      <c r="L1675">
        <f>IF($N1675=1,$E1675*24+$I1675,"")</f>
        <v/>
      </c>
      <c r="M1675">
        <f>IF($N1675=1,$L1675+$K1675,"")</f>
        <v/>
      </c>
      <c r="N1675">
        <f>IF(ISNUMBER(SEARCH(" - ",$H1675&amp;"")),1,0)</f>
        <v/>
      </c>
      <c r="O1675">
        <f>IF(UPPER($H1675&amp;"")="LEAVE",1,0)</f>
        <v/>
      </c>
      <c r="P1675">
        <f>IF($N1675=1,$K1675,0)</f>
        <v/>
      </c>
      <c r="Q1675">
        <f>IF($N1675=0,"",IFERROR($L1675-'Previous Engine'!$M$241,""))</f>
        <v/>
      </c>
    </row>
    <row r="1676">
      <c r="A1676" t="n">
        <v>1675</v>
      </c>
      <c r="B1676">
        <f>Schedule!$A$242</f>
        <v/>
      </c>
      <c r="C1676">
        <f>Schedule!$D$242</f>
        <v/>
      </c>
      <c r="D1676">
        <f>Schedule!$F$242</f>
        <v/>
      </c>
      <c r="E1676" t="n">
        <v>1</v>
      </c>
      <c r="F1676">
        <f>Schedule!$H$1</f>
        <v/>
      </c>
      <c r="G1676">
        <f>Schedule!$H$2</f>
        <v/>
      </c>
      <c r="H1676">
        <f>Schedule!$H$242</f>
        <v/>
      </c>
      <c r="I1676">
        <f>IF($N1676=1,VALUE(LEFT($H1676,2)),"")</f>
        <v/>
      </c>
      <c r="J1676">
        <f>IF($N1676=1,VALUE(MID($H1676,9,2)),"")</f>
        <v/>
      </c>
      <c r="K1676">
        <f>IF($N1676=1,MOD($J1676-$I1676,24),0)</f>
        <v/>
      </c>
      <c r="L1676">
        <f>IF($N1676=1,$E1676*24+$I1676,"")</f>
        <v/>
      </c>
      <c r="M1676">
        <f>IF($N1676=1,$L1676+$K1676,"")</f>
        <v/>
      </c>
      <c r="N1676">
        <f>IF(ISNUMBER(SEARCH(" - ",$H1676&amp;"")),1,0)</f>
        <v/>
      </c>
      <c r="O1676">
        <f>IF(UPPER($H1676&amp;"")="LEAVE",1,0)</f>
        <v/>
      </c>
      <c r="P1676">
        <f>IF($N1676=1,$K1676,0)</f>
        <v/>
      </c>
      <c r="Q1676">
        <f>IF($N1676=0,"",IFERROR($L1676-LOOKUP(2,1/(($B$2:$B1675=$B1676)*($N$2:$N1675=1)),$M$2:$M1675),""))</f>
        <v/>
      </c>
    </row>
    <row r="1677">
      <c r="A1677" t="n">
        <v>1676</v>
      </c>
      <c r="B1677">
        <f>Schedule!$A$242</f>
        <v/>
      </c>
      <c r="C1677">
        <f>Schedule!$D$242</f>
        <v/>
      </c>
      <c r="D1677">
        <f>Schedule!$F$242</f>
        <v/>
      </c>
      <c r="E1677" t="n">
        <v>2</v>
      </c>
      <c r="F1677">
        <f>Schedule!$I$1</f>
        <v/>
      </c>
      <c r="G1677">
        <f>Schedule!$I$2</f>
        <v/>
      </c>
      <c r="H1677">
        <f>Schedule!$I$242</f>
        <v/>
      </c>
      <c r="I1677">
        <f>IF($N1677=1,VALUE(LEFT($H1677,2)),"")</f>
        <v/>
      </c>
      <c r="J1677">
        <f>IF($N1677=1,VALUE(MID($H1677,9,2)),"")</f>
        <v/>
      </c>
      <c r="K1677">
        <f>IF($N1677=1,MOD($J1677-$I1677,24),0)</f>
        <v/>
      </c>
      <c r="L1677">
        <f>IF($N1677=1,$E1677*24+$I1677,"")</f>
        <v/>
      </c>
      <c r="M1677">
        <f>IF($N1677=1,$L1677+$K1677,"")</f>
        <v/>
      </c>
      <c r="N1677">
        <f>IF(ISNUMBER(SEARCH(" - ",$H1677&amp;"")),1,0)</f>
        <v/>
      </c>
      <c r="O1677">
        <f>IF(UPPER($H1677&amp;"")="LEAVE",1,0)</f>
        <v/>
      </c>
      <c r="P1677">
        <f>IF($N1677=1,$K1677,0)</f>
        <v/>
      </c>
      <c r="Q1677">
        <f>IF($N1677=0,"",IFERROR($L1677-LOOKUP(2,1/(($B$2:$B1676=$B1677)*($N$2:$N1676=1)),$M$2:$M1676),""))</f>
        <v/>
      </c>
    </row>
    <row r="1678">
      <c r="A1678" t="n">
        <v>1677</v>
      </c>
      <c r="B1678">
        <f>Schedule!$A$242</f>
        <v/>
      </c>
      <c r="C1678">
        <f>Schedule!$D$242</f>
        <v/>
      </c>
      <c r="D1678">
        <f>Schedule!$F$242</f>
        <v/>
      </c>
      <c r="E1678" t="n">
        <v>3</v>
      </c>
      <c r="F1678">
        <f>Schedule!$J$1</f>
        <v/>
      </c>
      <c r="G1678">
        <f>Schedule!$J$2</f>
        <v/>
      </c>
      <c r="H1678">
        <f>Schedule!$J$242</f>
        <v/>
      </c>
      <c r="I1678">
        <f>IF($N1678=1,VALUE(LEFT($H1678,2)),"")</f>
        <v/>
      </c>
      <c r="J1678">
        <f>IF($N1678=1,VALUE(MID($H1678,9,2)),"")</f>
        <v/>
      </c>
      <c r="K1678">
        <f>IF($N1678=1,MOD($J1678-$I1678,24),0)</f>
        <v/>
      </c>
      <c r="L1678">
        <f>IF($N1678=1,$E1678*24+$I1678,"")</f>
        <v/>
      </c>
      <c r="M1678">
        <f>IF($N1678=1,$L1678+$K1678,"")</f>
        <v/>
      </c>
      <c r="N1678">
        <f>IF(ISNUMBER(SEARCH(" - ",$H1678&amp;"")),1,0)</f>
        <v/>
      </c>
      <c r="O1678">
        <f>IF(UPPER($H1678&amp;"")="LEAVE",1,0)</f>
        <v/>
      </c>
      <c r="P1678">
        <f>IF($N1678=1,$K1678,0)</f>
        <v/>
      </c>
      <c r="Q1678">
        <f>IF($N1678=0,"",IFERROR($L1678-LOOKUP(2,1/(($B$2:$B1677=$B1678)*($N$2:$N1677=1)),$M$2:$M1677),""))</f>
        <v/>
      </c>
    </row>
    <row r="1679">
      <c r="A1679" t="n">
        <v>1678</v>
      </c>
      <c r="B1679">
        <f>Schedule!$A$242</f>
        <v/>
      </c>
      <c r="C1679">
        <f>Schedule!$D$242</f>
        <v/>
      </c>
      <c r="D1679">
        <f>Schedule!$F$242</f>
        <v/>
      </c>
      <c r="E1679" t="n">
        <v>4</v>
      </c>
      <c r="F1679">
        <f>Schedule!$K$1</f>
        <v/>
      </c>
      <c r="G1679">
        <f>Schedule!$K$2</f>
        <v/>
      </c>
      <c r="H1679">
        <f>Schedule!$K$242</f>
        <v/>
      </c>
      <c r="I1679">
        <f>IF($N1679=1,VALUE(LEFT($H1679,2)),"")</f>
        <v/>
      </c>
      <c r="J1679">
        <f>IF($N1679=1,VALUE(MID($H1679,9,2)),"")</f>
        <v/>
      </c>
      <c r="K1679">
        <f>IF($N1679=1,MOD($J1679-$I1679,24),0)</f>
        <v/>
      </c>
      <c r="L1679">
        <f>IF($N1679=1,$E1679*24+$I1679,"")</f>
        <v/>
      </c>
      <c r="M1679">
        <f>IF($N1679=1,$L1679+$K1679,"")</f>
        <v/>
      </c>
      <c r="N1679">
        <f>IF(ISNUMBER(SEARCH(" - ",$H1679&amp;"")),1,0)</f>
        <v/>
      </c>
      <c r="O1679">
        <f>IF(UPPER($H1679&amp;"")="LEAVE",1,0)</f>
        <v/>
      </c>
      <c r="P1679">
        <f>IF($N1679=1,$K1679,0)</f>
        <v/>
      </c>
      <c r="Q1679">
        <f>IF($N1679=0,"",IFERROR($L1679-LOOKUP(2,1/(($B$2:$B1678=$B1679)*($N$2:$N1678=1)),$M$2:$M1678),""))</f>
        <v/>
      </c>
    </row>
    <row r="1680">
      <c r="A1680" t="n">
        <v>1679</v>
      </c>
      <c r="B1680">
        <f>Schedule!$A$242</f>
        <v/>
      </c>
      <c r="C1680">
        <f>Schedule!$D$242</f>
        <v/>
      </c>
      <c r="D1680">
        <f>Schedule!$F$242</f>
        <v/>
      </c>
      <c r="E1680" t="n">
        <v>5</v>
      </c>
      <c r="F1680">
        <f>Schedule!$L$1</f>
        <v/>
      </c>
      <c r="G1680">
        <f>Schedule!$L$2</f>
        <v/>
      </c>
      <c r="H1680">
        <f>Schedule!$L$242</f>
        <v/>
      </c>
      <c r="I1680">
        <f>IF($N1680=1,VALUE(LEFT($H1680,2)),"")</f>
        <v/>
      </c>
      <c r="J1680">
        <f>IF($N1680=1,VALUE(MID($H1680,9,2)),"")</f>
        <v/>
      </c>
      <c r="K1680">
        <f>IF($N1680=1,MOD($J1680-$I1680,24),0)</f>
        <v/>
      </c>
      <c r="L1680">
        <f>IF($N1680=1,$E1680*24+$I1680,"")</f>
        <v/>
      </c>
      <c r="M1680">
        <f>IF($N1680=1,$L1680+$K1680,"")</f>
        <v/>
      </c>
      <c r="N1680">
        <f>IF(ISNUMBER(SEARCH(" - ",$H1680&amp;"")),1,0)</f>
        <v/>
      </c>
      <c r="O1680">
        <f>IF(UPPER($H1680&amp;"")="LEAVE",1,0)</f>
        <v/>
      </c>
      <c r="P1680">
        <f>IF($N1680=1,$K1680,0)</f>
        <v/>
      </c>
      <c r="Q1680">
        <f>IF($N1680=0,"",IFERROR($L1680-LOOKUP(2,1/(($B$2:$B1679=$B1680)*($N$2:$N1679=1)),$M$2:$M1679),""))</f>
        <v/>
      </c>
    </row>
    <row r="1681">
      <c r="A1681" t="n">
        <v>1680</v>
      </c>
      <c r="B1681">
        <f>Schedule!$A$242</f>
        <v/>
      </c>
      <c r="C1681">
        <f>Schedule!$D$242</f>
        <v/>
      </c>
      <c r="D1681">
        <f>Schedule!$F$242</f>
        <v/>
      </c>
      <c r="E1681" t="n">
        <v>6</v>
      </c>
      <c r="F1681">
        <f>Schedule!$M$1</f>
        <v/>
      </c>
      <c r="G1681">
        <f>Schedule!$M$2</f>
        <v/>
      </c>
      <c r="H1681">
        <f>Schedule!$M$242</f>
        <v/>
      </c>
      <c r="I1681">
        <f>IF($N1681=1,VALUE(LEFT($H1681,2)),"")</f>
        <v/>
      </c>
      <c r="J1681">
        <f>IF($N1681=1,VALUE(MID($H1681,9,2)),"")</f>
        <v/>
      </c>
      <c r="K1681">
        <f>IF($N1681=1,MOD($J1681-$I1681,24),0)</f>
        <v/>
      </c>
      <c r="L1681">
        <f>IF($N1681=1,$E1681*24+$I1681,"")</f>
        <v/>
      </c>
      <c r="M1681">
        <f>IF($N1681=1,$L1681+$K1681,"")</f>
        <v/>
      </c>
      <c r="N1681">
        <f>IF(ISNUMBER(SEARCH(" - ",$H1681&amp;"")),1,0)</f>
        <v/>
      </c>
      <c r="O1681">
        <f>IF(UPPER($H1681&amp;"")="LEAVE",1,0)</f>
        <v/>
      </c>
      <c r="P1681">
        <f>IF($N1681=1,$K1681,0)</f>
        <v/>
      </c>
      <c r="Q1681">
        <f>IF($N1681=0,"",IFERROR($L1681-LOOKUP(2,1/(($B$2:$B1680=$B1681)*($N$2:$N1680=1)),$M$2:$M1680),""))</f>
        <v/>
      </c>
    </row>
    <row r="1682">
      <c r="A1682" t="n">
        <v>1681</v>
      </c>
      <c r="B1682">
        <f>Schedule!$A$243</f>
        <v/>
      </c>
      <c r="C1682">
        <f>Schedule!$D$243</f>
        <v/>
      </c>
      <c r="D1682">
        <f>Schedule!$F$243</f>
        <v/>
      </c>
      <c r="E1682" t="n">
        <v>0</v>
      </c>
      <c r="F1682">
        <f>Schedule!$G$1</f>
        <v/>
      </c>
      <c r="G1682">
        <f>Schedule!$G$2</f>
        <v/>
      </c>
      <c r="H1682">
        <f>Schedule!$G$243</f>
        <v/>
      </c>
      <c r="I1682">
        <f>IF($N1682=1,VALUE(LEFT($H1682,2)),"")</f>
        <v/>
      </c>
      <c r="J1682">
        <f>IF($N1682=1,VALUE(MID($H1682,9,2)),"")</f>
        <v/>
      </c>
      <c r="K1682">
        <f>IF($N1682=1,MOD($J1682-$I1682,24),0)</f>
        <v/>
      </c>
      <c r="L1682">
        <f>IF($N1682=1,$E1682*24+$I1682,"")</f>
        <v/>
      </c>
      <c r="M1682">
        <f>IF($N1682=1,$L1682+$K1682,"")</f>
        <v/>
      </c>
      <c r="N1682">
        <f>IF(ISNUMBER(SEARCH(" - ",$H1682&amp;"")),1,0)</f>
        <v/>
      </c>
      <c r="O1682">
        <f>IF(UPPER($H1682&amp;"")="LEAVE",1,0)</f>
        <v/>
      </c>
      <c r="P1682">
        <f>IF($N1682=1,$K1682,0)</f>
        <v/>
      </c>
      <c r="Q1682">
        <f>IF($N1682=0,"",IFERROR($L1682-'Previous Engine'!$M$242,""))</f>
        <v/>
      </c>
    </row>
    <row r="1683">
      <c r="A1683" t="n">
        <v>1682</v>
      </c>
      <c r="B1683">
        <f>Schedule!$A$243</f>
        <v/>
      </c>
      <c r="C1683">
        <f>Schedule!$D$243</f>
        <v/>
      </c>
      <c r="D1683">
        <f>Schedule!$F$243</f>
        <v/>
      </c>
      <c r="E1683" t="n">
        <v>1</v>
      </c>
      <c r="F1683">
        <f>Schedule!$H$1</f>
        <v/>
      </c>
      <c r="G1683">
        <f>Schedule!$H$2</f>
        <v/>
      </c>
      <c r="H1683">
        <f>Schedule!$H$243</f>
        <v/>
      </c>
      <c r="I1683">
        <f>IF($N1683=1,VALUE(LEFT($H1683,2)),"")</f>
        <v/>
      </c>
      <c r="J1683">
        <f>IF($N1683=1,VALUE(MID($H1683,9,2)),"")</f>
        <v/>
      </c>
      <c r="K1683">
        <f>IF($N1683=1,MOD($J1683-$I1683,24),0)</f>
        <v/>
      </c>
      <c r="L1683">
        <f>IF($N1683=1,$E1683*24+$I1683,"")</f>
        <v/>
      </c>
      <c r="M1683">
        <f>IF($N1683=1,$L1683+$K1683,"")</f>
        <v/>
      </c>
      <c r="N1683">
        <f>IF(ISNUMBER(SEARCH(" - ",$H1683&amp;"")),1,0)</f>
        <v/>
      </c>
      <c r="O1683">
        <f>IF(UPPER($H1683&amp;"")="LEAVE",1,0)</f>
        <v/>
      </c>
      <c r="P1683">
        <f>IF($N1683=1,$K1683,0)</f>
        <v/>
      </c>
      <c r="Q1683">
        <f>IF($N1683=0,"",IFERROR($L1683-LOOKUP(2,1/(($B$2:$B1682=$B1683)*($N$2:$N1682=1)),$M$2:$M1682),""))</f>
        <v/>
      </c>
    </row>
    <row r="1684">
      <c r="A1684" t="n">
        <v>1683</v>
      </c>
      <c r="B1684">
        <f>Schedule!$A$243</f>
        <v/>
      </c>
      <c r="C1684">
        <f>Schedule!$D$243</f>
        <v/>
      </c>
      <c r="D1684">
        <f>Schedule!$F$243</f>
        <v/>
      </c>
      <c r="E1684" t="n">
        <v>2</v>
      </c>
      <c r="F1684">
        <f>Schedule!$I$1</f>
        <v/>
      </c>
      <c r="G1684">
        <f>Schedule!$I$2</f>
        <v/>
      </c>
      <c r="H1684">
        <f>Schedule!$I$243</f>
        <v/>
      </c>
      <c r="I1684">
        <f>IF($N1684=1,VALUE(LEFT($H1684,2)),"")</f>
        <v/>
      </c>
      <c r="J1684">
        <f>IF($N1684=1,VALUE(MID($H1684,9,2)),"")</f>
        <v/>
      </c>
      <c r="K1684">
        <f>IF($N1684=1,MOD($J1684-$I1684,24),0)</f>
        <v/>
      </c>
      <c r="L1684">
        <f>IF($N1684=1,$E1684*24+$I1684,"")</f>
        <v/>
      </c>
      <c r="M1684">
        <f>IF($N1684=1,$L1684+$K1684,"")</f>
        <v/>
      </c>
      <c r="N1684">
        <f>IF(ISNUMBER(SEARCH(" - ",$H1684&amp;"")),1,0)</f>
        <v/>
      </c>
      <c r="O1684">
        <f>IF(UPPER($H1684&amp;"")="LEAVE",1,0)</f>
        <v/>
      </c>
      <c r="P1684">
        <f>IF($N1684=1,$K1684,0)</f>
        <v/>
      </c>
      <c r="Q1684">
        <f>IF($N1684=0,"",IFERROR($L1684-LOOKUP(2,1/(($B$2:$B1683=$B1684)*($N$2:$N1683=1)),$M$2:$M1683),""))</f>
        <v/>
      </c>
    </row>
    <row r="1685">
      <c r="A1685" t="n">
        <v>1684</v>
      </c>
      <c r="B1685">
        <f>Schedule!$A$243</f>
        <v/>
      </c>
      <c r="C1685">
        <f>Schedule!$D$243</f>
        <v/>
      </c>
      <c r="D1685">
        <f>Schedule!$F$243</f>
        <v/>
      </c>
      <c r="E1685" t="n">
        <v>3</v>
      </c>
      <c r="F1685">
        <f>Schedule!$J$1</f>
        <v/>
      </c>
      <c r="G1685">
        <f>Schedule!$J$2</f>
        <v/>
      </c>
      <c r="H1685">
        <f>Schedule!$J$243</f>
        <v/>
      </c>
      <c r="I1685">
        <f>IF($N1685=1,VALUE(LEFT($H1685,2)),"")</f>
        <v/>
      </c>
      <c r="J1685">
        <f>IF($N1685=1,VALUE(MID($H1685,9,2)),"")</f>
        <v/>
      </c>
      <c r="K1685">
        <f>IF($N1685=1,MOD($J1685-$I1685,24),0)</f>
        <v/>
      </c>
      <c r="L1685">
        <f>IF($N1685=1,$E1685*24+$I1685,"")</f>
        <v/>
      </c>
      <c r="M1685">
        <f>IF($N1685=1,$L1685+$K1685,"")</f>
        <v/>
      </c>
      <c r="N1685">
        <f>IF(ISNUMBER(SEARCH(" - ",$H1685&amp;"")),1,0)</f>
        <v/>
      </c>
      <c r="O1685">
        <f>IF(UPPER($H1685&amp;"")="LEAVE",1,0)</f>
        <v/>
      </c>
      <c r="P1685">
        <f>IF($N1685=1,$K1685,0)</f>
        <v/>
      </c>
      <c r="Q1685">
        <f>IF($N1685=0,"",IFERROR($L1685-LOOKUP(2,1/(($B$2:$B1684=$B1685)*($N$2:$N1684=1)),$M$2:$M1684),""))</f>
        <v/>
      </c>
    </row>
    <row r="1686">
      <c r="A1686" t="n">
        <v>1685</v>
      </c>
      <c r="B1686">
        <f>Schedule!$A$243</f>
        <v/>
      </c>
      <c r="C1686">
        <f>Schedule!$D$243</f>
        <v/>
      </c>
      <c r="D1686">
        <f>Schedule!$F$243</f>
        <v/>
      </c>
      <c r="E1686" t="n">
        <v>4</v>
      </c>
      <c r="F1686">
        <f>Schedule!$K$1</f>
        <v/>
      </c>
      <c r="G1686">
        <f>Schedule!$K$2</f>
        <v/>
      </c>
      <c r="H1686">
        <f>Schedule!$K$243</f>
        <v/>
      </c>
      <c r="I1686">
        <f>IF($N1686=1,VALUE(LEFT($H1686,2)),"")</f>
        <v/>
      </c>
      <c r="J1686">
        <f>IF($N1686=1,VALUE(MID($H1686,9,2)),"")</f>
        <v/>
      </c>
      <c r="K1686">
        <f>IF($N1686=1,MOD($J1686-$I1686,24),0)</f>
        <v/>
      </c>
      <c r="L1686">
        <f>IF($N1686=1,$E1686*24+$I1686,"")</f>
        <v/>
      </c>
      <c r="M1686">
        <f>IF($N1686=1,$L1686+$K1686,"")</f>
        <v/>
      </c>
      <c r="N1686">
        <f>IF(ISNUMBER(SEARCH(" - ",$H1686&amp;"")),1,0)</f>
        <v/>
      </c>
      <c r="O1686">
        <f>IF(UPPER($H1686&amp;"")="LEAVE",1,0)</f>
        <v/>
      </c>
      <c r="P1686">
        <f>IF($N1686=1,$K1686,0)</f>
        <v/>
      </c>
      <c r="Q1686">
        <f>IF($N1686=0,"",IFERROR($L1686-LOOKUP(2,1/(($B$2:$B1685=$B1686)*($N$2:$N1685=1)),$M$2:$M1685),""))</f>
        <v/>
      </c>
    </row>
    <row r="1687">
      <c r="A1687" t="n">
        <v>1686</v>
      </c>
      <c r="B1687">
        <f>Schedule!$A$243</f>
        <v/>
      </c>
      <c r="C1687">
        <f>Schedule!$D$243</f>
        <v/>
      </c>
      <c r="D1687">
        <f>Schedule!$F$243</f>
        <v/>
      </c>
      <c r="E1687" t="n">
        <v>5</v>
      </c>
      <c r="F1687">
        <f>Schedule!$L$1</f>
        <v/>
      </c>
      <c r="G1687">
        <f>Schedule!$L$2</f>
        <v/>
      </c>
      <c r="H1687">
        <f>Schedule!$L$243</f>
        <v/>
      </c>
      <c r="I1687">
        <f>IF($N1687=1,VALUE(LEFT($H1687,2)),"")</f>
        <v/>
      </c>
      <c r="J1687">
        <f>IF($N1687=1,VALUE(MID($H1687,9,2)),"")</f>
        <v/>
      </c>
      <c r="K1687">
        <f>IF($N1687=1,MOD($J1687-$I1687,24),0)</f>
        <v/>
      </c>
      <c r="L1687">
        <f>IF($N1687=1,$E1687*24+$I1687,"")</f>
        <v/>
      </c>
      <c r="M1687">
        <f>IF($N1687=1,$L1687+$K1687,"")</f>
        <v/>
      </c>
      <c r="N1687">
        <f>IF(ISNUMBER(SEARCH(" - ",$H1687&amp;"")),1,0)</f>
        <v/>
      </c>
      <c r="O1687">
        <f>IF(UPPER($H1687&amp;"")="LEAVE",1,0)</f>
        <v/>
      </c>
      <c r="P1687">
        <f>IF($N1687=1,$K1687,0)</f>
        <v/>
      </c>
      <c r="Q1687">
        <f>IF($N1687=0,"",IFERROR($L1687-LOOKUP(2,1/(($B$2:$B1686=$B1687)*($N$2:$N1686=1)),$M$2:$M1686),""))</f>
        <v/>
      </c>
    </row>
    <row r="1688">
      <c r="A1688" t="n">
        <v>1687</v>
      </c>
      <c r="B1688">
        <f>Schedule!$A$243</f>
        <v/>
      </c>
      <c r="C1688">
        <f>Schedule!$D$243</f>
        <v/>
      </c>
      <c r="D1688">
        <f>Schedule!$F$243</f>
        <v/>
      </c>
      <c r="E1688" t="n">
        <v>6</v>
      </c>
      <c r="F1688">
        <f>Schedule!$M$1</f>
        <v/>
      </c>
      <c r="G1688">
        <f>Schedule!$M$2</f>
        <v/>
      </c>
      <c r="H1688">
        <f>Schedule!$M$243</f>
        <v/>
      </c>
      <c r="I1688">
        <f>IF($N1688=1,VALUE(LEFT($H1688,2)),"")</f>
        <v/>
      </c>
      <c r="J1688">
        <f>IF($N1688=1,VALUE(MID($H1688,9,2)),"")</f>
        <v/>
      </c>
      <c r="K1688">
        <f>IF($N1688=1,MOD($J1688-$I1688,24),0)</f>
        <v/>
      </c>
      <c r="L1688">
        <f>IF($N1688=1,$E1688*24+$I1688,"")</f>
        <v/>
      </c>
      <c r="M1688">
        <f>IF($N1688=1,$L1688+$K1688,"")</f>
        <v/>
      </c>
      <c r="N1688">
        <f>IF(ISNUMBER(SEARCH(" - ",$H1688&amp;"")),1,0)</f>
        <v/>
      </c>
      <c r="O1688">
        <f>IF(UPPER($H1688&amp;"")="LEAVE",1,0)</f>
        <v/>
      </c>
      <c r="P1688">
        <f>IF($N1688=1,$K1688,0)</f>
        <v/>
      </c>
      <c r="Q1688">
        <f>IF($N1688=0,"",IFERROR($L1688-LOOKUP(2,1/(($B$2:$B1687=$B1688)*($N$2:$N1687=1)),$M$2:$M1687),""))</f>
        <v/>
      </c>
    </row>
    <row r="1689">
      <c r="A1689" t="n">
        <v>1688</v>
      </c>
      <c r="B1689">
        <f>Schedule!$A$244</f>
        <v/>
      </c>
      <c r="C1689">
        <f>Schedule!$D$244</f>
        <v/>
      </c>
      <c r="D1689">
        <f>Schedule!$F$244</f>
        <v/>
      </c>
      <c r="E1689" t="n">
        <v>0</v>
      </c>
      <c r="F1689">
        <f>Schedule!$G$1</f>
        <v/>
      </c>
      <c r="G1689">
        <f>Schedule!$G$2</f>
        <v/>
      </c>
      <c r="H1689">
        <f>Schedule!$G$244</f>
        <v/>
      </c>
      <c r="I1689">
        <f>IF($N1689=1,VALUE(LEFT($H1689,2)),"")</f>
        <v/>
      </c>
      <c r="J1689">
        <f>IF($N1689=1,VALUE(MID($H1689,9,2)),"")</f>
        <v/>
      </c>
      <c r="K1689">
        <f>IF($N1689=1,MOD($J1689-$I1689,24),0)</f>
        <v/>
      </c>
      <c r="L1689">
        <f>IF($N1689=1,$E1689*24+$I1689,"")</f>
        <v/>
      </c>
      <c r="M1689">
        <f>IF($N1689=1,$L1689+$K1689,"")</f>
        <v/>
      </c>
      <c r="N1689">
        <f>IF(ISNUMBER(SEARCH(" - ",$H1689&amp;"")),1,0)</f>
        <v/>
      </c>
      <c r="O1689">
        <f>IF(UPPER($H1689&amp;"")="LEAVE",1,0)</f>
        <v/>
      </c>
      <c r="P1689">
        <f>IF($N1689=1,$K1689,0)</f>
        <v/>
      </c>
      <c r="Q1689">
        <f>IF($N1689=0,"",IFERROR($L1689-'Previous Engine'!$M$243,""))</f>
        <v/>
      </c>
    </row>
    <row r="1690">
      <c r="A1690" t="n">
        <v>1689</v>
      </c>
      <c r="B1690">
        <f>Schedule!$A$244</f>
        <v/>
      </c>
      <c r="C1690">
        <f>Schedule!$D$244</f>
        <v/>
      </c>
      <c r="D1690">
        <f>Schedule!$F$244</f>
        <v/>
      </c>
      <c r="E1690" t="n">
        <v>1</v>
      </c>
      <c r="F1690">
        <f>Schedule!$H$1</f>
        <v/>
      </c>
      <c r="G1690">
        <f>Schedule!$H$2</f>
        <v/>
      </c>
      <c r="H1690">
        <f>Schedule!$H$244</f>
        <v/>
      </c>
      <c r="I1690">
        <f>IF($N1690=1,VALUE(LEFT($H1690,2)),"")</f>
        <v/>
      </c>
      <c r="J1690">
        <f>IF($N1690=1,VALUE(MID($H1690,9,2)),"")</f>
        <v/>
      </c>
      <c r="K1690">
        <f>IF($N1690=1,MOD($J1690-$I1690,24),0)</f>
        <v/>
      </c>
      <c r="L1690">
        <f>IF($N1690=1,$E1690*24+$I1690,"")</f>
        <v/>
      </c>
      <c r="M1690">
        <f>IF($N1690=1,$L1690+$K1690,"")</f>
        <v/>
      </c>
      <c r="N1690">
        <f>IF(ISNUMBER(SEARCH(" - ",$H1690&amp;"")),1,0)</f>
        <v/>
      </c>
      <c r="O1690">
        <f>IF(UPPER($H1690&amp;"")="LEAVE",1,0)</f>
        <v/>
      </c>
      <c r="P1690">
        <f>IF($N1690=1,$K1690,0)</f>
        <v/>
      </c>
      <c r="Q1690">
        <f>IF($N1690=0,"",IFERROR($L1690-LOOKUP(2,1/(($B$2:$B1689=$B1690)*($N$2:$N1689=1)),$M$2:$M1689),""))</f>
        <v/>
      </c>
    </row>
    <row r="1691">
      <c r="A1691" t="n">
        <v>1690</v>
      </c>
      <c r="B1691">
        <f>Schedule!$A$244</f>
        <v/>
      </c>
      <c r="C1691">
        <f>Schedule!$D$244</f>
        <v/>
      </c>
      <c r="D1691">
        <f>Schedule!$F$244</f>
        <v/>
      </c>
      <c r="E1691" t="n">
        <v>2</v>
      </c>
      <c r="F1691">
        <f>Schedule!$I$1</f>
        <v/>
      </c>
      <c r="G1691">
        <f>Schedule!$I$2</f>
        <v/>
      </c>
      <c r="H1691">
        <f>Schedule!$I$244</f>
        <v/>
      </c>
      <c r="I1691">
        <f>IF($N1691=1,VALUE(LEFT($H1691,2)),"")</f>
        <v/>
      </c>
      <c r="J1691">
        <f>IF($N1691=1,VALUE(MID($H1691,9,2)),"")</f>
        <v/>
      </c>
      <c r="K1691">
        <f>IF($N1691=1,MOD($J1691-$I1691,24),0)</f>
        <v/>
      </c>
      <c r="L1691">
        <f>IF($N1691=1,$E1691*24+$I1691,"")</f>
        <v/>
      </c>
      <c r="M1691">
        <f>IF($N1691=1,$L1691+$K1691,"")</f>
        <v/>
      </c>
      <c r="N1691">
        <f>IF(ISNUMBER(SEARCH(" - ",$H1691&amp;"")),1,0)</f>
        <v/>
      </c>
      <c r="O1691">
        <f>IF(UPPER($H1691&amp;"")="LEAVE",1,0)</f>
        <v/>
      </c>
      <c r="P1691">
        <f>IF($N1691=1,$K1691,0)</f>
        <v/>
      </c>
      <c r="Q1691">
        <f>IF($N1691=0,"",IFERROR($L1691-LOOKUP(2,1/(($B$2:$B1690=$B1691)*($N$2:$N1690=1)),$M$2:$M1690),""))</f>
        <v/>
      </c>
    </row>
    <row r="1692">
      <c r="A1692" t="n">
        <v>1691</v>
      </c>
      <c r="B1692">
        <f>Schedule!$A$244</f>
        <v/>
      </c>
      <c r="C1692">
        <f>Schedule!$D$244</f>
        <v/>
      </c>
      <c r="D1692">
        <f>Schedule!$F$244</f>
        <v/>
      </c>
      <c r="E1692" t="n">
        <v>3</v>
      </c>
      <c r="F1692">
        <f>Schedule!$J$1</f>
        <v/>
      </c>
      <c r="G1692">
        <f>Schedule!$J$2</f>
        <v/>
      </c>
      <c r="H1692">
        <f>Schedule!$J$244</f>
        <v/>
      </c>
      <c r="I1692">
        <f>IF($N1692=1,VALUE(LEFT($H1692,2)),"")</f>
        <v/>
      </c>
      <c r="J1692">
        <f>IF($N1692=1,VALUE(MID($H1692,9,2)),"")</f>
        <v/>
      </c>
      <c r="K1692">
        <f>IF($N1692=1,MOD($J1692-$I1692,24),0)</f>
        <v/>
      </c>
      <c r="L1692">
        <f>IF($N1692=1,$E1692*24+$I1692,"")</f>
        <v/>
      </c>
      <c r="M1692">
        <f>IF($N1692=1,$L1692+$K1692,"")</f>
        <v/>
      </c>
      <c r="N1692">
        <f>IF(ISNUMBER(SEARCH(" - ",$H1692&amp;"")),1,0)</f>
        <v/>
      </c>
      <c r="O1692">
        <f>IF(UPPER($H1692&amp;"")="LEAVE",1,0)</f>
        <v/>
      </c>
      <c r="P1692">
        <f>IF($N1692=1,$K1692,0)</f>
        <v/>
      </c>
      <c r="Q1692">
        <f>IF($N1692=0,"",IFERROR($L1692-LOOKUP(2,1/(($B$2:$B1691=$B1692)*($N$2:$N1691=1)),$M$2:$M1691),""))</f>
        <v/>
      </c>
    </row>
    <row r="1693">
      <c r="A1693" t="n">
        <v>1692</v>
      </c>
      <c r="B1693">
        <f>Schedule!$A$244</f>
        <v/>
      </c>
      <c r="C1693">
        <f>Schedule!$D$244</f>
        <v/>
      </c>
      <c r="D1693">
        <f>Schedule!$F$244</f>
        <v/>
      </c>
      <c r="E1693" t="n">
        <v>4</v>
      </c>
      <c r="F1693">
        <f>Schedule!$K$1</f>
        <v/>
      </c>
      <c r="G1693">
        <f>Schedule!$K$2</f>
        <v/>
      </c>
      <c r="H1693">
        <f>Schedule!$K$244</f>
        <v/>
      </c>
      <c r="I1693">
        <f>IF($N1693=1,VALUE(LEFT($H1693,2)),"")</f>
        <v/>
      </c>
      <c r="J1693">
        <f>IF($N1693=1,VALUE(MID($H1693,9,2)),"")</f>
        <v/>
      </c>
      <c r="K1693">
        <f>IF($N1693=1,MOD($J1693-$I1693,24),0)</f>
        <v/>
      </c>
      <c r="L1693">
        <f>IF($N1693=1,$E1693*24+$I1693,"")</f>
        <v/>
      </c>
      <c r="M1693">
        <f>IF($N1693=1,$L1693+$K1693,"")</f>
        <v/>
      </c>
      <c r="N1693">
        <f>IF(ISNUMBER(SEARCH(" - ",$H1693&amp;"")),1,0)</f>
        <v/>
      </c>
      <c r="O1693">
        <f>IF(UPPER($H1693&amp;"")="LEAVE",1,0)</f>
        <v/>
      </c>
      <c r="P1693">
        <f>IF($N1693=1,$K1693,0)</f>
        <v/>
      </c>
      <c r="Q1693">
        <f>IF($N1693=0,"",IFERROR($L1693-LOOKUP(2,1/(($B$2:$B1692=$B1693)*($N$2:$N1692=1)),$M$2:$M1692),""))</f>
        <v/>
      </c>
    </row>
    <row r="1694">
      <c r="A1694" t="n">
        <v>1693</v>
      </c>
      <c r="B1694">
        <f>Schedule!$A$244</f>
        <v/>
      </c>
      <c r="C1694">
        <f>Schedule!$D$244</f>
        <v/>
      </c>
      <c r="D1694">
        <f>Schedule!$F$244</f>
        <v/>
      </c>
      <c r="E1694" t="n">
        <v>5</v>
      </c>
      <c r="F1694">
        <f>Schedule!$L$1</f>
        <v/>
      </c>
      <c r="G1694">
        <f>Schedule!$L$2</f>
        <v/>
      </c>
      <c r="H1694">
        <f>Schedule!$L$244</f>
        <v/>
      </c>
      <c r="I1694">
        <f>IF($N1694=1,VALUE(LEFT($H1694,2)),"")</f>
        <v/>
      </c>
      <c r="J1694">
        <f>IF($N1694=1,VALUE(MID($H1694,9,2)),"")</f>
        <v/>
      </c>
      <c r="K1694">
        <f>IF($N1694=1,MOD($J1694-$I1694,24),0)</f>
        <v/>
      </c>
      <c r="L1694">
        <f>IF($N1694=1,$E1694*24+$I1694,"")</f>
        <v/>
      </c>
      <c r="M1694">
        <f>IF($N1694=1,$L1694+$K1694,"")</f>
        <v/>
      </c>
      <c r="N1694">
        <f>IF(ISNUMBER(SEARCH(" - ",$H1694&amp;"")),1,0)</f>
        <v/>
      </c>
      <c r="O1694">
        <f>IF(UPPER($H1694&amp;"")="LEAVE",1,0)</f>
        <v/>
      </c>
      <c r="P1694">
        <f>IF($N1694=1,$K1694,0)</f>
        <v/>
      </c>
      <c r="Q1694">
        <f>IF($N1694=0,"",IFERROR($L1694-LOOKUP(2,1/(($B$2:$B1693=$B1694)*($N$2:$N1693=1)),$M$2:$M1693),""))</f>
        <v/>
      </c>
    </row>
    <row r="1695">
      <c r="A1695" t="n">
        <v>1694</v>
      </c>
      <c r="B1695">
        <f>Schedule!$A$244</f>
        <v/>
      </c>
      <c r="C1695">
        <f>Schedule!$D$244</f>
        <v/>
      </c>
      <c r="D1695">
        <f>Schedule!$F$244</f>
        <v/>
      </c>
      <c r="E1695" t="n">
        <v>6</v>
      </c>
      <c r="F1695">
        <f>Schedule!$M$1</f>
        <v/>
      </c>
      <c r="G1695">
        <f>Schedule!$M$2</f>
        <v/>
      </c>
      <c r="H1695">
        <f>Schedule!$M$244</f>
        <v/>
      </c>
      <c r="I1695">
        <f>IF($N1695=1,VALUE(LEFT($H1695,2)),"")</f>
        <v/>
      </c>
      <c r="J1695">
        <f>IF($N1695=1,VALUE(MID($H1695,9,2)),"")</f>
        <v/>
      </c>
      <c r="K1695">
        <f>IF($N1695=1,MOD($J1695-$I1695,24),0)</f>
        <v/>
      </c>
      <c r="L1695">
        <f>IF($N1695=1,$E1695*24+$I1695,"")</f>
        <v/>
      </c>
      <c r="M1695">
        <f>IF($N1695=1,$L1695+$K1695,"")</f>
        <v/>
      </c>
      <c r="N1695">
        <f>IF(ISNUMBER(SEARCH(" - ",$H1695&amp;"")),1,0)</f>
        <v/>
      </c>
      <c r="O1695">
        <f>IF(UPPER($H1695&amp;"")="LEAVE",1,0)</f>
        <v/>
      </c>
      <c r="P1695">
        <f>IF($N1695=1,$K1695,0)</f>
        <v/>
      </c>
      <c r="Q1695">
        <f>IF($N1695=0,"",IFERROR($L1695-LOOKUP(2,1/(($B$2:$B1694=$B1695)*($N$2:$N1694=1)),$M$2:$M1694),""))</f>
        <v/>
      </c>
    </row>
    <row r="1696">
      <c r="A1696" t="n">
        <v>1695</v>
      </c>
      <c r="B1696">
        <f>Schedule!$A$245</f>
        <v/>
      </c>
      <c r="C1696">
        <f>Schedule!$D$245</f>
        <v/>
      </c>
      <c r="D1696">
        <f>Schedule!$F$245</f>
        <v/>
      </c>
      <c r="E1696" t="n">
        <v>0</v>
      </c>
      <c r="F1696">
        <f>Schedule!$G$1</f>
        <v/>
      </c>
      <c r="G1696">
        <f>Schedule!$G$2</f>
        <v/>
      </c>
      <c r="H1696">
        <f>Schedule!$G$245</f>
        <v/>
      </c>
      <c r="I1696">
        <f>IF($N1696=1,VALUE(LEFT($H1696,2)),"")</f>
        <v/>
      </c>
      <c r="J1696">
        <f>IF($N1696=1,VALUE(MID($H1696,9,2)),"")</f>
        <v/>
      </c>
      <c r="K1696">
        <f>IF($N1696=1,MOD($J1696-$I1696,24),0)</f>
        <v/>
      </c>
      <c r="L1696">
        <f>IF($N1696=1,$E1696*24+$I1696,"")</f>
        <v/>
      </c>
      <c r="M1696">
        <f>IF($N1696=1,$L1696+$K1696,"")</f>
        <v/>
      </c>
      <c r="N1696">
        <f>IF(ISNUMBER(SEARCH(" - ",$H1696&amp;"")),1,0)</f>
        <v/>
      </c>
      <c r="O1696">
        <f>IF(UPPER($H1696&amp;"")="LEAVE",1,0)</f>
        <v/>
      </c>
      <c r="P1696">
        <f>IF($N1696=1,$K1696,0)</f>
        <v/>
      </c>
      <c r="Q1696">
        <f>IF($N1696=0,"",IFERROR($L1696-'Previous Engine'!$M$244,""))</f>
        <v/>
      </c>
    </row>
    <row r="1697">
      <c r="A1697" t="n">
        <v>1696</v>
      </c>
      <c r="B1697">
        <f>Schedule!$A$245</f>
        <v/>
      </c>
      <c r="C1697">
        <f>Schedule!$D$245</f>
        <v/>
      </c>
      <c r="D1697">
        <f>Schedule!$F$245</f>
        <v/>
      </c>
      <c r="E1697" t="n">
        <v>1</v>
      </c>
      <c r="F1697">
        <f>Schedule!$H$1</f>
        <v/>
      </c>
      <c r="G1697">
        <f>Schedule!$H$2</f>
        <v/>
      </c>
      <c r="H1697">
        <f>Schedule!$H$245</f>
        <v/>
      </c>
      <c r="I1697">
        <f>IF($N1697=1,VALUE(LEFT($H1697,2)),"")</f>
        <v/>
      </c>
      <c r="J1697">
        <f>IF($N1697=1,VALUE(MID($H1697,9,2)),"")</f>
        <v/>
      </c>
      <c r="K1697">
        <f>IF($N1697=1,MOD($J1697-$I1697,24),0)</f>
        <v/>
      </c>
      <c r="L1697">
        <f>IF($N1697=1,$E1697*24+$I1697,"")</f>
        <v/>
      </c>
      <c r="M1697">
        <f>IF($N1697=1,$L1697+$K1697,"")</f>
        <v/>
      </c>
      <c r="N1697">
        <f>IF(ISNUMBER(SEARCH(" - ",$H1697&amp;"")),1,0)</f>
        <v/>
      </c>
      <c r="O1697">
        <f>IF(UPPER($H1697&amp;"")="LEAVE",1,0)</f>
        <v/>
      </c>
      <c r="P1697">
        <f>IF($N1697=1,$K1697,0)</f>
        <v/>
      </c>
      <c r="Q1697">
        <f>IF($N1697=0,"",IFERROR($L1697-LOOKUP(2,1/(($B$2:$B1696=$B1697)*($N$2:$N1696=1)),$M$2:$M1696),""))</f>
        <v/>
      </c>
    </row>
    <row r="1698">
      <c r="A1698" t="n">
        <v>1697</v>
      </c>
      <c r="B1698">
        <f>Schedule!$A$245</f>
        <v/>
      </c>
      <c r="C1698">
        <f>Schedule!$D$245</f>
        <v/>
      </c>
      <c r="D1698">
        <f>Schedule!$F$245</f>
        <v/>
      </c>
      <c r="E1698" t="n">
        <v>2</v>
      </c>
      <c r="F1698">
        <f>Schedule!$I$1</f>
        <v/>
      </c>
      <c r="G1698">
        <f>Schedule!$I$2</f>
        <v/>
      </c>
      <c r="H1698">
        <f>Schedule!$I$245</f>
        <v/>
      </c>
      <c r="I1698">
        <f>IF($N1698=1,VALUE(LEFT($H1698,2)),"")</f>
        <v/>
      </c>
      <c r="J1698">
        <f>IF($N1698=1,VALUE(MID($H1698,9,2)),"")</f>
        <v/>
      </c>
      <c r="K1698">
        <f>IF($N1698=1,MOD($J1698-$I1698,24),0)</f>
        <v/>
      </c>
      <c r="L1698">
        <f>IF($N1698=1,$E1698*24+$I1698,"")</f>
        <v/>
      </c>
      <c r="M1698">
        <f>IF($N1698=1,$L1698+$K1698,"")</f>
        <v/>
      </c>
      <c r="N1698">
        <f>IF(ISNUMBER(SEARCH(" - ",$H1698&amp;"")),1,0)</f>
        <v/>
      </c>
      <c r="O1698">
        <f>IF(UPPER($H1698&amp;"")="LEAVE",1,0)</f>
        <v/>
      </c>
      <c r="P1698">
        <f>IF($N1698=1,$K1698,0)</f>
        <v/>
      </c>
      <c r="Q1698">
        <f>IF($N1698=0,"",IFERROR($L1698-LOOKUP(2,1/(($B$2:$B1697=$B1698)*($N$2:$N1697=1)),$M$2:$M1697),""))</f>
        <v/>
      </c>
    </row>
    <row r="1699">
      <c r="A1699" t="n">
        <v>1698</v>
      </c>
      <c r="B1699">
        <f>Schedule!$A$245</f>
        <v/>
      </c>
      <c r="C1699">
        <f>Schedule!$D$245</f>
        <v/>
      </c>
      <c r="D1699">
        <f>Schedule!$F$245</f>
        <v/>
      </c>
      <c r="E1699" t="n">
        <v>3</v>
      </c>
      <c r="F1699">
        <f>Schedule!$J$1</f>
        <v/>
      </c>
      <c r="G1699">
        <f>Schedule!$J$2</f>
        <v/>
      </c>
      <c r="H1699">
        <f>Schedule!$J$245</f>
        <v/>
      </c>
      <c r="I1699">
        <f>IF($N1699=1,VALUE(LEFT($H1699,2)),"")</f>
        <v/>
      </c>
      <c r="J1699">
        <f>IF($N1699=1,VALUE(MID($H1699,9,2)),"")</f>
        <v/>
      </c>
      <c r="K1699">
        <f>IF($N1699=1,MOD($J1699-$I1699,24),0)</f>
        <v/>
      </c>
      <c r="L1699">
        <f>IF($N1699=1,$E1699*24+$I1699,"")</f>
        <v/>
      </c>
      <c r="M1699">
        <f>IF($N1699=1,$L1699+$K1699,"")</f>
        <v/>
      </c>
      <c r="N1699">
        <f>IF(ISNUMBER(SEARCH(" - ",$H1699&amp;"")),1,0)</f>
        <v/>
      </c>
      <c r="O1699">
        <f>IF(UPPER($H1699&amp;"")="LEAVE",1,0)</f>
        <v/>
      </c>
      <c r="P1699">
        <f>IF($N1699=1,$K1699,0)</f>
        <v/>
      </c>
      <c r="Q1699">
        <f>IF($N1699=0,"",IFERROR($L1699-LOOKUP(2,1/(($B$2:$B1698=$B1699)*($N$2:$N1698=1)),$M$2:$M1698),""))</f>
        <v/>
      </c>
    </row>
    <row r="1700">
      <c r="A1700" t="n">
        <v>1699</v>
      </c>
      <c r="B1700">
        <f>Schedule!$A$245</f>
        <v/>
      </c>
      <c r="C1700">
        <f>Schedule!$D$245</f>
        <v/>
      </c>
      <c r="D1700">
        <f>Schedule!$F$245</f>
        <v/>
      </c>
      <c r="E1700" t="n">
        <v>4</v>
      </c>
      <c r="F1700">
        <f>Schedule!$K$1</f>
        <v/>
      </c>
      <c r="G1700">
        <f>Schedule!$K$2</f>
        <v/>
      </c>
      <c r="H1700">
        <f>Schedule!$K$245</f>
        <v/>
      </c>
      <c r="I1700">
        <f>IF($N1700=1,VALUE(LEFT($H1700,2)),"")</f>
        <v/>
      </c>
      <c r="J1700">
        <f>IF($N1700=1,VALUE(MID($H1700,9,2)),"")</f>
        <v/>
      </c>
      <c r="K1700">
        <f>IF($N1700=1,MOD($J1700-$I1700,24),0)</f>
        <v/>
      </c>
      <c r="L1700">
        <f>IF($N1700=1,$E1700*24+$I1700,"")</f>
        <v/>
      </c>
      <c r="M1700">
        <f>IF($N1700=1,$L1700+$K1700,"")</f>
        <v/>
      </c>
      <c r="N1700">
        <f>IF(ISNUMBER(SEARCH(" - ",$H1700&amp;"")),1,0)</f>
        <v/>
      </c>
      <c r="O1700">
        <f>IF(UPPER($H1700&amp;"")="LEAVE",1,0)</f>
        <v/>
      </c>
      <c r="P1700">
        <f>IF($N1700=1,$K1700,0)</f>
        <v/>
      </c>
      <c r="Q1700">
        <f>IF($N1700=0,"",IFERROR($L1700-LOOKUP(2,1/(($B$2:$B1699=$B1700)*($N$2:$N1699=1)),$M$2:$M1699),""))</f>
        <v/>
      </c>
    </row>
    <row r="1701">
      <c r="A1701" t="n">
        <v>1700</v>
      </c>
      <c r="B1701">
        <f>Schedule!$A$245</f>
        <v/>
      </c>
      <c r="C1701">
        <f>Schedule!$D$245</f>
        <v/>
      </c>
      <c r="D1701">
        <f>Schedule!$F$245</f>
        <v/>
      </c>
      <c r="E1701" t="n">
        <v>5</v>
      </c>
      <c r="F1701">
        <f>Schedule!$L$1</f>
        <v/>
      </c>
      <c r="G1701">
        <f>Schedule!$L$2</f>
        <v/>
      </c>
      <c r="H1701">
        <f>Schedule!$L$245</f>
        <v/>
      </c>
      <c r="I1701">
        <f>IF($N1701=1,VALUE(LEFT($H1701,2)),"")</f>
        <v/>
      </c>
      <c r="J1701">
        <f>IF($N1701=1,VALUE(MID($H1701,9,2)),"")</f>
        <v/>
      </c>
      <c r="K1701">
        <f>IF($N1701=1,MOD($J1701-$I1701,24),0)</f>
        <v/>
      </c>
      <c r="L1701">
        <f>IF($N1701=1,$E1701*24+$I1701,"")</f>
        <v/>
      </c>
      <c r="M1701">
        <f>IF($N1701=1,$L1701+$K1701,"")</f>
        <v/>
      </c>
      <c r="N1701">
        <f>IF(ISNUMBER(SEARCH(" - ",$H1701&amp;"")),1,0)</f>
        <v/>
      </c>
      <c r="O1701">
        <f>IF(UPPER($H1701&amp;"")="LEAVE",1,0)</f>
        <v/>
      </c>
      <c r="P1701">
        <f>IF($N1701=1,$K1701,0)</f>
        <v/>
      </c>
      <c r="Q1701">
        <f>IF($N1701=0,"",IFERROR($L1701-LOOKUP(2,1/(($B$2:$B1700=$B1701)*($N$2:$N1700=1)),$M$2:$M1700),""))</f>
        <v/>
      </c>
    </row>
    <row r="1702">
      <c r="A1702" t="n">
        <v>1701</v>
      </c>
      <c r="B1702">
        <f>Schedule!$A$245</f>
        <v/>
      </c>
      <c r="C1702">
        <f>Schedule!$D$245</f>
        <v/>
      </c>
      <c r="D1702">
        <f>Schedule!$F$245</f>
        <v/>
      </c>
      <c r="E1702" t="n">
        <v>6</v>
      </c>
      <c r="F1702">
        <f>Schedule!$M$1</f>
        <v/>
      </c>
      <c r="G1702">
        <f>Schedule!$M$2</f>
        <v/>
      </c>
      <c r="H1702">
        <f>Schedule!$M$245</f>
        <v/>
      </c>
      <c r="I1702">
        <f>IF($N1702=1,VALUE(LEFT($H1702,2)),"")</f>
        <v/>
      </c>
      <c r="J1702">
        <f>IF($N1702=1,VALUE(MID($H1702,9,2)),"")</f>
        <v/>
      </c>
      <c r="K1702">
        <f>IF($N1702=1,MOD($J1702-$I1702,24),0)</f>
        <v/>
      </c>
      <c r="L1702">
        <f>IF($N1702=1,$E1702*24+$I1702,"")</f>
        <v/>
      </c>
      <c r="M1702">
        <f>IF($N1702=1,$L1702+$K1702,"")</f>
        <v/>
      </c>
      <c r="N1702">
        <f>IF(ISNUMBER(SEARCH(" - ",$H1702&amp;"")),1,0)</f>
        <v/>
      </c>
      <c r="O1702">
        <f>IF(UPPER($H1702&amp;"")="LEAVE",1,0)</f>
        <v/>
      </c>
      <c r="P1702">
        <f>IF($N1702=1,$K1702,0)</f>
        <v/>
      </c>
      <c r="Q1702">
        <f>IF($N1702=0,"",IFERROR($L1702-LOOKUP(2,1/(($B$2:$B1701=$B1702)*($N$2:$N1701=1)),$M$2:$M1701),""))</f>
        <v/>
      </c>
    </row>
    <row r="1703">
      <c r="A1703" t="n">
        <v>1702</v>
      </c>
      <c r="B1703">
        <f>Schedule!$A$246</f>
        <v/>
      </c>
      <c r="C1703">
        <f>Schedule!$D$246</f>
        <v/>
      </c>
      <c r="D1703">
        <f>Schedule!$F$246</f>
        <v/>
      </c>
      <c r="E1703" t="n">
        <v>0</v>
      </c>
      <c r="F1703">
        <f>Schedule!$G$1</f>
        <v/>
      </c>
      <c r="G1703">
        <f>Schedule!$G$2</f>
        <v/>
      </c>
      <c r="H1703">
        <f>Schedule!$G$246</f>
        <v/>
      </c>
      <c r="I1703">
        <f>IF($N1703=1,VALUE(LEFT($H1703,2)),"")</f>
        <v/>
      </c>
      <c r="J1703">
        <f>IF($N1703=1,VALUE(MID($H1703,9,2)),"")</f>
        <v/>
      </c>
      <c r="K1703">
        <f>IF($N1703=1,MOD($J1703-$I1703,24),0)</f>
        <v/>
      </c>
      <c r="L1703">
        <f>IF($N1703=1,$E1703*24+$I1703,"")</f>
        <v/>
      </c>
      <c r="M1703">
        <f>IF($N1703=1,$L1703+$K1703,"")</f>
        <v/>
      </c>
      <c r="N1703">
        <f>IF(ISNUMBER(SEARCH(" - ",$H1703&amp;"")),1,0)</f>
        <v/>
      </c>
      <c r="O1703">
        <f>IF(UPPER($H1703&amp;"")="LEAVE",1,0)</f>
        <v/>
      </c>
      <c r="P1703">
        <f>IF($N1703=1,$K1703,0)</f>
        <v/>
      </c>
      <c r="Q1703">
        <f>IF($N1703=0,"",IFERROR($L1703-'Previous Engine'!$M$245,""))</f>
        <v/>
      </c>
    </row>
    <row r="1704">
      <c r="A1704" t="n">
        <v>1703</v>
      </c>
      <c r="B1704">
        <f>Schedule!$A$246</f>
        <v/>
      </c>
      <c r="C1704">
        <f>Schedule!$D$246</f>
        <v/>
      </c>
      <c r="D1704">
        <f>Schedule!$F$246</f>
        <v/>
      </c>
      <c r="E1704" t="n">
        <v>1</v>
      </c>
      <c r="F1704">
        <f>Schedule!$H$1</f>
        <v/>
      </c>
      <c r="G1704">
        <f>Schedule!$H$2</f>
        <v/>
      </c>
      <c r="H1704">
        <f>Schedule!$H$246</f>
        <v/>
      </c>
      <c r="I1704">
        <f>IF($N1704=1,VALUE(LEFT($H1704,2)),"")</f>
        <v/>
      </c>
      <c r="J1704">
        <f>IF($N1704=1,VALUE(MID($H1704,9,2)),"")</f>
        <v/>
      </c>
      <c r="K1704">
        <f>IF($N1704=1,MOD($J1704-$I1704,24),0)</f>
        <v/>
      </c>
      <c r="L1704">
        <f>IF($N1704=1,$E1704*24+$I1704,"")</f>
        <v/>
      </c>
      <c r="M1704">
        <f>IF($N1704=1,$L1704+$K1704,"")</f>
        <v/>
      </c>
      <c r="N1704">
        <f>IF(ISNUMBER(SEARCH(" - ",$H1704&amp;"")),1,0)</f>
        <v/>
      </c>
      <c r="O1704">
        <f>IF(UPPER($H1704&amp;"")="LEAVE",1,0)</f>
        <v/>
      </c>
      <c r="P1704">
        <f>IF($N1704=1,$K1704,0)</f>
        <v/>
      </c>
      <c r="Q1704">
        <f>IF($N1704=0,"",IFERROR($L1704-LOOKUP(2,1/(($B$2:$B1703=$B1704)*($N$2:$N1703=1)),$M$2:$M1703),""))</f>
        <v/>
      </c>
    </row>
    <row r="1705">
      <c r="A1705" t="n">
        <v>1704</v>
      </c>
      <c r="B1705">
        <f>Schedule!$A$246</f>
        <v/>
      </c>
      <c r="C1705">
        <f>Schedule!$D$246</f>
        <v/>
      </c>
      <c r="D1705">
        <f>Schedule!$F$246</f>
        <v/>
      </c>
      <c r="E1705" t="n">
        <v>2</v>
      </c>
      <c r="F1705">
        <f>Schedule!$I$1</f>
        <v/>
      </c>
      <c r="G1705">
        <f>Schedule!$I$2</f>
        <v/>
      </c>
      <c r="H1705">
        <f>Schedule!$I$246</f>
        <v/>
      </c>
      <c r="I1705">
        <f>IF($N1705=1,VALUE(LEFT($H1705,2)),"")</f>
        <v/>
      </c>
      <c r="J1705">
        <f>IF($N1705=1,VALUE(MID($H1705,9,2)),"")</f>
        <v/>
      </c>
      <c r="K1705">
        <f>IF($N1705=1,MOD($J1705-$I1705,24),0)</f>
        <v/>
      </c>
      <c r="L1705">
        <f>IF($N1705=1,$E1705*24+$I1705,"")</f>
        <v/>
      </c>
      <c r="M1705">
        <f>IF($N1705=1,$L1705+$K1705,"")</f>
        <v/>
      </c>
      <c r="N1705">
        <f>IF(ISNUMBER(SEARCH(" - ",$H1705&amp;"")),1,0)</f>
        <v/>
      </c>
      <c r="O1705">
        <f>IF(UPPER($H1705&amp;"")="LEAVE",1,0)</f>
        <v/>
      </c>
      <c r="P1705">
        <f>IF($N1705=1,$K1705,0)</f>
        <v/>
      </c>
      <c r="Q1705">
        <f>IF($N1705=0,"",IFERROR($L1705-LOOKUP(2,1/(($B$2:$B1704=$B1705)*($N$2:$N1704=1)),$M$2:$M1704),""))</f>
        <v/>
      </c>
    </row>
    <row r="1706">
      <c r="A1706" t="n">
        <v>1705</v>
      </c>
      <c r="B1706">
        <f>Schedule!$A$246</f>
        <v/>
      </c>
      <c r="C1706">
        <f>Schedule!$D$246</f>
        <v/>
      </c>
      <c r="D1706">
        <f>Schedule!$F$246</f>
        <v/>
      </c>
      <c r="E1706" t="n">
        <v>3</v>
      </c>
      <c r="F1706">
        <f>Schedule!$J$1</f>
        <v/>
      </c>
      <c r="G1706">
        <f>Schedule!$J$2</f>
        <v/>
      </c>
      <c r="H1706">
        <f>Schedule!$J$246</f>
        <v/>
      </c>
      <c r="I1706">
        <f>IF($N1706=1,VALUE(LEFT($H1706,2)),"")</f>
        <v/>
      </c>
      <c r="J1706">
        <f>IF($N1706=1,VALUE(MID($H1706,9,2)),"")</f>
        <v/>
      </c>
      <c r="K1706">
        <f>IF($N1706=1,MOD($J1706-$I1706,24),0)</f>
        <v/>
      </c>
      <c r="L1706">
        <f>IF($N1706=1,$E1706*24+$I1706,"")</f>
        <v/>
      </c>
      <c r="M1706">
        <f>IF($N1706=1,$L1706+$K1706,"")</f>
        <v/>
      </c>
      <c r="N1706">
        <f>IF(ISNUMBER(SEARCH(" - ",$H1706&amp;"")),1,0)</f>
        <v/>
      </c>
      <c r="O1706">
        <f>IF(UPPER($H1706&amp;"")="LEAVE",1,0)</f>
        <v/>
      </c>
      <c r="P1706">
        <f>IF($N1706=1,$K1706,0)</f>
        <v/>
      </c>
      <c r="Q1706">
        <f>IF($N1706=0,"",IFERROR($L1706-LOOKUP(2,1/(($B$2:$B1705=$B1706)*($N$2:$N1705=1)),$M$2:$M1705),""))</f>
        <v/>
      </c>
    </row>
    <row r="1707">
      <c r="A1707" t="n">
        <v>1706</v>
      </c>
      <c r="B1707">
        <f>Schedule!$A$246</f>
        <v/>
      </c>
      <c r="C1707">
        <f>Schedule!$D$246</f>
        <v/>
      </c>
      <c r="D1707">
        <f>Schedule!$F$246</f>
        <v/>
      </c>
      <c r="E1707" t="n">
        <v>4</v>
      </c>
      <c r="F1707">
        <f>Schedule!$K$1</f>
        <v/>
      </c>
      <c r="G1707">
        <f>Schedule!$K$2</f>
        <v/>
      </c>
      <c r="H1707">
        <f>Schedule!$K$246</f>
        <v/>
      </c>
      <c r="I1707">
        <f>IF($N1707=1,VALUE(LEFT($H1707,2)),"")</f>
        <v/>
      </c>
      <c r="J1707">
        <f>IF($N1707=1,VALUE(MID($H1707,9,2)),"")</f>
        <v/>
      </c>
      <c r="K1707">
        <f>IF($N1707=1,MOD($J1707-$I1707,24),0)</f>
        <v/>
      </c>
      <c r="L1707">
        <f>IF($N1707=1,$E1707*24+$I1707,"")</f>
        <v/>
      </c>
      <c r="M1707">
        <f>IF($N1707=1,$L1707+$K1707,"")</f>
        <v/>
      </c>
      <c r="N1707">
        <f>IF(ISNUMBER(SEARCH(" - ",$H1707&amp;"")),1,0)</f>
        <v/>
      </c>
      <c r="O1707">
        <f>IF(UPPER($H1707&amp;"")="LEAVE",1,0)</f>
        <v/>
      </c>
      <c r="P1707">
        <f>IF($N1707=1,$K1707,0)</f>
        <v/>
      </c>
      <c r="Q1707">
        <f>IF($N1707=0,"",IFERROR($L1707-LOOKUP(2,1/(($B$2:$B1706=$B1707)*($N$2:$N1706=1)),$M$2:$M1706),""))</f>
        <v/>
      </c>
    </row>
    <row r="1708">
      <c r="A1708" t="n">
        <v>1707</v>
      </c>
      <c r="B1708">
        <f>Schedule!$A$246</f>
        <v/>
      </c>
      <c r="C1708">
        <f>Schedule!$D$246</f>
        <v/>
      </c>
      <c r="D1708">
        <f>Schedule!$F$246</f>
        <v/>
      </c>
      <c r="E1708" t="n">
        <v>5</v>
      </c>
      <c r="F1708">
        <f>Schedule!$L$1</f>
        <v/>
      </c>
      <c r="G1708">
        <f>Schedule!$L$2</f>
        <v/>
      </c>
      <c r="H1708">
        <f>Schedule!$L$246</f>
        <v/>
      </c>
      <c r="I1708">
        <f>IF($N1708=1,VALUE(LEFT($H1708,2)),"")</f>
        <v/>
      </c>
      <c r="J1708">
        <f>IF($N1708=1,VALUE(MID($H1708,9,2)),"")</f>
        <v/>
      </c>
      <c r="K1708">
        <f>IF($N1708=1,MOD($J1708-$I1708,24),0)</f>
        <v/>
      </c>
      <c r="L1708">
        <f>IF($N1708=1,$E1708*24+$I1708,"")</f>
        <v/>
      </c>
      <c r="M1708">
        <f>IF($N1708=1,$L1708+$K1708,"")</f>
        <v/>
      </c>
      <c r="N1708">
        <f>IF(ISNUMBER(SEARCH(" - ",$H1708&amp;"")),1,0)</f>
        <v/>
      </c>
      <c r="O1708">
        <f>IF(UPPER($H1708&amp;"")="LEAVE",1,0)</f>
        <v/>
      </c>
      <c r="P1708">
        <f>IF($N1708=1,$K1708,0)</f>
        <v/>
      </c>
      <c r="Q1708">
        <f>IF($N1708=0,"",IFERROR($L1708-LOOKUP(2,1/(($B$2:$B1707=$B1708)*($N$2:$N1707=1)),$M$2:$M1707),""))</f>
        <v/>
      </c>
    </row>
    <row r="1709">
      <c r="A1709" t="n">
        <v>1708</v>
      </c>
      <c r="B1709">
        <f>Schedule!$A$246</f>
        <v/>
      </c>
      <c r="C1709">
        <f>Schedule!$D$246</f>
        <v/>
      </c>
      <c r="D1709">
        <f>Schedule!$F$246</f>
        <v/>
      </c>
      <c r="E1709" t="n">
        <v>6</v>
      </c>
      <c r="F1709">
        <f>Schedule!$M$1</f>
        <v/>
      </c>
      <c r="G1709">
        <f>Schedule!$M$2</f>
        <v/>
      </c>
      <c r="H1709">
        <f>Schedule!$M$246</f>
        <v/>
      </c>
      <c r="I1709">
        <f>IF($N1709=1,VALUE(LEFT($H1709,2)),"")</f>
        <v/>
      </c>
      <c r="J1709">
        <f>IF($N1709=1,VALUE(MID($H1709,9,2)),"")</f>
        <v/>
      </c>
      <c r="K1709">
        <f>IF($N1709=1,MOD($J1709-$I1709,24),0)</f>
        <v/>
      </c>
      <c r="L1709">
        <f>IF($N1709=1,$E1709*24+$I1709,"")</f>
        <v/>
      </c>
      <c r="M1709">
        <f>IF($N1709=1,$L1709+$K1709,"")</f>
        <v/>
      </c>
      <c r="N1709">
        <f>IF(ISNUMBER(SEARCH(" - ",$H1709&amp;"")),1,0)</f>
        <v/>
      </c>
      <c r="O1709">
        <f>IF(UPPER($H1709&amp;"")="LEAVE",1,0)</f>
        <v/>
      </c>
      <c r="P1709">
        <f>IF($N1709=1,$K1709,0)</f>
        <v/>
      </c>
      <c r="Q1709">
        <f>IF($N1709=0,"",IFERROR($L1709-LOOKUP(2,1/(($B$2:$B1708=$B1709)*($N$2:$N1708=1)),$M$2:$M1708),""))</f>
        <v/>
      </c>
    </row>
    <row r="1710">
      <c r="A1710" t="n">
        <v>1709</v>
      </c>
      <c r="B1710">
        <f>Schedule!$A$247</f>
        <v/>
      </c>
      <c r="C1710">
        <f>Schedule!$D$247</f>
        <v/>
      </c>
      <c r="D1710">
        <f>Schedule!$F$247</f>
        <v/>
      </c>
      <c r="E1710" t="n">
        <v>0</v>
      </c>
      <c r="F1710">
        <f>Schedule!$G$1</f>
        <v/>
      </c>
      <c r="G1710">
        <f>Schedule!$G$2</f>
        <v/>
      </c>
      <c r="H1710">
        <f>Schedule!$G$247</f>
        <v/>
      </c>
      <c r="I1710">
        <f>IF($N1710=1,VALUE(LEFT($H1710,2)),"")</f>
        <v/>
      </c>
      <c r="J1710">
        <f>IF($N1710=1,VALUE(MID($H1710,9,2)),"")</f>
        <v/>
      </c>
      <c r="K1710">
        <f>IF($N1710=1,MOD($J1710-$I1710,24),0)</f>
        <v/>
      </c>
      <c r="L1710">
        <f>IF($N1710=1,$E1710*24+$I1710,"")</f>
        <v/>
      </c>
      <c r="M1710">
        <f>IF($N1710=1,$L1710+$K1710,"")</f>
        <v/>
      </c>
      <c r="N1710">
        <f>IF(ISNUMBER(SEARCH(" - ",$H1710&amp;"")),1,0)</f>
        <v/>
      </c>
      <c r="O1710">
        <f>IF(UPPER($H1710&amp;"")="LEAVE",1,0)</f>
        <v/>
      </c>
      <c r="P1710">
        <f>IF($N1710=1,$K1710,0)</f>
        <v/>
      </c>
      <c r="Q1710">
        <f>IF($N1710=0,"",IFERROR($L1710-'Previous Engine'!$M$246,""))</f>
        <v/>
      </c>
    </row>
    <row r="1711">
      <c r="A1711" t="n">
        <v>1710</v>
      </c>
      <c r="B1711">
        <f>Schedule!$A$247</f>
        <v/>
      </c>
      <c r="C1711">
        <f>Schedule!$D$247</f>
        <v/>
      </c>
      <c r="D1711">
        <f>Schedule!$F$247</f>
        <v/>
      </c>
      <c r="E1711" t="n">
        <v>1</v>
      </c>
      <c r="F1711">
        <f>Schedule!$H$1</f>
        <v/>
      </c>
      <c r="G1711">
        <f>Schedule!$H$2</f>
        <v/>
      </c>
      <c r="H1711">
        <f>Schedule!$H$247</f>
        <v/>
      </c>
      <c r="I1711">
        <f>IF($N1711=1,VALUE(LEFT($H1711,2)),"")</f>
        <v/>
      </c>
      <c r="J1711">
        <f>IF($N1711=1,VALUE(MID($H1711,9,2)),"")</f>
        <v/>
      </c>
      <c r="K1711">
        <f>IF($N1711=1,MOD($J1711-$I1711,24),0)</f>
        <v/>
      </c>
      <c r="L1711">
        <f>IF($N1711=1,$E1711*24+$I1711,"")</f>
        <v/>
      </c>
      <c r="M1711">
        <f>IF($N1711=1,$L1711+$K1711,"")</f>
        <v/>
      </c>
      <c r="N1711">
        <f>IF(ISNUMBER(SEARCH(" - ",$H1711&amp;"")),1,0)</f>
        <v/>
      </c>
      <c r="O1711">
        <f>IF(UPPER($H1711&amp;"")="LEAVE",1,0)</f>
        <v/>
      </c>
      <c r="P1711">
        <f>IF($N1711=1,$K1711,0)</f>
        <v/>
      </c>
      <c r="Q1711">
        <f>IF($N1711=0,"",IFERROR($L1711-LOOKUP(2,1/(($B$2:$B1710=$B1711)*($N$2:$N1710=1)),$M$2:$M1710),""))</f>
        <v/>
      </c>
    </row>
    <row r="1712">
      <c r="A1712" t="n">
        <v>1711</v>
      </c>
      <c r="B1712">
        <f>Schedule!$A$247</f>
        <v/>
      </c>
      <c r="C1712">
        <f>Schedule!$D$247</f>
        <v/>
      </c>
      <c r="D1712">
        <f>Schedule!$F$247</f>
        <v/>
      </c>
      <c r="E1712" t="n">
        <v>2</v>
      </c>
      <c r="F1712">
        <f>Schedule!$I$1</f>
        <v/>
      </c>
      <c r="G1712">
        <f>Schedule!$I$2</f>
        <v/>
      </c>
      <c r="H1712">
        <f>Schedule!$I$247</f>
        <v/>
      </c>
      <c r="I1712">
        <f>IF($N1712=1,VALUE(LEFT($H1712,2)),"")</f>
        <v/>
      </c>
      <c r="J1712">
        <f>IF($N1712=1,VALUE(MID($H1712,9,2)),"")</f>
        <v/>
      </c>
      <c r="K1712">
        <f>IF($N1712=1,MOD($J1712-$I1712,24),0)</f>
        <v/>
      </c>
      <c r="L1712">
        <f>IF($N1712=1,$E1712*24+$I1712,"")</f>
        <v/>
      </c>
      <c r="M1712">
        <f>IF($N1712=1,$L1712+$K1712,"")</f>
        <v/>
      </c>
      <c r="N1712">
        <f>IF(ISNUMBER(SEARCH(" - ",$H1712&amp;"")),1,0)</f>
        <v/>
      </c>
      <c r="O1712">
        <f>IF(UPPER($H1712&amp;"")="LEAVE",1,0)</f>
        <v/>
      </c>
      <c r="P1712">
        <f>IF($N1712=1,$K1712,0)</f>
        <v/>
      </c>
      <c r="Q1712">
        <f>IF($N1712=0,"",IFERROR($L1712-LOOKUP(2,1/(($B$2:$B1711=$B1712)*($N$2:$N1711=1)),$M$2:$M1711),""))</f>
        <v/>
      </c>
    </row>
    <row r="1713">
      <c r="A1713" t="n">
        <v>1712</v>
      </c>
      <c r="B1713">
        <f>Schedule!$A$247</f>
        <v/>
      </c>
      <c r="C1713">
        <f>Schedule!$D$247</f>
        <v/>
      </c>
      <c r="D1713">
        <f>Schedule!$F$247</f>
        <v/>
      </c>
      <c r="E1713" t="n">
        <v>3</v>
      </c>
      <c r="F1713">
        <f>Schedule!$J$1</f>
        <v/>
      </c>
      <c r="G1713">
        <f>Schedule!$J$2</f>
        <v/>
      </c>
      <c r="H1713">
        <f>Schedule!$J$247</f>
        <v/>
      </c>
      <c r="I1713">
        <f>IF($N1713=1,VALUE(LEFT($H1713,2)),"")</f>
        <v/>
      </c>
      <c r="J1713">
        <f>IF($N1713=1,VALUE(MID($H1713,9,2)),"")</f>
        <v/>
      </c>
      <c r="K1713">
        <f>IF($N1713=1,MOD($J1713-$I1713,24),0)</f>
        <v/>
      </c>
      <c r="L1713">
        <f>IF($N1713=1,$E1713*24+$I1713,"")</f>
        <v/>
      </c>
      <c r="M1713">
        <f>IF($N1713=1,$L1713+$K1713,"")</f>
        <v/>
      </c>
      <c r="N1713">
        <f>IF(ISNUMBER(SEARCH(" - ",$H1713&amp;"")),1,0)</f>
        <v/>
      </c>
      <c r="O1713">
        <f>IF(UPPER($H1713&amp;"")="LEAVE",1,0)</f>
        <v/>
      </c>
      <c r="P1713">
        <f>IF($N1713=1,$K1713,0)</f>
        <v/>
      </c>
      <c r="Q1713">
        <f>IF($N1713=0,"",IFERROR($L1713-LOOKUP(2,1/(($B$2:$B1712=$B1713)*($N$2:$N1712=1)),$M$2:$M1712),""))</f>
        <v/>
      </c>
    </row>
    <row r="1714">
      <c r="A1714" t="n">
        <v>1713</v>
      </c>
      <c r="B1714">
        <f>Schedule!$A$247</f>
        <v/>
      </c>
      <c r="C1714">
        <f>Schedule!$D$247</f>
        <v/>
      </c>
      <c r="D1714">
        <f>Schedule!$F$247</f>
        <v/>
      </c>
      <c r="E1714" t="n">
        <v>4</v>
      </c>
      <c r="F1714">
        <f>Schedule!$K$1</f>
        <v/>
      </c>
      <c r="G1714">
        <f>Schedule!$K$2</f>
        <v/>
      </c>
      <c r="H1714">
        <f>Schedule!$K$247</f>
        <v/>
      </c>
      <c r="I1714">
        <f>IF($N1714=1,VALUE(LEFT($H1714,2)),"")</f>
        <v/>
      </c>
      <c r="J1714">
        <f>IF($N1714=1,VALUE(MID($H1714,9,2)),"")</f>
        <v/>
      </c>
      <c r="K1714">
        <f>IF($N1714=1,MOD($J1714-$I1714,24),0)</f>
        <v/>
      </c>
      <c r="L1714">
        <f>IF($N1714=1,$E1714*24+$I1714,"")</f>
        <v/>
      </c>
      <c r="M1714">
        <f>IF($N1714=1,$L1714+$K1714,"")</f>
        <v/>
      </c>
      <c r="N1714">
        <f>IF(ISNUMBER(SEARCH(" - ",$H1714&amp;"")),1,0)</f>
        <v/>
      </c>
      <c r="O1714">
        <f>IF(UPPER($H1714&amp;"")="LEAVE",1,0)</f>
        <v/>
      </c>
      <c r="P1714">
        <f>IF($N1714=1,$K1714,0)</f>
        <v/>
      </c>
      <c r="Q1714">
        <f>IF($N1714=0,"",IFERROR($L1714-LOOKUP(2,1/(($B$2:$B1713=$B1714)*($N$2:$N1713=1)),$M$2:$M1713),""))</f>
        <v/>
      </c>
    </row>
    <row r="1715">
      <c r="A1715" t="n">
        <v>1714</v>
      </c>
      <c r="B1715">
        <f>Schedule!$A$247</f>
        <v/>
      </c>
      <c r="C1715">
        <f>Schedule!$D$247</f>
        <v/>
      </c>
      <c r="D1715">
        <f>Schedule!$F$247</f>
        <v/>
      </c>
      <c r="E1715" t="n">
        <v>5</v>
      </c>
      <c r="F1715">
        <f>Schedule!$L$1</f>
        <v/>
      </c>
      <c r="G1715">
        <f>Schedule!$L$2</f>
        <v/>
      </c>
      <c r="H1715">
        <f>Schedule!$L$247</f>
        <v/>
      </c>
      <c r="I1715">
        <f>IF($N1715=1,VALUE(LEFT($H1715,2)),"")</f>
        <v/>
      </c>
      <c r="J1715">
        <f>IF($N1715=1,VALUE(MID($H1715,9,2)),"")</f>
        <v/>
      </c>
      <c r="K1715">
        <f>IF($N1715=1,MOD($J1715-$I1715,24),0)</f>
        <v/>
      </c>
      <c r="L1715">
        <f>IF($N1715=1,$E1715*24+$I1715,"")</f>
        <v/>
      </c>
      <c r="M1715">
        <f>IF($N1715=1,$L1715+$K1715,"")</f>
        <v/>
      </c>
      <c r="N1715">
        <f>IF(ISNUMBER(SEARCH(" - ",$H1715&amp;"")),1,0)</f>
        <v/>
      </c>
      <c r="O1715">
        <f>IF(UPPER($H1715&amp;"")="LEAVE",1,0)</f>
        <v/>
      </c>
      <c r="P1715">
        <f>IF($N1715=1,$K1715,0)</f>
        <v/>
      </c>
      <c r="Q1715">
        <f>IF($N1715=0,"",IFERROR($L1715-LOOKUP(2,1/(($B$2:$B1714=$B1715)*($N$2:$N1714=1)),$M$2:$M1714),""))</f>
        <v/>
      </c>
    </row>
    <row r="1716">
      <c r="A1716" t="n">
        <v>1715</v>
      </c>
      <c r="B1716">
        <f>Schedule!$A$247</f>
        <v/>
      </c>
      <c r="C1716">
        <f>Schedule!$D$247</f>
        <v/>
      </c>
      <c r="D1716">
        <f>Schedule!$F$247</f>
        <v/>
      </c>
      <c r="E1716" t="n">
        <v>6</v>
      </c>
      <c r="F1716">
        <f>Schedule!$M$1</f>
        <v/>
      </c>
      <c r="G1716">
        <f>Schedule!$M$2</f>
        <v/>
      </c>
      <c r="H1716">
        <f>Schedule!$M$247</f>
        <v/>
      </c>
      <c r="I1716">
        <f>IF($N1716=1,VALUE(LEFT($H1716,2)),"")</f>
        <v/>
      </c>
      <c r="J1716">
        <f>IF($N1716=1,VALUE(MID($H1716,9,2)),"")</f>
        <v/>
      </c>
      <c r="K1716">
        <f>IF($N1716=1,MOD($J1716-$I1716,24),0)</f>
        <v/>
      </c>
      <c r="L1716">
        <f>IF($N1716=1,$E1716*24+$I1716,"")</f>
        <v/>
      </c>
      <c r="M1716">
        <f>IF($N1716=1,$L1716+$K1716,"")</f>
        <v/>
      </c>
      <c r="N1716">
        <f>IF(ISNUMBER(SEARCH(" - ",$H1716&amp;"")),1,0)</f>
        <v/>
      </c>
      <c r="O1716">
        <f>IF(UPPER($H1716&amp;"")="LEAVE",1,0)</f>
        <v/>
      </c>
      <c r="P1716">
        <f>IF($N1716=1,$K1716,0)</f>
        <v/>
      </c>
      <c r="Q1716">
        <f>IF($N1716=0,"",IFERROR($L1716-LOOKUP(2,1/(($B$2:$B1715=$B1716)*($N$2:$N1715=1)),$M$2:$M1715),""))</f>
        <v/>
      </c>
    </row>
    <row r="1717">
      <c r="A1717" t="n">
        <v>1716</v>
      </c>
      <c r="B1717">
        <f>Schedule!$A$248</f>
        <v/>
      </c>
      <c r="C1717">
        <f>Schedule!$D$248</f>
        <v/>
      </c>
      <c r="D1717">
        <f>Schedule!$F$248</f>
        <v/>
      </c>
      <c r="E1717" t="n">
        <v>0</v>
      </c>
      <c r="F1717">
        <f>Schedule!$G$1</f>
        <v/>
      </c>
      <c r="G1717">
        <f>Schedule!$G$2</f>
        <v/>
      </c>
      <c r="H1717">
        <f>Schedule!$G$248</f>
        <v/>
      </c>
      <c r="I1717">
        <f>IF($N1717=1,VALUE(LEFT($H1717,2)),"")</f>
        <v/>
      </c>
      <c r="J1717">
        <f>IF($N1717=1,VALUE(MID($H1717,9,2)),"")</f>
        <v/>
      </c>
      <c r="K1717">
        <f>IF($N1717=1,MOD($J1717-$I1717,24),0)</f>
        <v/>
      </c>
      <c r="L1717">
        <f>IF($N1717=1,$E1717*24+$I1717,"")</f>
        <v/>
      </c>
      <c r="M1717">
        <f>IF($N1717=1,$L1717+$K1717,"")</f>
        <v/>
      </c>
      <c r="N1717">
        <f>IF(ISNUMBER(SEARCH(" - ",$H1717&amp;"")),1,0)</f>
        <v/>
      </c>
      <c r="O1717">
        <f>IF(UPPER($H1717&amp;"")="LEAVE",1,0)</f>
        <v/>
      </c>
      <c r="P1717">
        <f>IF($N1717=1,$K1717,0)</f>
        <v/>
      </c>
      <c r="Q1717">
        <f>IF($N1717=0,"",IFERROR($L1717-'Previous Engine'!$M$247,""))</f>
        <v/>
      </c>
    </row>
    <row r="1718">
      <c r="A1718" t="n">
        <v>1717</v>
      </c>
      <c r="B1718">
        <f>Schedule!$A$248</f>
        <v/>
      </c>
      <c r="C1718">
        <f>Schedule!$D$248</f>
        <v/>
      </c>
      <c r="D1718">
        <f>Schedule!$F$248</f>
        <v/>
      </c>
      <c r="E1718" t="n">
        <v>1</v>
      </c>
      <c r="F1718">
        <f>Schedule!$H$1</f>
        <v/>
      </c>
      <c r="G1718">
        <f>Schedule!$H$2</f>
        <v/>
      </c>
      <c r="H1718">
        <f>Schedule!$H$248</f>
        <v/>
      </c>
      <c r="I1718">
        <f>IF($N1718=1,VALUE(LEFT($H1718,2)),"")</f>
        <v/>
      </c>
      <c r="J1718">
        <f>IF($N1718=1,VALUE(MID($H1718,9,2)),"")</f>
        <v/>
      </c>
      <c r="K1718">
        <f>IF($N1718=1,MOD($J1718-$I1718,24),0)</f>
        <v/>
      </c>
      <c r="L1718">
        <f>IF($N1718=1,$E1718*24+$I1718,"")</f>
        <v/>
      </c>
      <c r="M1718">
        <f>IF($N1718=1,$L1718+$K1718,"")</f>
        <v/>
      </c>
      <c r="N1718">
        <f>IF(ISNUMBER(SEARCH(" - ",$H1718&amp;"")),1,0)</f>
        <v/>
      </c>
      <c r="O1718">
        <f>IF(UPPER($H1718&amp;"")="LEAVE",1,0)</f>
        <v/>
      </c>
      <c r="P1718">
        <f>IF($N1718=1,$K1718,0)</f>
        <v/>
      </c>
      <c r="Q1718">
        <f>IF($N1718=0,"",IFERROR($L1718-LOOKUP(2,1/(($B$2:$B1717=$B1718)*($N$2:$N1717=1)),$M$2:$M1717),""))</f>
        <v/>
      </c>
    </row>
    <row r="1719">
      <c r="A1719" t="n">
        <v>1718</v>
      </c>
      <c r="B1719">
        <f>Schedule!$A$248</f>
        <v/>
      </c>
      <c r="C1719">
        <f>Schedule!$D$248</f>
        <v/>
      </c>
      <c r="D1719">
        <f>Schedule!$F$248</f>
        <v/>
      </c>
      <c r="E1719" t="n">
        <v>2</v>
      </c>
      <c r="F1719">
        <f>Schedule!$I$1</f>
        <v/>
      </c>
      <c r="G1719">
        <f>Schedule!$I$2</f>
        <v/>
      </c>
      <c r="H1719">
        <f>Schedule!$I$248</f>
        <v/>
      </c>
      <c r="I1719">
        <f>IF($N1719=1,VALUE(LEFT($H1719,2)),"")</f>
        <v/>
      </c>
      <c r="J1719">
        <f>IF($N1719=1,VALUE(MID($H1719,9,2)),"")</f>
        <v/>
      </c>
      <c r="K1719">
        <f>IF($N1719=1,MOD($J1719-$I1719,24),0)</f>
        <v/>
      </c>
      <c r="L1719">
        <f>IF($N1719=1,$E1719*24+$I1719,"")</f>
        <v/>
      </c>
      <c r="M1719">
        <f>IF($N1719=1,$L1719+$K1719,"")</f>
        <v/>
      </c>
      <c r="N1719">
        <f>IF(ISNUMBER(SEARCH(" - ",$H1719&amp;"")),1,0)</f>
        <v/>
      </c>
      <c r="O1719">
        <f>IF(UPPER($H1719&amp;"")="LEAVE",1,0)</f>
        <v/>
      </c>
      <c r="P1719">
        <f>IF($N1719=1,$K1719,0)</f>
        <v/>
      </c>
      <c r="Q1719">
        <f>IF($N1719=0,"",IFERROR($L1719-LOOKUP(2,1/(($B$2:$B1718=$B1719)*($N$2:$N1718=1)),$M$2:$M1718),""))</f>
        <v/>
      </c>
    </row>
    <row r="1720">
      <c r="A1720" t="n">
        <v>1719</v>
      </c>
      <c r="B1720">
        <f>Schedule!$A$248</f>
        <v/>
      </c>
      <c r="C1720">
        <f>Schedule!$D$248</f>
        <v/>
      </c>
      <c r="D1720">
        <f>Schedule!$F$248</f>
        <v/>
      </c>
      <c r="E1720" t="n">
        <v>3</v>
      </c>
      <c r="F1720">
        <f>Schedule!$J$1</f>
        <v/>
      </c>
      <c r="G1720">
        <f>Schedule!$J$2</f>
        <v/>
      </c>
      <c r="H1720">
        <f>Schedule!$J$248</f>
        <v/>
      </c>
      <c r="I1720">
        <f>IF($N1720=1,VALUE(LEFT($H1720,2)),"")</f>
        <v/>
      </c>
      <c r="J1720">
        <f>IF($N1720=1,VALUE(MID($H1720,9,2)),"")</f>
        <v/>
      </c>
      <c r="K1720">
        <f>IF($N1720=1,MOD($J1720-$I1720,24),0)</f>
        <v/>
      </c>
      <c r="L1720">
        <f>IF($N1720=1,$E1720*24+$I1720,"")</f>
        <v/>
      </c>
      <c r="M1720">
        <f>IF($N1720=1,$L1720+$K1720,"")</f>
        <v/>
      </c>
      <c r="N1720">
        <f>IF(ISNUMBER(SEARCH(" - ",$H1720&amp;"")),1,0)</f>
        <v/>
      </c>
      <c r="O1720">
        <f>IF(UPPER($H1720&amp;"")="LEAVE",1,0)</f>
        <v/>
      </c>
      <c r="P1720">
        <f>IF($N1720=1,$K1720,0)</f>
        <v/>
      </c>
      <c r="Q1720">
        <f>IF($N1720=0,"",IFERROR($L1720-LOOKUP(2,1/(($B$2:$B1719=$B1720)*($N$2:$N1719=1)),$M$2:$M1719),""))</f>
        <v/>
      </c>
    </row>
    <row r="1721">
      <c r="A1721" t="n">
        <v>1720</v>
      </c>
      <c r="B1721">
        <f>Schedule!$A$248</f>
        <v/>
      </c>
      <c r="C1721">
        <f>Schedule!$D$248</f>
        <v/>
      </c>
      <c r="D1721">
        <f>Schedule!$F$248</f>
        <v/>
      </c>
      <c r="E1721" t="n">
        <v>4</v>
      </c>
      <c r="F1721">
        <f>Schedule!$K$1</f>
        <v/>
      </c>
      <c r="G1721">
        <f>Schedule!$K$2</f>
        <v/>
      </c>
      <c r="H1721">
        <f>Schedule!$K$248</f>
        <v/>
      </c>
      <c r="I1721">
        <f>IF($N1721=1,VALUE(LEFT($H1721,2)),"")</f>
        <v/>
      </c>
      <c r="J1721">
        <f>IF($N1721=1,VALUE(MID($H1721,9,2)),"")</f>
        <v/>
      </c>
      <c r="K1721">
        <f>IF($N1721=1,MOD($J1721-$I1721,24),0)</f>
        <v/>
      </c>
      <c r="L1721">
        <f>IF($N1721=1,$E1721*24+$I1721,"")</f>
        <v/>
      </c>
      <c r="M1721">
        <f>IF($N1721=1,$L1721+$K1721,"")</f>
        <v/>
      </c>
      <c r="N1721">
        <f>IF(ISNUMBER(SEARCH(" - ",$H1721&amp;"")),1,0)</f>
        <v/>
      </c>
      <c r="O1721">
        <f>IF(UPPER($H1721&amp;"")="LEAVE",1,0)</f>
        <v/>
      </c>
      <c r="P1721">
        <f>IF($N1721=1,$K1721,0)</f>
        <v/>
      </c>
      <c r="Q1721">
        <f>IF($N1721=0,"",IFERROR($L1721-LOOKUP(2,1/(($B$2:$B1720=$B1721)*($N$2:$N1720=1)),$M$2:$M1720),""))</f>
        <v/>
      </c>
    </row>
    <row r="1722">
      <c r="A1722" t="n">
        <v>1721</v>
      </c>
      <c r="B1722">
        <f>Schedule!$A$248</f>
        <v/>
      </c>
      <c r="C1722">
        <f>Schedule!$D$248</f>
        <v/>
      </c>
      <c r="D1722">
        <f>Schedule!$F$248</f>
        <v/>
      </c>
      <c r="E1722" t="n">
        <v>5</v>
      </c>
      <c r="F1722">
        <f>Schedule!$L$1</f>
        <v/>
      </c>
      <c r="G1722">
        <f>Schedule!$L$2</f>
        <v/>
      </c>
      <c r="H1722">
        <f>Schedule!$L$248</f>
        <v/>
      </c>
      <c r="I1722">
        <f>IF($N1722=1,VALUE(LEFT($H1722,2)),"")</f>
        <v/>
      </c>
      <c r="J1722">
        <f>IF($N1722=1,VALUE(MID($H1722,9,2)),"")</f>
        <v/>
      </c>
      <c r="K1722">
        <f>IF($N1722=1,MOD($J1722-$I1722,24),0)</f>
        <v/>
      </c>
      <c r="L1722">
        <f>IF($N1722=1,$E1722*24+$I1722,"")</f>
        <v/>
      </c>
      <c r="M1722">
        <f>IF($N1722=1,$L1722+$K1722,"")</f>
        <v/>
      </c>
      <c r="N1722">
        <f>IF(ISNUMBER(SEARCH(" - ",$H1722&amp;"")),1,0)</f>
        <v/>
      </c>
      <c r="O1722">
        <f>IF(UPPER($H1722&amp;"")="LEAVE",1,0)</f>
        <v/>
      </c>
      <c r="P1722">
        <f>IF($N1722=1,$K1722,0)</f>
        <v/>
      </c>
      <c r="Q1722">
        <f>IF($N1722=0,"",IFERROR($L1722-LOOKUP(2,1/(($B$2:$B1721=$B1722)*($N$2:$N1721=1)),$M$2:$M1721),""))</f>
        <v/>
      </c>
    </row>
    <row r="1723">
      <c r="A1723" t="n">
        <v>1722</v>
      </c>
      <c r="B1723">
        <f>Schedule!$A$248</f>
        <v/>
      </c>
      <c r="C1723">
        <f>Schedule!$D$248</f>
        <v/>
      </c>
      <c r="D1723">
        <f>Schedule!$F$248</f>
        <v/>
      </c>
      <c r="E1723" t="n">
        <v>6</v>
      </c>
      <c r="F1723">
        <f>Schedule!$M$1</f>
        <v/>
      </c>
      <c r="G1723">
        <f>Schedule!$M$2</f>
        <v/>
      </c>
      <c r="H1723">
        <f>Schedule!$M$248</f>
        <v/>
      </c>
      <c r="I1723">
        <f>IF($N1723=1,VALUE(LEFT($H1723,2)),"")</f>
        <v/>
      </c>
      <c r="J1723">
        <f>IF($N1723=1,VALUE(MID($H1723,9,2)),"")</f>
        <v/>
      </c>
      <c r="K1723">
        <f>IF($N1723=1,MOD($J1723-$I1723,24),0)</f>
        <v/>
      </c>
      <c r="L1723">
        <f>IF($N1723=1,$E1723*24+$I1723,"")</f>
        <v/>
      </c>
      <c r="M1723">
        <f>IF($N1723=1,$L1723+$K1723,"")</f>
        <v/>
      </c>
      <c r="N1723">
        <f>IF(ISNUMBER(SEARCH(" - ",$H1723&amp;"")),1,0)</f>
        <v/>
      </c>
      <c r="O1723">
        <f>IF(UPPER($H1723&amp;"")="LEAVE",1,0)</f>
        <v/>
      </c>
      <c r="P1723">
        <f>IF($N1723=1,$K1723,0)</f>
        <v/>
      </c>
      <c r="Q1723">
        <f>IF($N1723=0,"",IFERROR($L1723-LOOKUP(2,1/(($B$2:$B1722=$B1723)*($N$2:$N1722=1)),$M$2:$M1722),""))</f>
        <v/>
      </c>
    </row>
    <row r="1724">
      <c r="A1724" t="n">
        <v>1723</v>
      </c>
      <c r="B1724">
        <f>Schedule!$A$249</f>
        <v/>
      </c>
      <c r="C1724">
        <f>Schedule!$D$249</f>
        <v/>
      </c>
      <c r="D1724">
        <f>Schedule!$F$249</f>
        <v/>
      </c>
      <c r="E1724" t="n">
        <v>0</v>
      </c>
      <c r="F1724">
        <f>Schedule!$G$1</f>
        <v/>
      </c>
      <c r="G1724">
        <f>Schedule!$G$2</f>
        <v/>
      </c>
      <c r="H1724">
        <f>Schedule!$G$249</f>
        <v/>
      </c>
      <c r="I1724">
        <f>IF($N1724=1,VALUE(LEFT($H1724,2)),"")</f>
        <v/>
      </c>
      <c r="J1724">
        <f>IF($N1724=1,VALUE(MID($H1724,9,2)),"")</f>
        <v/>
      </c>
      <c r="K1724">
        <f>IF($N1724=1,MOD($J1724-$I1724,24),0)</f>
        <v/>
      </c>
      <c r="L1724">
        <f>IF($N1724=1,$E1724*24+$I1724,"")</f>
        <v/>
      </c>
      <c r="M1724">
        <f>IF($N1724=1,$L1724+$K1724,"")</f>
        <v/>
      </c>
      <c r="N1724">
        <f>IF(ISNUMBER(SEARCH(" - ",$H1724&amp;"")),1,0)</f>
        <v/>
      </c>
      <c r="O1724">
        <f>IF(UPPER($H1724&amp;"")="LEAVE",1,0)</f>
        <v/>
      </c>
      <c r="P1724">
        <f>IF($N1724=1,$K1724,0)</f>
        <v/>
      </c>
      <c r="Q1724">
        <f>IF($N1724=0,"",IFERROR($L1724-'Previous Engine'!$M$248,""))</f>
        <v/>
      </c>
    </row>
    <row r="1725">
      <c r="A1725" t="n">
        <v>1724</v>
      </c>
      <c r="B1725">
        <f>Schedule!$A$249</f>
        <v/>
      </c>
      <c r="C1725">
        <f>Schedule!$D$249</f>
        <v/>
      </c>
      <c r="D1725">
        <f>Schedule!$F$249</f>
        <v/>
      </c>
      <c r="E1725" t="n">
        <v>1</v>
      </c>
      <c r="F1725">
        <f>Schedule!$H$1</f>
        <v/>
      </c>
      <c r="G1725">
        <f>Schedule!$H$2</f>
        <v/>
      </c>
      <c r="H1725">
        <f>Schedule!$H$249</f>
        <v/>
      </c>
      <c r="I1725">
        <f>IF($N1725=1,VALUE(LEFT($H1725,2)),"")</f>
        <v/>
      </c>
      <c r="J1725">
        <f>IF($N1725=1,VALUE(MID($H1725,9,2)),"")</f>
        <v/>
      </c>
      <c r="K1725">
        <f>IF($N1725=1,MOD($J1725-$I1725,24),0)</f>
        <v/>
      </c>
      <c r="L1725">
        <f>IF($N1725=1,$E1725*24+$I1725,"")</f>
        <v/>
      </c>
      <c r="M1725">
        <f>IF($N1725=1,$L1725+$K1725,"")</f>
        <v/>
      </c>
      <c r="N1725">
        <f>IF(ISNUMBER(SEARCH(" - ",$H1725&amp;"")),1,0)</f>
        <v/>
      </c>
      <c r="O1725">
        <f>IF(UPPER($H1725&amp;"")="LEAVE",1,0)</f>
        <v/>
      </c>
      <c r="P1725">
        <f>IF($N1725=1,$K1725,0)</f>
        <v/>
      </c>
      <c r="Q1725">
        <f>IF($N1725=0,"",IFERROR($L1725-LOOKUP(2,1/(($B$2:$B1724=$B1725)*($N$2:$N1724=1)),$M$2:$M1724),""))</f>
        <v/>
      </c>
    </row>
    <row r="1726">
      <c r="A1726" t="n">
        <v>1725</v>
      </c>
      <c r="B1726">
        <f>Schedule!$A$249</f>
        <v/>
      </c>
      <c r="C1726">
        <f>Schedule!$D$249</f>
        <v/>
      </c>
      <c r="D1726">
        <f>Schedule!$F$249</f>
        <v/>
      </c>
      <c r="E1726" t="n">
        <v>2</v>
      </c>
      <c r="F1726">
        <f>Schedule!$I$1</f>
        <v/>
      </c>
      <c r="G1726">
        <f>Schedule!$I$2</f>
        <v/>
      </c>
      <c r="H1726">
        <f>Schedule!$I$249</f>
        <v/>
      </c>
      <c r="I1726">
        <f>IF($N1726=1,VALUE(LEFT($H1726,2)),"")</f>
        <v/>
      </c>
      <c r="J1726">
        <f>IF($N1726=1,VALUE(MID($H1726,9,2)),"")</f>
        <v/>
      </c>
      <c r="K1726">
        <f>IF($N1726=1,MOD($J1726-$I1726,24),0)</f>
        <v/>
      </c>
      <c r="L1726">
        <f>IF($N1726=1,$E1726*24+$I1726,"")</f>
        <v/>
      </c>
      <c r="M1726">
        <f>IF($N1726=1,$L1726+$K1726,"")</f>
        <v/>
      </c>
      <c r="N1726">
        <f>IF(ISNUMBER(SEARCH(" - ",$H1726&amp;"")),1,0)</f>
        <v/>
      </c>
      <c r="O1726">
        <f>IF(UPPER($H1726&amp;"")="LEAVE",1,0)</f>
        <v/>
      </c>
      <c r="P1726">
        <f>IF($N1726=1,$K1726,0)</f>
        <v/>
      </c>
      <c r="Q1726">
        <f>IF($N1726=0,"",IFERROR($L1726-LOOKUP(2,1/(($B$2:$B1725=$B1726)*($N$2:$N1725=1)),$M$2:$M1725),""))</f>
        <v/>
      </c>
    </row>
    <row r="1727">
      <c r="A1727" t="n">
        <v>1726</v>
      </c>
      <c r="B1727">
        <f>Schedule!$A$249</f>
        <v/>
      </c>
      <c r="C1727">
        <f>Schedule!$D$249</f>
        <v/>
      </c>
      <c r="D1727">
        <f>Schedule!$F$249</f>
        <v/>
      </c>
      <c r="E1727" t="n">
        <v>3</v>
      </c>
      <c r="F1727">
        <f>Schedule!$J$1</f>
        <v/>
      </c>
      <c r="G1727">
        <f>Schedule!$J$2</f>
        <v/>
      </c>
      <c r="H1727">
        <f>Schedule!$J$249</f>
        <v/>
      </c>
      <c r="I1727">
        <f>IF($N1727=1,VALUE(LEFT($H1727,2)),"")</f>
        <v/>
      </c>
      <c r="J1727">
        <f>IF($N1727=1,VALUE(MID($H1727,9,2)),"")</f>
        <v/>
      </c>
      <c r="K1727">
        <f>IF($N1727=1,MOD($J1727-$I1727,24),0)</f>
        <v/>
      </c>
      <c r="L1727">
        <f>IF($N1727=1,$E1727*24+$I1727,"")</f>
        <v/>
      </c>
      <c r="M1727">
        <f>IF($N1727=1,$L1727+$K1727,"")</f>
        <v/>
      </c>
      <c r="N1727">
        <f>IF(ISNUMBER(SEARCH(" - ",$H1727&amp;"")),1,0)</f>
        <v/>
      </c>
      <c r="O1727">
        <f>IF(UPPER($H1727&amp;"")="LEAVE",1,0)</f>
        <v/>
      </c>
      <c r="P1727">
        <f>IF($N1727=1,$K1727,0)</f>
        <v/>
      </c>
      <c r="Q1727">
        <f>IF($N1727=0,"",IFERROR($L1727-LOOKUP(2,1/(($B$2:$B1726=$B1727)*($N$2:$N1726=1)),$M$2:$M1726),""))</f>
        <v/>
      </c>
    </row>
    <row r="1728">
      <c r="A1728" t="n">
        <v>1727</v>
      </c>
      <c r="B1728">
        <f>Schedule!$A$249</f>
        <v/>
      </c>
      <c r="C1728">
        <f>Schedule!$D$249</f>
        <v/>
      </c>
      <c r="D1728">
        <f>Schedule!$F$249</f>
        <v/>
      </c>
      <c r="E1728" t="n">
        <v>4</v>
      </c>
      <c r="F1728">
        <f>Schedule!$K$1</f>
        <v/>
      </c>
      <c r="G1728">
        <f>Schedule!$K$2</f>
        <v/>
      </c>
      <c r="H1728">
        <f>Schedule!$K$249</f>
        <v/>
      </c>
      <c r="I1728">
        <f>IF($N1728=1,VALUE(LEFT($H1728,2)),"")</f>
        <v/>
      </c>
      <c r="J1728">
        <f>IF($N1728=1,VALUE(MID($H1728,9,2)),"")</f>
        <v/>
      </c>
      <c r="K1728">
        <f>IF($N1728=1,MOD($J1728-$I1728,24),0)</f>
        <v/>
      </c>
      <c r="L1728">
        <f>IF($N1728=1,$E1728*24+$I1728,"")</f>
        <v/>
      </c>
      <c r="M1728">
        <f>IF($N1728=1,$L1728+$K1728,"")</f>
        <v/>
      </c>
      <c r="N1728">
        <f>IF(ISNUMBER(SEARCH(" - ",$H1728&amp;"")),1,0)</f>
        <v/>
      </c>
      <c r="O1728">
        <f>IF(UPPER($H1728&amp;"")="LEAVE",1,0)</f>
        <v/>
      </c>
      <c r="P1728">
        <f>IF($N1728=1,$K1728,0)</f>
        <v/>
      </c>
      <c r="Q1728">
        <f>IF($N1728=0,"",IFERROR($L1728-LOOKUP(2,1/(($B$2:$B1727=$B1728)*($N$2:$N1727=1)),$M$2:$M1727),""))</f>
        <v/>
      </c>
    </row>
    <row r="1729">
      <c r="A1729" t="n">
        <v>1728</v>
      </c>
      <c r="B1729">
        <f>Schedule!$A$249</f>
        <v/>
      </c>
      <c r="C1729">
        <f>Schedule!$D$249</f>
        <v/>
      </c>
      <c r="D1729">
        <f>Schedule!$F$249</f>
        <v/>
      </c>
      <c r="E1729" t="n">
        <v>5</v>
      </c>
      <c r="F1729">
        <f>Schedule!$L$1</f>
        <v/>
      </c>
      <c r="G1729">
        <f>Schedule!$L$2</f>
        <v/>
      </c>
      <c r="H1729">
        <f>Schedule!$L$249</f>
        <v/>
      </c>
      <c r="I1729">
        <f>IF($N1729=1,VALUE(LEFT($H1729,2)),"")</f>
        <v/>
      </c>
      <c r="J1729">
        <f>IF($N1729=1,VALUE(MID($H1729,9,2)),"")</f>
        <v/>
      </c>
      <c r="K1729">
        <f>IF($N1729=1,MOD($J1729-$I1729,24),0)</f>
        <v/>
      </c>
      <c r="L1729">
        <f>IF($N1729=1,$E1729*24+$I1729,"")</f>
        <v/>
      </c>
      <c r="M1729">
        <f>IF($N1729=1,$L1729+$K1729,"")</f>
        <v/>
      </c>
      <c r="N1729">
        <f>IF(ISNUMBER(SEARCH(" - ",$H1729&amp;"")),1,0)</f>
        <v/>
      </c>
      <c r="O1729">
        <f>IF(UPPER($H1729&amp;"")="LEAVE",1,0)</f>
        <v/>
      </c>
      <c r="P1729">
        <f>IF($N1729=1,$K1729,0)</f>
        <v/>
      </c>
      <c r="Q1729">
        <f>IF($N1729=0,"",IFERROR($L1729-LOOKUP(2,1/(($B$2:$B1728=$B1729)*($N$2:$N1728=1)),$M$2:$M1728),""))</f>
        <v/>
      </c>
    </row>
    <row r="1730">
      <c r="A1730" t="n">
        <v>1729</v>
      </c>
      <c r="B1730">
        <f>Schedule!$A$249</f>
        <v/>
      </c>
      <c r="C1730">
        <f>Schedule!$D$249</f>
        <v/>
      </c>
      <c r="D1730">
        <f>Schedule!$F$249</f>
        <v/>
      </c>
      <c r="E1730" t="n">
        <v>6</v>
      </c>
      <c r="F1730">
        <f>Schedule!$M$1</f>
        <v/>
      </c>
      <c r="G1730">
        <f>Schedule!$M$2</f>
        <v/>
      </c>
      <c r="H1730">
        <f>Schedule!$M$249</f>
        <v/>
      </c>
      <c r="I1730">
        <f>IF($N1730=1,VALUE(LEFT($H1730,2)),"")</f>
        <v/>
      </c>
      <c r="J1730">
        <f>IF($N1730=1,VALUE(MID($H1730,9,2)),"")</f>
        <v/>
      </c>
      <c r="K1730">
        <f>IF($N1730=1,MOD($J1730-$I1730,24),0)</f>
        <v/>
      </c>
      <c r="L1730">
        <f>IF($N1730=1,$E1730*24+$I1730,"")</f>
        <v/>
      </c>
      <c r="M1730">
        <f>IF($N1730=1,$L1730+$K1730,"")</f>
        <v/>
      </c>
      <c r="N1730">
        <f>IF(ISNUMBER(SEARCH(" - ",$H1730&amp;"")),1,0)</f>
        <v/>
      </c>
      <c r="O1730">
        <f>IF(UPPER($H1730&amp;"")="LEAVE",1,0)</f>
        <v/>
      </c>
      <c r="P1730">
        <f>IF($N1730=1,$K1730,0)</f>
        <v/>
      </c>
      <c r="Q1730">
        <f>IF($N1730=0,"",IFERROR($L1730-LOOKUP(2,1/(($B$2:$B1729=$B1730)*($N$2:$N1729=1)),$M$2:$M1729),""))</f>
        <v/>
      </c>
    </row>
    <row r="1731">
      <c r="A1731" t="n">
        <v>1730</v>
      </c>
      <c r="B1731">
        <f>Schedule!$A$250</f>
        <v/>
      </c>
      <c r="C1731">
        <f>Schedule!$D$250</f>
        <v/>
      </c>
      <c r="D1731">
        <f>Schedule!$F$250</f>
        <v/>
      </c>
      <c r="E1731" t="n">
        <v>0</v>
      </c>
      <c r="F1731">
        <f>Schedule!$G$1</f>
        <v/>
      </c>
      <c r="G1731">
        <f>Schedule!$G$2</f>
        <v/>
      </c>
      <c r="H1731">
        <f>Schedule!$G$250</f>
        <v/>
      </c>
      <c r="I1731">
        <f>IF($N1731=1,VALUE(LEFT($H1731,2)),"")</f>
        <v/>
      </c>
      <c r="J1731">
        <f>IF($N1731=1,VALUE(MID($H1731,9,2)),"")</f>
        <v/>
      </c>
      <c r="K1731">
        <f>IF($N1731=1,MOD($J1731-$I1731,24),0)</f>
        <v/>
      </c>
      <c r="L1731">
        <f>IF($N1731=1,$E1731*24+$I1731,"")</f>
        <v/>
      </c>
      <c r="M1731">
        <f>IF($N1731=1,$L1731+$K1731,"")</f>
        <v/>
      </c>
      <c r="N1731">
        <f>IF(ISNUMBER(SEARCH(" - ",$H1731&amp;"")),1,0)</f>
        <v/>
      </c>
      <c r="O1731">
        <f>IF(UPPER($H1731&amp;"")="LEAVE",1,0)</f>
        <v/>
      </c>
      <c r="P1731">
        <f>IF($N1731=1,$K1731,0)</f>
        <v/>
      </c>
      <c r="Q1731">
        <f>IF($N1731=0,"",IFERROR($L1731-'Previous Engine'!$M$249,""))</f>
        <v/>
      </c>
    </row>
    <row r="1732">
      <c r="A1732" t="n">
        <v>1731</v>
      </c>
      <c r="B1732">
        <f>Schedule!$A$250</f>
        <v/>
      </c>
      <c r="C1732">
        <f>Schedule!$D$250</f>
        <v/>
      </c>
      <c r="D1732">
        <f>Schedule!$F$250</f>
        <v/>
      </c>
      <c r="E1732" t="n">
        <v>1</v>
      </c>
      <c r="F1732">
        <f>Schedule!$H$1</f>
        <v/>
      </c>
      <c r="G1732">
        <f>Schedule!$H$2</f>
        <v/>
      </c>
      <c r="H1732">
        <f>Schedule!$H$250</f>
        <v/>
      </c>
      <c r="I1732">
        <f>IF($N1732=1,VALUE(LEFT($H1732,2)),"")</f>
        <v/>
      </c>
      <c r="J1732">
        <f>IF($N1732=1,VALUE(MID($H1732,9,2)),"")</f>
        <v/>
      </c>
      <c r="K1732">
        <f>IF($N1732=1,MOD($J1732-$I1732,24),0)</f>
        <v/>
      </c>
      <c r="L1732">
        <f>IF($N1732=1,$E1732*24+$I1732,"")</f>
        <v/>
      </c>
      <c r="M1732">
        <f>IF($N1732=1,$L1732+$K1732,"")</f>
        <v/>
      </c>
      <c r="N1732">
        <f>IF(ISNUMBER(SEARCH(" - ",$H1732&amp;"")),1,0)</f>
        <v/>
      </c>
      <c r="O1732">
        <f>IF(UPPER($H1732&amp;"")="LEAVE",1,0)</f>
        <v/>
      </c>
      <c r="P1732">
        <f>IF($N1732=1,$K1732,0)</f>
        <v/>
      </c>
      <c r="Q1732">
        <f>IF($N1732=0,"",IFERROR($L1732-LOOKUP(2,1/(($B$2:$B1731=$B1732)*($N$2:$N1731=1)),$M$2:$M1731),""))</f>
        <v/>
      </c>
    </row>
    <row r="1733">
      <c r="A1733" t="n">
        <v>1732</v>
      </c>
      <c r="B1733">
        <f>Schedule!$A$250</f>
        <v/>
      </c>
      <c r="C1733">
        <f>Schedule!$D$250</f>
        <v/>
      </c>
      <c r="D1733">
        <f>Schedule!$F$250</f>
        <v/>
      </c>
      <c r="E1733" t="n">
        <v>2</v>
      </c>
      <c r="F1733">
        <f>Schedule!$I$1</f>
        <v/>
      </c>
      <c r="G1733">
        <f>Schedule!$I$2</f>
        <v/>
      </c>
      <c r="H1733">
        <f>Schedule!$I$250</f>
        <v/>
      </c>
      <c r="I1733">
        <f>IF($N1733=1,VALUE(LEFT($H1733,2)),"")</f>
        <v/>
      </c>
      <c r="J1733">
        <f>IF($N1733=1,VALUE(MID($H1733,9,2)),"")</f>
        <v/>
      </c>
      <c r="K1733">
        <f>IF($N1733=1,MOD($J1733-$I1733,24),0)</f>
        <v/>
      </c>
      <c r="L1733">
        <f>IF($N1733=1,$E1733*24+$I1733,"")</f>
        <v/>
      </c>
      <c r="M1733">
        <f>IF($N1733=1,$L1733+$K1733,"")</f>
        <v/>
      </c>
      <c r="N1733">
        <f>IF(ISNUMBER(SEARCH(" - ",$H1733&amp;"")),1,0)</f>
        <v/>
      </c>
      <c r="O1733">
        <f>IF(UPPER($H1733&amp;"")="LEAVE",1,0)</f>
        <v/>
      </c>
      <c r="P1733">
        <f>IF($N1733=1,$K1733,0)</f>
        <v/>
      </c>
      <c r="Q1733">
        <f>IF($N1733=0,"",IFERROR($L1733-LOOKUP(2,1/(($B$2:$B1732=$B1733)*($N$2:$N1732=1)),$M$2:$M1732),""))</f>
        <v/>
      </c>
    </row>
    <row r="1734">
      <c r="A1734" t="n">
        <v>1733</v>
      </c>
      <c r="B1734">
        <f>Schedule!$A$250</f>
        <v/>
      </c>
      <c r="C1734">
        <f>Schedule!$D$250</f>
        <v/>
      </c>
      <c r="D1734">
        <f>Schedule!$F$250</f>
        <v/>
      </c>
      <c r="E1734" t="n">
        <v>3</v>
      </c>
      <c r="F1734">
        <f>Schedule!$J$1</f>
        <v/>
      </c>
      <c r="G1734">
        <f>Schedule!$J$2</f>
        <v/>
      </c>
      <c r="H1734">
        <f>Schedule!$J$250</f>
        <v/>
      </c>
      <c r="I1734">
        <f>IF($N1734=1,VALUE(LEFT($H1734,2)),"")</f>
        <v/>
      </c>
      <c r="J1734">
        <f>IF($N1734=1,VALUE(MID($H1734,9,2)),"")</f>
        <v/>
      </c>
      <c r="K1734">
        <f>IF($N1734=1,MOD($J1734-$I1734,24),0)</f>
        <v/>
      </c>
      <c r="L1734">
        <f>IF($N1734=1,$E1734*24+$I1734,"")</f>
        <v/>
      </c>
      <c r="M1734">
        <f>IF($N1734=1,$L1734+$K1734,"")</f>
        <v/>
      </c>
      <c r="N1734">
        <f>IF(ISNUMBER(SEARCH(" - ",$H1734&amp;"")),1,0)</f>
        <v/>
      </c>
      <c r="O1734">
        <f>IF(UPPER($H1734&amp;"")="LEAVE",1,0)</f>
        <v/>
      </c>
      <c r="P1734">
        <f>IF($N1734=1,$K1734,0)</f>
        <v/>
      </c>
      <c r="Q1734">
        <f>IF($N1734=0,"",IFERROR($L1734-LOOKUP(2,1/(($B$2:$B1733=$B1734)*($N$2:$N1733=1)),$M$2:$M1733),""))</f>
        <v/>
      </c>
    </row>
    <row r="1735">
      <c r="A1735" t="n">
        <v>1734</v>
      </c>
      <c r="B1735">
        <f>Schedule!$A$250</f>
        <v/>
      </c>
      <c r="C1735">
        <f>Schedule!$D$250</f>
        <v/>
      </c>
      <c r="D1735">
        <f>Schedule!$F$250</f>
        <v/>
      </c>
      <c r="E1735" t="n">
        <v>4</v>
      </c>
      <c r="F1735">
        <f>Schedule!$K$1</f>
        <v/>
      </c>
      <c r="G1735">
        <f>Schedule!$K$2</f>
        <v/>
      </c>
      <c r="H1735">
        <f>Schedule!$K$250</f>
        <v/>
      </c>
      <c r="I1735">
        <f>IF($N1735=1,VALUE(LEFT($H1735,2)),"")</f>
        <v/>
      </c>
      <c r="J1735">
        <f>IF($N1735=1,VALUE(MID($H1735,9,2)),"")</f>
        <v/>
      </c>
      <c r="K1735">
        <f>IF($N1735=1,MOD($J1735-$I1735,24),0)</f>
        <v/>
      </c>
      <c r="L1735">
        <f>IF($N1735=1,$E1735*24+$I1735,"")</f>
        <v/>
      </c>
      <c r="M1735">
        <f>IF($N1735=1,$L1735+$K1735,"")</f>
        <v/>
      </c>
      <c r="N1735">
        <f>IF(ISNUMBER(SEARCH(" - ",$H1735&amp;"")),1,0)</f>
        <v/>
      </c>
      <c r="O1735">
        <f>IF(UPPER($H1735&amp;"")="LEAVE",1,0)</f>
        <v/>
      </c>
      <c r="P1735">
        <f>IF($N1735=1,$K1735,0)</f>
        <v/>
      </c>
      <c r="Q1735">
        <f>IF($N1735=0,"",IFERROR($L1735-LOOKUP(2,1/(($B$2:$B1734=$B1735)*($N$2:$N1734=1)),$M$2:$M1734),""))</f>
        <v/>
      </c>
    </row>
    <row r="1736">
      <c r="A1736" t="n">
        <v>1735</v>
      </c>
      <c r="B1736">
        <f>Schedule!$A$250</f>
        <v/>
      </c>
      <c r="C1736">
        <f>Schedule!$D$250</f>
        <v/>
      </c>
      <c r="D1736">
        <f>Schedule!$F$250</f>
        <v/>
      </c>
      <c r="E1736" t="n">
        <v>5</v>
      </c>
      <c r="F1736">
        <f>Schedule!$L$1</f>
        <v/>
      </c>
      <c r="G1736">
        <f>Schedule!$L$2</f>
        <v/>
      </c>
      <c r="H1736">
        <f>Schedule!$L$250</f>
        <v/>
      </c>
      <c r="I1736">
        <f>IF($N1736=1,VALUE(LEFT($H1736,2)),"")</f>
        <v/>
      </c>
      <c r="J1736">
        <f>IF($N1736=1,VALUE(MID($H1736,9,2)),"")</f>
        <v/>
      </c>
      <c r="K1736">
        <f>IF($N1736=1,MOD($J1736-$I1736,24),0)</f>
        <v/>
      </c>
      <c r="L1736">
        <f>IF($N1736=1,$E1736*24+$I1736,"")</f>
        <v/>
      </c>
      <c r="M1736">
        <f>IF($N1736=1,$L1736+$K1736,"")</f>
        <v/>
      </c>
      <c r="N1736">
        <f>IF(ISNUMBER(SEARCH(" - ",$H1736&amp;"")),1,0)</f>
        <v/>
      </c>
      <c r="O1736">
        <f>IF(UPPER($H1736&amp;"")="LEAVE",1,0)</f>
        <v/>
      </c>
      <c r="P1736">
        <f>IF($N1736=1,$K1736,0)</f>
        <v/>
      </c>
      <c r="Q1736">
        <f>IF($N1736=0,"",IFERROR($L1736-LOOKUP(2,1/(($B$2:$B1735=$B1736)*($N$2:$N1735=1)),$M$2:$M1735),""))</f>
        <v/>
      </c>
    </row>
    <row r="1737">
      <c r="A1737" t="n">
        <v>1736</v>
      </c>
      <c r="B1737">
        <f>Schedule!$A$250</f>
        <v/>
      </c>
      <c r="C1737">
        <f>Schedule!$D$250</f>
        <v/>
      </c>
      <c r="D1737">
        <f>Schedule!$F$250</f>
        <v/>
      </c>
      <c r="E1737" t="n">
        <v>6</v>
      </c>
      <c r="F1737">
        <f>Schedule!$M$1</f>
        <v/>
      </c>
      <c r="G1737">
        <f>Schedule!$M$2</f>
        <v/>
      </c>
      <c r="H1737">
        <f>Schedule!$M$250</f>
        <v/>
      </c>
      <c r="I1737">
        <f>IF($N1737=1,VALUE(LEFT($H1737,2)),"")</f>
        <v/>
      </c>
      <c r="J1737">
        <f>IF($N1737=1,VALUE(MID($H1737,9,2)),"")</f>
        <v/>
      </c>
      <c r="K1737">
        <f>IF($N1737=1,MOD($J1737-$I1737,24),0)</f>
        <v/>
      </c>
      <c r="L1737">
        <f>IF($N1737=1,$E1737*24+$I1737,"")</f>
        <v/>
      </c>
      <c r="M1737">
        <f>IF($N1737=1,$L1737+$K1737,"")</f>
        <v/>
      </c>
      <c r="N1737">
        <f>IF(ISNUMBER(SEARCH(" - ",$H1737&amp;"")),1,0)</f>
        <v/>
      </c>
      <c r="O1737">
        <f>IF(UPPER($H1737&amp;"")="LEAVE",1,0)</f>
        <v/>
      </c>
      <c r="P1737">
        <f>IF($N1737=1,$K1737,0)</f>
        <v/>
      </c>
      <c r="Q1737">
        <f>IF($N1737=0,"",IFERROR($L1737-LOOKUP(2,1/(($B$2:$B1736=$B1737)*($N$2:$N1736=1)),$M$2:$M1736),""))</f>
        <v/>
      </c>
    </row>
    <row r="1738">
      <c r="A1738" t="n">
        <v>1737</v>
      </c>
      <c r="B1738">
        <f>Schedule!$A$251</f>
        <v/>
      </c>
      <c r="C1738">
        <f>Schedule!$D$251</f>
        <v/>
      </c>
      <c r="D1738">
        <f>Schedule!$F$251</f>
        <v/>
      </c>
      <c r="E1738" t="n">
        <v>0</v>
      </c>
      <c r="F1738">
        <f>Schedule!$G$1</f>
        <v/>
      </c>
      <c r="G1738">
        <f>Schedule!$G$2</f>
        <v/>
      </c>
      <c r="H1738">
        <f>Schedule!$G$251</f>
        <v/>
      </c>
      <c r="I1738">
        <f>IF($N1738=1,VALUE(LEFT($H1738,2)),"")</f>
        <v/>
      </c>
      <c r="J1738">
        <f>IF($N1738=1,VALUE(MID($H1738,9,2)),"")</f>
        <v/>
      </c>
      <c r="K1738">
        <f>IF($N1738=1,MOD($J1738-$I1738,24),0)</f>
        <v/>
      </c>
      <c r="L1738">
        <f>IF($N1738=1,$E1738*24+$I1738,"")</f>
        <v/>
      </c>
      <c r="M1738">
        <f>IF($N1738=1,$L1738+$K1738,"")</f>
        <v/>
      </c>
      <c r="N1738">
        <f>IF(ISNUMBER(SEARCH(" - ",$H1738&amp;"")),1,0)</f>
        <v/>
      </c>
      <c r="O1738">
        <f>IF(UPPER($H1738&amp;"")="LEAVE",1,0)</f>
        <v/>
      </c>
      <c r="P1738">
        <f>IF($N1738=1,$K1738,0)</f>
        <v/>
      </c>
      <c r="Q1738">
        <f>IF($N1738=0,"",IFERROR($L1738-'Previous Engine'!$M$250,""))</f>
        <v/>
      </c>
    </row>
    <row r="1739">
      <c r="A1739" t="n">
        <v>1738</v>
      </c>
      <c r="B1739">
        <f>Schedule!$A$251</f>
        <v/>
      </c>
      <c r="C1739">
        <f>Schedule!$D$251</f>
        <v/>
      </c>
      <c r="D1739">
        <f>Schedule!$F$251</f>
        <v/>
      </c>
      <c r="E1739" t="n">
        <v>1</v>
      </c>
      <c r="F1739">
        <f>Schedule!$H$1</f>
        <v/>
      </c>
      <c r="G1739">
        <f>Schedule!$H$2</f>
        <v/>
      </c>
      <c r="H1739">
        <f>Schedule!$H$251</f>
        <v/>
      </c>
      <c r="I1739">
        <f>IF($N1739=1,VALUE(LEFT($H1739,2)),"")</f>
        <v/>
      </c>
      <c r="J1739">
        <f>IF($N1739=1,VALUE(MID($H1739,9,2)),"")</f>
        <v/>
      </c>
      <c r="K1739">
        <f>IF($N1739=1,MOD($J1739-$I1739,24),0)</f>
        <v/>
      </c>
      <c r="L1739">
        <f>IF($N1739=1,$E1739*24+$I1739,"")</f>
        <v/>
      </c>
      <c r="M1739">
        <f>IF($N1739=1,$L1739+$K1739,"")</f>
        <v/>
      </c>
      <c r="N1739">
        <f>IF(ISNUMBER(SEARCH(" - ",$H1739&amp;"")),1,0)</f>
        <v/>
      </c>
      <c r="O1739">
        <f>IF(UPPER($H1739&amp;"")="LEAVE",1,0)</f>
        <v/>
      </c>
      <c r="P1739">
        <f>IF($N1739=1,$K1739,0)</f>
        <v/>
      </c>
      <c r="Q1739">
        <f>IF($N1739=0,"",IFERROR($L1739-LOOKUP(2,1/(($B$2:$B1738=$B1739)*($N$2:$N1738=1)),$M$2:$M1738),""))</f>
        <v/>
      </c>
    </row>
    <row r="1740">
      <c r="A1740" t="n">
        <v>1739</v>
      </c>
      <c r="B1740">
        <f>Schedule!$A$251</f>
        <v/>
      </c>
      <c r="C1740">
        <f>Schedule!$D$251</f>
        <v/>
      </c>
      <c r="D1740">
        <f>Schedule!$F$251</f>
        <v/>
      </c>
      <c r="E1740" t="n">
        <v>2</v>
      </c>
      <c r="F1740">
        <f>Schedule!$I$1</f>
        <v/>
      </c>
      <c r="G1740">
        <f>Schedule!$I$2</f>
        <v/>
      </c>
      <c r="H1740">
        <f>Schedule!$I$251</f>
        <v/>
      </c>
      <c r="I1740">
        <f>IF($N1740=1,VALUE(LEFT($H1740,2)),"")</f>
        <v/>
      </c>
      <c r="J1740">
        <f>IF($N1740=1,VALUE(MID($H1740,9,2)),"")</f>
        <v/>
      </c>
      <c r="K1740">
        <f>IF($N1740=1,MOD($J1740-$I1740,24),0)</f>
        <v/>
      </c>
      <c r="L1740">
        <f>IF($N1740=1,$E1740*24+$I1740,"")</f>
        <v/>
      </c>
      <c r="M1740">
        <f>IF($N1740=1,$L1740+$K1740,"")</f>
        <v/>
      </c>
      <c r="N1740">
        <f>IF(ISNUMBER(SEARCH(" - ",$H1740&amp;"")),1,0)</f>
        <v/>
      </c>
      <c r="O1740">
        <f>IF(UPPER($H1740&amp;"")="LEAVE",1,0)</f>
        <v/>
      </c>
      <c r="P1740">
        <f>IF($N1740=1,$K1740,0)</f>
        <v/>
      </c>
      <c r="Q1740">
        <f>IF($N1740=0,"",IFERROR($L1740-LOOKUP(2,1/(($B$2:$B1739=$B1740)*($N$2:$N1739=1)),$M$2:$M1739),""))</f>
        <v/>
      </c>
    </row>
    <row r="1741">
      <c r="A1741" t="n">
        <v>1740</v>
      </c>
      <c r="B1741">
        <f>Schedule!$A$251</f>
        <v/>
      </c>
      <c r="C1741">
        <f>Schedule!$D$251</f>
        <v/>
      </c>
      <c r="D1741">
        <f>Schedule!$F$251</f>
        <v/>
      </c>
      <c r="E1741" t="n">
        <v>3</v>
      </c>
      <c r="F1741">
        <f>Schedule!$J$1</f>
        <v/>
      </c>
      <c r="G1741">
        <f>Schedule!$J$2</f>
        <v/>
      </c>
      <c r="H1741">
        <f>Schedule!$J$251</f>
        <v/>
      </c>
      <c r="I1741">
        <f>IF($N1741=1,VALUE(LEFT($H1741,2)),"")</f>
        <v/>
      </c>
      <c r="J1741">
        <f>IF($N1741=1,VALUE(MID($H1741,9,2)),"")</f>
        <v/>
      </c>
      <c r="K1741">
        <f>IF($N1741=1,MOD($J1741-$I1741,24),0)</f>
        <v/>
      </c>
      <c r="L1741">
        <f>IF($N1741=1,$E1741*24+$I1741,"")</f>
        <v/>
      </c>
      <c r="M1741">
        <f>IF($N1741=1,$L1741+$K1741,"")</f>
        <v/>
      </c>
      <c r="N1741">
        <f>IF(ISNUMBER(SEARCH(" - ",$H1741&amp;"")),1,0)</f>
        <v/>
      </c>
      <c r="O1741">
        <f>IF(UPPER($H1741&amp;"")="LEAVE",1,0)</f>
        <v/>
      </c>
      <c r="P1741">
        <f>IF($N1741=1,$K1741,0)</f>
        <v/>
      </c>
      <c r="Q1741">
        <f>IF($N1741=0,"",IFERROR($L1741-LOOKUP(2,1/(($B$2:$B1740=$B1741)*($N$2:$N1740=1)),$M$2:$M1740),""))</f>
        <v/>
      </c>
    </row>
    <row r="1742">
      <c r="A1742" t="n">
        <v>1741</v>
      </c>
      <c r="B1742">
        <f>Schedule!$A$251</f>
        <v/>
      </c>
      <c r="C1742">
        <f>Schedule!$D$251</f>
        <v/>
      </c>
      <c r="D1742">
        <f>Schedule!$F$251</f>
        <v/>
      </c>
      <c r="E1742" t="n">
        <v>4</v>
      </c>
      <c r="F1742">
        <f>Schedule!$K$1</f>
        <v/>
      </c>
      <c r="G1742">
        <f>Schedule!$K$2</f>
        <v/>
      </c>
      <c r="H1742">
        <f>Schedule!$K$251</f>
        <v/>
      </c>
      <c r="I1742">
        <f>IF($N1742=1,VALUE(LEFT($H1742,2)),"")</f>
        <v/>
      </c>
      <c r="J1742">
        <f>IF($N1742=1,VALUE(MID($H1742,9,2)),"")</f>
        <v/>
      </c>
      <c r="K1742">
        <f>IF($N1742=1,MOD($J1742-$I1742,24),0)</f>
        <v/>
      </c>
      <c r="L1742">
        <f>IF($N1742=1,$E1742*24+$I1742,"")</f>
        <v/>
      </c>
      <c r="M1742">
        <f>IF($N1742=1,$L1742+$K1742,"")</f>
        <v/>
      </c>
      <c r="N1742">
        <f>IF(ISNUMBER(SEARCH(" - ",$H1742&amp;"")),1,0)</f>
        <v/>
      </c>
      <c r="O1742">
        <f>IF(UPPER($H1742&amp;"")="LEAVE",1,0)</f>
        <v/>
      </c>
      <c r="P1742">
        <f>IF($N1742=1,$K1742,0)</f>
        <v/>
      </c>
      <c r="Q1742">
        <f>IF($N1742=0,"",IFERROR($L1742-LOOKUP(2,1/(($B$2:$B1741=$B1742)*($N$2:$N1741=1)),$M$2:$M1741),""))</f>
        <v/>
      </c>
    </row>
    <row r="1743">
      <c r="A1743" t="n">
        <v>1742</v>
      </c>
      <c r="B1743">
        <f>Schedule!$A$251</f>
        <v/>
      </c>
      <c r="C1743">
        <f>Schedule!$D$251</f>
        <v/>
      </c>
      <c r="D1743">
        <f>Schedule!$F$251</f>
        <v/>
      </c>
      <c r="E1743" t="n">
        <v>5</v>
      </c>
      <c r="F1743">
        <f>Schedule!$L$1</f>
        <v/>
      </c>
      <c r="G1743">
        <f>Schedule!$L$2</f>
        <v/>
      </c>
      <c r="H1743">
        <f>Schedule!$L$251</f>
        <v/>
      </c>
      <c r="I1743">
        <f>IF($N1743=1,VALUE(LEFT($H1743,2)),"")</f>
        <v/>
      </c>
      <c r="J1743">
        <f>IF($N1743=1,VALUE(MID($H1743,9,2)),"")</f>
        <v/>
      </c>
      <c r="K1743">
        <f>IF($N1743=1,MOD($J1743-$I1743,24),0)</f>
        <v/>
      </c>
      <c r="L1743">
        <f>IF($N1743=1,$E1743*24+$I1743,"")</f>
        <v/>
      </c>
      <c r="M1743">
        <f>IF($N1743=1,$L1743+$K1743,"")</f>
        <v/>
      </c>
      <c r="N1743">
        <f>IF(ISNUMBER(SEARCH(" - ",$H1743&amp;"")),1,0)</f>
        <v/>
      </c>
      <c r="O1743">
        <f>IF(UPPER($H1743&amp;"")="LEAVE",1,0)</f>
        <v/>
      </c>
      <c r="P1743">
        <f>IF($N1743=1,$K1743,0)</f>
        <v/>
      </c>
      <c r="Q1743">
        <f>IF($N1743=0,"",IFERROR($L1743-LOOKUP(2,1/(($B$2:$B1742=$B1743)*($N$2:$N1742=1)),$M$2:$M1742),""))</f>
        <v/>
      </c>
    </row>
    <row r="1744">
      <c r="A1744" t="n">
        <v>1743</v>
      </c>
      <c r="B1744">
        <f>Schedule!$A$251</f>
        <v/>
      </c>
      <c r="C1744">
        <f>Schedule!$D$251</f>
        <v/>
      </c>
      <c r="D1744">
        <f>Schedule!$F$251</f>
        <v/>
      </c>
      <c r="E1744" t="n">
        <v>6</v>
      </c>
      <c r="F1744">
        <f>Schedule!$M$1</f>
        <v/>
      </c>
      <c r="G1744">
        <f>Schedule!$M$2</f>
        <v/>
      </c>
      <c r="H1744">
        <f>Schedule!$M$251</f>
        <v/>
      </c>
      <c r="I1744">
        <f>IF($N1744=1,VALUE(LEFT($H1744,2)),"")</f>
        <v/>
      </c>
      <c r="J1744">
        <f>IF($N1744=1,VALUE(MID($H1744,9,2)),"")</f>
        <v/>
      </c>
      <c r="K1744">
        <f>IF($N1744=1,MOD($J1744-$I1744,24),0)</f>
        <v/>
      </c>
      <c r="L1744">
        <f>IF($N1744=1,$E1744*24+$I1744,"")</f>
        <v/>
      </c>
      <c r="M1744">
        <f>IF($N1744=1,$L1744+$K1744,"")</f>
        <v/>
      </c>
      <c r="N1744">
        <f>IF(ISNUMBER(SEARCH(" - ",$H1744&amp;"")),1,0)</f>
        <v/>
      </c>
      <c r="O1744">
        <f>IF(UPPER($H1744&amp;"")="LEAVE",1,0)</f>
        <v/>
      </c>
      <c r="P1744">
        <f>IF($N1744=1,$K1744,0)</f>
        <v/>
      </c>
      <c r="Q1744">
        <f>IF($N1744=0,"",IFERROR($L1744-LOOKUP(2,1/(($B$2:$B1743=$B1744)*($N$2:$N1743=1)),$M$2:$M1743),""))</f>
        <v/>
      </c>
    </row>
    <row r="1745">
      <c r="A1745" t="n">
        <v>1744</v>
      </c>
      <c r="B1745">
        <f>Schedule!$A$252</f>
        <v/>
      </c>
      <c r="C1745">
        <f>Schedule!$D$252</f>
        <v/>
      </c>
      <c r="D1745">
        <f>Schedule!$F$252</f>
        <v/>
      </c>
      <c r="E1745" t="n">
        <v>0</v>
      </c>
      <c r="F1745">
        <f>Schedule!$G$1</f>
        <v/>
      </c>
      <c r="G1745">
        <f>Schedule!$G$2</f>
        <v/>
      </c>
      <c r="H1745">
        <f>Schedule!$G$252</f>
        <v/>
      </c>
      <c r="I1745">
        <f>IF($N1745=1,VALUE(LEFT($H1745,2)),"")</f>
        <v/>
      </c>
      <c r="J1745">
        <f>IF($N1745=1,VALUE(MID($H1745,9,2)),"")</f>
        <v/>
      </c>
      <c r="K1745">
        <f>IF($N1745=1,MOD($J1745-$I1745,24),0)</f>
        <v/>
      </c>
      <c r="L1745">
        <f>IF($N1745=1,$E1745*24+$I1745,"")</f>
        <v/>
      </c>
      <c r="M1745">
        <f>IF($N1745=1,$L1745+$K1745,"")</f>
        <v/>
      </c>
      <c r="N1745">
        <f>IF(ISNUMBER(SEARCH(" - ",$H1745&amp;"")),1,0)</f>
        <v/>
      </c>
      <c r="O1745">
        <f>IF(UPPER($H1745&amp;"")="LEAVE",1,0)</f>
        <v/>
      </c>
      <c r="P1745">
        <f>IF($N1745=1,$K1745,0)</f>
        <v/>
      </c>
      <c r="Q1745">
        <f>IF($N1745=0,"",IFERROR($L1745-'Previous Engine'!$M$251,""))</f>
        <v/>
      </c>
    </row>
    <row r="1746">
      <c r="A1746" t="n">
        <v>1745</v>
      </c>
      <c r="B1746">
        <f>Schedule!$A$252</f>
        <v/>
      </c>
      <c r="C1746">
        <f>Schedule!$D$252</f>
        <v/>
      </c>
      <c r="D1746">
        <f>Schedule!$F$252</f>
        <v/>
      </c>
      <c r="E1746" t="n">
        <v>1</v>
      </c>
      <c r="F1746">
        <f>Schedule!$H$1</f>
        <v/>
      </c>
      <c r="G1746">
        <f>Schedule!$H$2</f>
        <v/>
      </c>
      <c r="H1746">
        <f>Schedule!$H$252</f>
        <v/>
      </c>
      <c r="I1746">
        <f>IF($N1746=1,VALUE(LEFT($H1746,2)),"")</f>
        <v/>
      </c>
      <c r="J1746">
        <f>IF($N1746=1,VALUE(MID($H1746,9,2)),"")</f>
        <v/>
      </c>
      <c r="K1746">
        <f>IF($N1746=1,MOD($J1746-$I1746,24),0)</f>
        <v/>
      </c>
      <c r="L1746">
        <f>IF($N1746=1,$E1746*24+$I1746,"")</f>
        <v/>
      </c>
      <c r="M1746">
        <f>IF($N1746=1,$L1746+$K1746,"")</f>
        <v/>
      </c>
      <c r="N1746">
        <f>IF(ISNUMBER(SEARCH(" - ",$H1746&amp;"")),1,0)</f>
        <v/>
      </c>
      <c r="O1746">
        <f>IF(UPPER($H1746&amp;"")="LEAVE",1,0)</f>
        <v/>
      </c>
      <c r="P1746">
        <f>IF($N1746=1,$K1746,0)</f>
        <v/>
      </c>
      <c r="Q1746">
        <f>IF($N1746=0,"",IFERROR($L1746-LOOKUP(2,1/(($B$2:$B1745=$B1746)*($N$2:$N1745=1)),$M$2:$M1745),""))</f>
        <v/>
      </c>
    </row>
    <row r="1747">
      <c r="A1747" t="n">
        <v>1746</v>
      </c>
      <c r="B1747">
        <f>Schedule!$A$252</f>
        <v/>
      </c>
      <c r="C1747">
        <f>Schedule!$D$252</f>
        <v/>
      </c>
      <c r="D1747">
        <f>Schedule!$F$252</f>
        <v/>
      </c>
      <c r="E1747" t="n">
        <v>2</v>
      </c>
      <c r="F1747">
        <f>Schedule!$I$1</f>
        <v/>
      </c>
      <c r="G1747">
        <f>Schedule!$I$2</f>
        <v/>
      </c>
      <c r="H1747">
        <f>Schedule!$I$252</f>
        <v/>
      </c>
      <c r="I1747">
        <f>IF($N1747=1,VALUE(LEFT($H1747,2)),"")</f>
        <v/>
      </c>
      <c r="J1747">
        <f>IF($N1747=1,VALUE(MID($H1747,9,2)),"")</f>
        <v/>
      </c>
      <c r="K1747">
        <f>IF($N1747=1,MOD($J1747-$I1747,24),0)</f>
        <v/>
      </c>
      <c r="L1747">
        <f>IF($N1747=1,$E1747*24+$I1747,"")</f>
        <v/>
      </c>
      <c r="M1747">
        <f>IF($N1747=1,$L1747+$K1747,"")</f>
        <v/>
      </c>
      <c r="N1747">
        <f>IF(ISNUMBER(SEARCH(" - ",$H1747&amp;"")),1,0)</f>
        <v/>
      </c>
      <c r="O1747">
        <f>IF(UPPER($H1747&amp;"")="LEAVE",1,0)</f>
        <v/>
      </c>
      <c r="P1747">
        <f>IF($N1747=1,$K1747,0)</f>
        <v/>
      </c>
      <c r="Q1747">
        <f>IF($N1747=0,"",IFERROR($L1747-LOOKUP(2,1/(($B$2:$B1746=$B1747)*($N$2:$N1746=1)),$M$2:$M1746),""))</f>
        <v/>
      </c>
    </row>
    <row r="1748">
      <c r="A1748" t="n">
        <v>1747</v>
      </c>
      <c r="B1748">
        <f>Schedule!$A$252</f>
        <v/>
      </c>
      <c r="C1748">
        <f>Schedule!$D$252</f>
        <v/>
      </c>
      <c r="D1748">
        <f>Schedule!$F$252</f>
        <v/>
      </c>
      <c r="E1748" t="n">
        <v>3</v>
      </c>
      <c r="F1748">
        <f>Schedule!$J$1</f>
        <v/>
      </c>
      <c r="G1748">
        <f>Schedule!$J$2</f>
        <v/>
      </c>
      <c r="H1748">
        <f>Schedule!$J$252</f>
        <v/>
      </c>
      <c r="I1748">
        <f>IF($N1748=1,VALUE(LEFT($H1748,2)),"")</f>
        <v/>
      </c>
      <c r="J1748">
        <f>IF($N1748=1,VALUE(MID($H1748,9,2)),"")</f>
        <v/>
      </c>
      <c r="K1748">
        <f>IF($N1748=1,MOD($J1748-$I1748,24),0)</f>
        <v/>
      </c>
      <c r="L1748">
        <f>IF($N1748=1,$E1748*24+$I1748,"")</f>
        <v/>
      </c>
      <c r="M1748">
        <f>IF($N1748=1,$L1748+$K1748,"")</f>
        <v/>
      </c>
      <c r="N1748">
        <f>IF(ISNUMBER(SEARCH(" - ",$H1748&amp;"")),1,0)</f>
        <v/>
      </c>
      <c r="O1748">
        <f>IF(UPPER($H1748&amp;"")="LEAVE",1,0)</f>
        <v/>
      </c>
      <c r="P1748">
        <f>IF($N1748=1,$K1748,0)</f>
        <v/>
      </c>
      <c r="Q1748">
        <f>IF($N1748=0,"",IFERROR($L1748-LOOKUP(2,1/(($B$2:$B1747=$B1748)*($N$2:$N1747=1)),$M$2:$M1747),""))</f>
        <v/>
      </c>
    </row>
    <row r="1749">
      <c r="A1749" t="n">
        <v>1748</v>
      </c>
      <c r="B1749">
        <f>Schedule!$A$252</f>
        <v/>
      </c>
      <c r="C1749">
        <f>Schedule!$D$252</f>
        <v/>
      </c>
      <c r="D1749">
        <f>Schedule!$F$252</f>
        <v/>
      </c>
      <c r="E1749" t="n">
        <v>4</v>
      </c>
      <c r="F1749">
        <f>Schedule!$K$1</f>
        <v/>
      </c>
      <c r="G1749">
        <f>Schedule!$K$2</f>
        <v/>
      </c>
      <c r="H1749">
        <f>Schedule!$K$252</f>
        <v/>
      </c>
      <c r="I1749">
        <f>IF($N1749=1,VALUE(LEFT($H1749,2)),"")</f>
        <v/>
      </c>
      <c r="J1749">
        <f>IF($N1749=1,VALUE(MID($H1749,9,2)),"")</f>
        <v/>
      </c>
      <c r="K1749">
        <f>IF($N1749=1,MOD($J1749-$I1749,24),0)</f>
        <v/>
      </c>
      <c r="L1749">
        <f>IF($N1749=1,$E1749*24+$I1749,"")</f>
        <v/>
      </c>
      <c r="M1749">
        <f>IF($N1749=1,$L1749+$K1749,"")</f>
        <v/>
      </c>
      <c r="N1749">
        <f>IF(ISNUMBER(SEARCH(" - ",$H1749&amp;"")),1,0)</f>
        <v/>
      </c>
      <c r="O1749">
        <f>IF(UPPER($H1749&amp;"")="LEAVE",1,0)</f>
        <v/>
      </c>
      <c r="P1749">
        <f>IF($N1749=1,$K1749,0)</f>
        <v/>
      </c>
      <c r="Q1749">
        <f>IF($N1749=0,"",IFERROR($L1749-LOOKUP(2,1/(($B$2:$B1748=$B1749)*($N$2:$N1748=1)),$M$2:$M1748),""))</f>
        <v/>
      </c>
    </row>
    <row r="1750">
      <c r="A1750" t="n">
        <v>1749</v>
      </c>
      <c r="B1750">
        <f>Schedule!$A$252</f>
        <v/>
      </c>
      <c r="C1750">
        <f>Schedule!$D$252</f>
        <v/>
      </c>
      <c r="D1750">
        <f>Schedule!$F$252</f>
        <v/>
      </c>
      <c r="E1750" t="n">
        <v>5</v>
      </c>
      <c r="F1750">
        <f>Schedule!$L$1</f>
        <v/>
      </c>
      <c r="G1750">
        <f>Schedule!$L$2</f>
        <v/>
      </c>
      <c r="H1750">
        <f>Schedule!$L$252</f>
        <v/>
      </c>
      <c r="I1750">
        <f>IF($N1750=1,VALUE(LEFT($H1750,2)),"")</f>
        <v/>
      </c>
      <c r="J1750">
        <f>IF($N1750=1,VALUE(MID($H1750,9,2)),"")</f>
        <v/>
      </c>
      <c r="K1750">
        <f>IF($N1750=1,MOD($J1750-$I1750,24),0)</f>
        <v/>
      </c>
      <c r="L1750">
        <f>IF($N1750=1,$E1750*24+$I1750,"")</f>
        <v/>
      </c>
      <c r="M1750">
        <f>IF($N1750=1,$L1750+$K1750,"")</f>
        <v/>
      </c>
      <c r="N1750">
        <f>IF(ISNUMBER(SEARCH(" - ",$H1750&amp;"")),1,0)</f>
        <v/>
      </c>
      <c r="O1750">
        <f>IF(UPPER($H1750&amp;"")="LEAVE",1,0)</f>
        <v/>
      </c>
      <c r="P1750">
        <f>IF($N1750=1,$K1750,0)</f>
        <v/>
      </c>
      <c r="Q1750">
        <f>IF($N1750=0,"",IFERROR($L1750-LOOKUP(2,1/(($B$2:$B1749=$B1750)*($N$2:$N1749=1)),$M$2:$M1749),""))</f>
        <v/>
      </c>
    </row>
    <row r="1751">
      <c r="A1751" t="n">
        <v>1750</v>
      </c>
      <c r="B1751">
        <f>Schedule!$A$252</f>
        <v/>
      </c>
      <c r="C1751">
        <f>Schedule!$D$252</f>
        <v/>
      </c>
      <c r="D1751">
        <f>Schedule!$F$252</f>
        <v/>
      </c>
      <c r="E1751" t="n">
        <v>6</v>
      </c>
      <c r="F1751">
        <f>Schedule!$M$1</f>
        <v/>
      </c>
      <c r="G1751">
        <f>Schedule!$M$2</f>
        <v/>
      </c>
      <c r="H1751">
        <f>Schedule!$M$252</f>
        <v/>
      </c>
      <c r="I1751">
        <f>IF($N1751=1,VALUE(LEFT($H1751,2)),"")</f>
        <v/>
      </c>
      <c r="J1751">
        <f>IF($N1751=1,VALUE(MID($H1751,9,2)),"")</f>
        <v/>
      </c>
      <c r="K1751">
        <f>IF($N1751=1,MOD($J1751-$I1751,24),0)</f>
        <v/>
      </c>
      <c r="L1751">
        <f>IF($N1751=1,$E1751*24+$I1751,"")</f>
        <v/>
      </c>
      <c r="M1751">
        <f>IF($N1751=1,$L1751+$K1751,"")</f>
        <v/>
      </c>
      <c r="N1751">
        <f>IF(ISNUMBER(SEARCH(" - ",$H1751&amp;"")),1,0)</f>
        <v/>
      </c>
      <c r="O1751">
        <f>IF(UPPER($H1751&amp;"")="LEAVE",1,0)</f>
        <v/>
      </c>
      <c r="P1751">
        <f>IF($N1751=1,$K1751,0)</f>
        <v/>
      </c>
      <c r="Q1751">
        <f>IF($N1751=0,"",IFERROR($L1751-LOOKUP(2,1/(($B$2:$B1750=$B1751)*($N$2:$N1750=1)),$M$2:$M1750),""))</f>
        <v/>
      </c>
    </row>
  </sheetData>
  <autoFilter ref="A1:Q175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D9EAD3"/>
    <outlinePr summaryBelow="1" summaryRight="1"/>
    <pageSetUpPr/>
  </sheetPr>
  <dimension ref="A1:M251"/>
  <sheetViews>
    <sheetView showGridLines="0" workbookViewId="0">
      <selection activeCell="A1" sqref="A1"/>
    </sheetView>
  </sheetViews>
  <sheetFormatPr baseColWidth="8" defaultRowHeight="15"/>
  <cols>
    <col width="16" customWidth="1" style="45" min="1" max="13"/>
  </cols>
  <sheetData>
    <row r="1" ht="30" customHeight="1" s="45">
      <c r="A1" s="6" t="inlineStr">
        <is>
          <t>Slot</t>
        </is>
      </c>
      <c r="B1" s="6" t="inlineStr">
        <is>
          <t>Name</t>
        </is>
      </c>
      <c r="C1" s="6" t="inlineStr">
        <is>
          <t>Language</t>
        </is>
      </c>
      <c r="D1" s="6" t="inlineStr">
        <is>
          <t>Previous Saturday Shift</t>
        </is>
      </c>
      <c r="E1" s="6" t="inlineStr">
        <is>
          <t>Start Hour</t>
        </is>
      </c>
      <c r="F1" s="6" t="inlineStr">
        <is>
          <t>End Hour</t>
        </is>
      </c>
      <c r="G1" s="6" t="inlineStr">
        <is>
          <t>Duration</t>
        </is>
      </c>
      <c r="H1" s="6" t="inlineStr">
        <is>
          <t>Start Abs</t>
        </is>
      </c>
      <c r="I1" s="6" t="inlineStr">
        <is>
          <t>End Abs</t>
        </is>
      </c>
      <c r="J1" s="6" t="inlineStr">
        <is>
          <t>Is Work</t>
        </is>
      </c>
      <c r="K1" s="6" t="inlineStr">
        <is>
          <t>Covers Sunday</t>
        </is>
      </c>
      <c r="L1" s="6" t="inlineStr">
        <is>
          <t>End Abs For Rest</t>
        </is>
      </c>
      <c r="M1" s="6" t="inlineStr">
        <is>
          <t>Notes</t>
        </is>
      </c>
    </row>
    <row r="2">
      <c r="A2">
        <f>'Previous week scheduled'!$A$2</f>
        <v/>
      </c>
      <c r="B2">
        <f>'Previous week scheduled'!$B$2</f>
        <v/>
      </c>
      <c r="C2">
        <f>'Previous week scheduled'!$C$2</f>
        <v/>
      </c>
      <c r="D2">
        <f>'Previous week scheduled'!$D$2</f>
        <v/>
      </c>
      <c r="E2">
        <f>IF($J2=1,VALUE(LEFT($D2,2)),"")</f>
        <v/>
      </c>
      <c r="F2">
        <f>IF($J2=1,VALUE(MID($D2,9,2)),"")</f>
        <v/>
      </c>
      <c r="G2">
        <f>IF($J2=1,MOD($F2-$E2,24),0)</f>
        <v/>
      </c>
      <c r="H2">
        <f>IF($J2=1,-24+$E2,"")</f>
        <v/>
      </c>
      <c r="I2">
        <f>IF($J2=1,$H2+$G2,"")</f>
        <v/>
      </c>
      <c r="J2">
        <f>IF(ISNUMBER(SEARCH(" - ",$D2&amp;"")),1,0)</f>
        <v/>
      </c>
      <c r="K2">
        <f>IF(AND($J2=1,$I2&gt;0),1,0)</f>
        <v/>
      </c>
      <c r="L2">
        <f>IF($J2=1,$I2,-999)</f>
        <v/>
      </c>
      <c r="M2">
        <f>IF($K2=1,"Counts into Sunday based on natural coverage","No Sunday carryover")</f>
        <v/>
      </c>
    </row>
    <row r="3">
      <c r="A3">
        <f>'Previous week scheduled'!$A$3</f>
        <v/>
      </c>
      <c r="B3">
        <f>'Previous week scheduled'!$B$3</f>
        <v/>
      </c>
      <c r="C3">
        <f>'Previous week scheduled'!$C$3</f>
        <v/>
      </c>
      <c r="D3">
        <f>'Previous week scheduled'!$D$3</f>
        <v/>
      </c>
      <c r="E3">
        <f>IF($J3=1,VALUE(LEFT($D3,2)),"")</f>
        <v/>
      </c>
      <c r="F3">
        <f>IF($J3=1,VALUE(MID($D3,9,2)),"")</f>
        <v/>
      </c>
      <c r="G3">
        <f>IF($J3=1,MOD($F3-$E3,24),0)</f>
        <v/>
      </c>
      <c r="H3">
        <f>IF($J3=1,-24+$E3,"")</f>
        <v/>
      </c>
      <c r="I3">
        <f>IF($J3=1,$H3+$G3,"")</f>
        <v/>
      </c>
      <c r="J3">
        <f>IF(ISNUMBER(SEARCH(" - ",$D3&amp;"")),1,0)</f>
        <v/>
      </c>
      <c r="K3">
        <f>IF(AND($J3=1,$I3&gt;0),1,0)</f>
        <v/>
      </c>
      <c r="L3">
        <f>IF($J3=1,$I3,-999)</f>
        <v/>
      </c>
      <c r="M3">
        <f>IF($K3=1,"Counts into Sunday based on natural coverage","No Sunday carryover")</f>
        <v/>
      </c>
    </row>
    <row r="4">
      <c r="A4">
        <f>'Previous week scheduled'!$A$4</f>
        <v/>
      </c>
      <c r="B4">
        <f>'Previous week scheduled'!$B$4</f>
        <v/>
      </c>
      <c r="C4">
        <f>'Previous week scheduled'!$C$4</f>
        <v/>
      </c>
      <c r="D4">
        <f>'Previous week scheduled'!$D$4</f>
        <v/>
      </c>
      <c r="E4">
        <f>IF($J4=1,VALUE(LEFT($D4,2)),"")</f>
        <v/>
      </c>
      <c r="F4">
        <f>IF($J4=1,VALUE(MID($D4,9,2)),"")</f>
        <v/>
      </c>
      <c r="G4">
        <f>IF($J4=1,MOD($F4-$E4,24),0)</f>
        <v/>
      </c>
      <c r="H4">
        <f>IF($J4=1,-24+$E4,"")</f>
        <v/>
      </c>
      <c r="I4">
        <f>IF($J4=1,$H4+$G4,"")</f>
        <v/>
      </c>
      <c r="J4">
        <f>IF(ISNUMBER(SEARCH(" - ",$D4&amp;"")),1,0)</f>
        <v/>
      </c>
      <c r="K4">
        <f>IF(AND($J4=1,$I4&gt;0),1,0)</f>
        <v/>
      </c>
      <c r="L4">
        <f>IF($J4=1,$I4,-999)</f>
        <v/>
      </c>
      <c r="M4">
        <f>IF($K4=1,"Counts into Sunday based on natural coverage","No Sunday carryover")</f>
        <v/>
      </c>
    </row>
    <row r="5">
      <c r="A5">
        <f>'Previous week scheduled'!$A$5</f>
        <v/>
      </c>
      <c r="B5">
        <f>'Previous week scheduled'!$B$5</f>
        <v/>
      </c>
      <c r="C5">
        <f>'Previous week scheduled'!$C$5</f>
        <v/>
      </c>
      <c r="D5">
        <f>'Previous week scheduled'!$D$5</f>
        <v/>
      </c>
      <c r="E5">
        <f>IF($J5=1,VALUE(LEFT($D5,2)),"")</f>
        <v/>
      </c>
      <c r="F5">
        <f>IF($J5=1,VALUE(MID($D5,9,2)),"")</f>
        <v/>
      </c>
      <c r="G5">
        <f>IF($J5=1,MOD($F5-$E5,24),0)</f>
        <v/>
      </c>
      <c r="H5">
        <f>IF($J5=1,-24+$E5,"")</f>
        <v/>
      </c>
      <c r="I5">
        <f>IF($J5=1,$H5+$G5,"")</f>
        <v/>
      </c>
      <c r="J5">
        <f>IF(ISNUMBER(SEARCH(" - ",$D5&amp;"")),1,0)</f>
        <v/>
      </c>
      <c r="K5">
        <f>IF(AND($J5=1,$I5&gt;0),1,0)</f>
        <v/>
      </c>
      <c r="L5">
        <f>IF($J5=1,$I5,-999)</f>
        <v/>
      </c>
      <c r="M5">
        <f>IF($K5=1,"Counts into Sunday based on natural coverage","No Sunday carryover")</f>
        <v/>
      </c>
    </row>
    <row r="6">
      <c r="A6">
        <f>'Previous week scheduled'!$A$6</f>
        <v/>
      </c>
      <c r="B6">
        <f>'Previous week scheduled'!$B$6</f>
        <v/>
      </c>
      <c r="C6">
        <f>'Previous week scheduled'!$C$6</f>
        <v/>
      </c>
      <c r="D6">
        <f>'Previous week scheduled'!$D$6</f>
        <v/>
      </c>
      <c r="E6">
        <f>IF($J6=1,VALUE(LEFT($D6,2)),"")</f>
        <v/>
      </c>
      <c r="F6">
        <f>IF($J6=1,VALUE(MID($D6,9,2)),"")</f>
        <v/>
      </c>
      <c r="G6">
        <f>IF($J6=1,MOD($F6-$E6,24),0)</f>
        <v/>
      </c>
      <c r="H6">
        <f>IF($J6=1,-24+$E6,"")</f>
        <v/>
      </c>
      <c r="I6">
        <f>IF($J6=1,$H6+$G6,"")</f>
        <v/>
      </c>
      <c r="J6">
        <f>IF(ISNUMBER(SEARCH(" - ",$D6&amp;"")),1,0)</f>
        <v/>
      </c>
      <c r="K6">
        <f>IF(AND($J6=1,$I6&gt;0),1,0)</f>
        <v/>
      </c>
      <c r="L6">
        <f>IF($J6=1,$I6,-999)</f>
        <v/>
      </c>
      <c r="M6">
        <f>IF($K6=1,"Counts into Sunday based on natural coverage","No Sunday carryover")</f>
        <v/>
      </c>
    </row>
    <row r="7">
      <c r="A7">
        <f>'Previous week scheduled'!$A$7</f>
        <v/>
      </c>
      <c r="B7">
        <f>'Previous week scheduled'!$B$7</f>
        <v/>
      </c>
      <c r="C7">
        <f>'Previous week scheduled'!$C$7</f>
        <v/>
      </c>
      <c r="D7">
        <f>'Previous week scheduled'!$D$7</f>
        <v/>
      </c>
      <c r="E7">
        <f>IF($J7=1,VALUE(LEFT($D7,2)),"")</f>
        <v/>
      </c>
      <c r="F7">
        <f>IF($J7=1,VALUE(MID($D7,9,2)),"")</f>
        <v/>
      </c>
      <c r="G7">
        <f>IF($J7=1,MOD($F7-$E7,24),0)</f>
        <v/>
      </c>
      <c r="H7">
        <f>IF($J7=1,-24+$E7,"")</f>
        <v/>
      </c>
      <c r="I7">
        <f>IF($J7=1,$H7+$G7,"")</f>
        <v/>
      </c>
      <c r="J7">
        <f>IF(ISNUMBER(SEARCH(" - ",$D7&amp;"")),1,0)</f>
        <v/>
      </c>
      <c r="K7">
        <f>IF(AND($J7=1,$I7&gt;0),1,0)</f>
        <v/>
      </c>
      <c r="L7">
        <f>IF($J7=1,$I7,-999)</f>
        <v/>
      </c>
      <c r="M7">
        <f>IF($K7=1,"Counts into Sunday based on natural coverage","No Sunday carryover")</f>
        <v/>
      </c>
    </row>
    <row r="8">
      <c r="A8">
        <f>'Previous week scheduled'!$A$8</f>
        <v/>
      </c>
      <c r="B8">
        <f>'Previous week scheduled'!$B$8</f>
        <v/>
      </c>
      <c r="C8">
        <f>'Previous week scheduled'!$C$8</f>
        <v/>
      </c>
      <c r="D8">
        <f>'Previous week scheduled'!$D$8</f>
        <v/>
      </c>
      <c r="E8">
        <f>IF($J8=1,VALUE(LEFT($D8,2)),"")</f>
        <v/>
      </c>
      <c r="F8">
        <f>IF($J8=1,VALUE(MID($D8,9,2)),"")</f>
        <v/>
      </c>
      <c r="G8">
        <f>IF($J8=1,MOD($F8-$E8,24),0)</f>
        <v/>
      </c>
      <c r="H8">
        <f>IF($J8=1,-24+$E8,"")</f>
        <v/>
      </c>
      <c r="I8">
        <f>IF($J8=1,$H8+$G8,"")</f>
        <v/>
      </c>
      <c r="J8">
        <f>IF(ISNUMBER(SEARCH(" - ",$D8&amp;"")),1,0)</f>
        <v/>
      </c>
      <c r="K8">
        <f>IF(AND($J8=1,$I8&gt;0),1,0)</f>
        <v/>
      </c>
      <c r="L8">
        <f>IF($J8=1,$I8,-999)</f>
        <v/>
      </c>
      <c r="M8">
        <f>IF($K8=1,"Counts into Sunday based on natural coverage","No Sunday carryover")</f>
        <v/>
      </c>
    </row>
    <row r="9">
      <c r="A9">
        <f>'Previous week scheduled'!$A$9</f>
        <v/>
      </c>
      <c r="B9">
        <f>'Previous week scheduled'!$B$9</f>
        <v/>
      </c>
      <c r="C9">
        <f>'Previous week scheduled'!$C$9</f>
        <v/>
      </c>
      <c r="D9">
        <f>'Previous week scheduled'!$D$9</f>
        <v/>
      </c>
      <c r="E9">
        <f>IF($J9=1,VALUE(LEFT($D9,2)),"")</f>
        <v/>
      </c>
      <c r="F9">
        <f>IF($J9=1,VALUE(MID($D9,9,2)),"")</f>
        <v/>
      </c>
      <c r="G9">
        <f>IF($J9=1,MOD($F9-$E9,24),0)</f>
        <v/>
      </c>
      <c r="H9">
        <f>IF($J9=1,-24+$E9,"")</f>
        <v/>
      </c>
      <c r="I9">
        <f>IF($J9=1,$H9+$G9,"")</f>
        <v/>
      </c>
      <c r="J9">
        <f>IF(ISNUMBER(SEARCH(" - ",$D9&amp;"")),1,0)</f>
        <v/>
      </c>
      <c r="K9">
        <f>IF(AND($J9=1,$I9&gt;0),1,0)</f>
        <v/>
      </c>
      <c r="L9">
        <f>IF($J9=1,$I9,-999)</f>
        <v/>
      </c>
      <c r="M9">
        <f>IF($K9=1,"Counts into Sunday based on natural coverage","No Sunday carryover")</f>
        <v/>
      </c>
    </row>
    <row r="10">
      <c r="A10">
        <f>'Previous week scheduled'!$A$10</f>
        <v/>
      </c>
      <c r="B10">
        <f>'Previous week scheduled'!$B$10</f>
        <v/>
      </c>
      <c r="C10">
        <f>'Previous week scheduled'!$C$10</f>
        <v/>
      </c>
      <c r="D10">
        <f>'Previous week scheduled'!$D$10</f>
        <v/>
      </c>
      <c r="E10">
        <f>IF($J10=1,VALUE(LEFT($D10,2)),"")</f>
        <v/>
      </c>
      <c r="F10">
        <f>IF($J10=1,VALUE(MID($D10,9,2)),"")</f>
        <v/>
      </c>
      <c r="G10">
        <f>IF($J10=1,MOD($F10-$E10,24),0)</f>
        <v/>
      </c>
      <c r="H10">
        <f>IF($J10=1,-24+$E10,"")</f>
        <v/>
      </c>
      <c r="I10">
        <f>IF($J10=1,$H10+$G10,"")</f>
        <v/>
      </c>
      <c r="J10">
        <f>IF(ISNUMBER(SEARCH(" - ",$D10&amp;"")),1,0)</f>
        <v/>
      </c>
      <c r="K10">
        <f>IF(AND($J10=1,$I10&gt;0),1,0)</f>
        <v/>
      </c>
      <c r="L10">
        <f>IF($J10=1,$I10,-999)</f>
        <v/>
      </c>
      <c r="M10">
        <f>IF($K10=1,"Counts into Sunday based on natural coverage","No Sunday carryover")</f>
        <v/>
      </c>
    </row>
    <row r="11">
      <c r="A11">
        <f>'Previous week scheduled'!$A$11</f>
        <v/>
      </c>
      <c r="B11">
        <f>'Previous week scheduled'!$B$11</f>
        <v/>
      </c>
      <c r="C11">
        <f>'Previous week scheduled'!$C$11</f>
        <v/>
      </c>
      <c r="D11">
        <f>'Previous week scheduled'!$D$11</f>
        <v/>
      </c>
      <c r="E11">
        <f>IF($J11=1,VALUE(LEFT($D11,2)),"")</f>
        <v/>
      </c>
      <c r="F11">
        <f>IF($J11=1,VALUE(MID($D11,9,2)),"")</f>
        <v/>
      </c>
      <c r="G11">
        <f>IF($J11=1,MOD($F11-$E11,24),0)</f>
        <v/>
      </c>
      <c r="H11">
        <f>IF($J11=1,-24+$E11,"")</f>
        <v/>
      </c>
      <c r="I11">
        <f>IF($J11=1,$H11+$G11,"")</f>
        <v/>
      </c>
      <c r="J11">
        <f>IF(ISNUMBER(SEARCH(" - ",$D11&amp;"")),1,0)</f>
        <v/>
      </c>
      <c r="K11">
        <f>IF(AND($J11=1,$I11&gt;0),1,0)</f>
        <v/>
      </c>
      <c r="L11">
        <f>IF($J11=1,$I11,-999)</f>
        <v/>
      </c>
      <c r="M11">
        <f>IF($K11=1,"Counts into Sunday based on natural coverage","No Sunday carryover")</f>
        <v/>
      </c>
    </row>
    <row r="12">
      <c r="A12">
        <f>'Previous week scheduled'!$A$12</f>
        <v/>
      </c>
      <c r="B12">
        <f>'Previous week scheduled'!$B$12</f>
        <v/>
      </c>
      <c r="C12">
        <f>'Previous week scheduled'!$C$12</f>
        <v/>
      </c>
      <c r="D12">
        <f>'Previous week scheduled'!$D$12</f>
        <v/>
      </c>
      <c r="E12">
        <f>IF($J12=1,VALUE(LEFT($D12,2)),"")</f>
        <v/>
      </c>
      <c r="F12">
        <f>IF($J12=1,VALUE(MID($D12,9,2)),"")</f>
        <v/>
      </c>
      <c r="G12">
        <f>IF($J12=1,MOD($F12-$E12,24),0)</f>
        <v/>
      </c>
      <c r="H12">
        <f>IF($J12=1,-24+$E12,"")</f>
        <v/>
      </c>
      <c r="I12">
        <f>IF($J12=1,$H12+$G12,"")</f>
        <v/>
      </c>
      <c r="J12">
        <f>IF(ISNUMBER(SEARCH(" - ",$D12&amp;"")),1,0)</f>
        <v/>
      </c>
      <c r="K12">
        <f>IF(AND($J12=1,$I12&gt;0),1,0)</f>
        <v/>
      </c>
      <c r="L12">
        <f>IF($J12=1,$I12,-999)</f>
        <v/>
      </c>
      <c r="M12">
        <f>IF($K12=1,"Counts into Sunday based on natural coverage","No Sunday carryover")</f>
        <v/>
      </c>
    </row>
    <row r="13">
      <c r="A13">
        <f>'Previous week scheduled'!$A$13</f>
        <v/>
      </c>
      <c r="B13">
        <f>'Previous week scheduled'!$B$13</f>
        <v/>
      </c>
      <c r="C13">
        <f>'Previous week scheduled'!$C$13</f>
        <v/>
      </c>
      <c r="D13">
        <f>'Previous week scheduled'!$D$13</f>
        <v/>
      </c>
      <c r="E13">
        <f>IF($J13=1,VALUE(LEFT($D13,2)),"")</f>
        <v/>
      </c>
      <c r="F13">
        <f>IF($J13=1,VALUE(MID($D13,9,2)),"")</f>
        <v/>
      </c>
      <c r="G13">
        <f>IF($J13=1,MOD($F13-$E13,24),0)</f>
        <v/>
      </c>
      <c r="H13">
        <f>IF($J13=1,-24+$E13,"")</f>
        <v/>
      </c>
      <c r="I13">
        <f>IF($J13=1,$H13+$G13,"")</f>
        <v/>
      </c>
      <c r="J13">
        <f>IF(ISNUMBER(SEARCH(" - ",$D13&amp;"")),1,0)</f>
        <v/>
      </c>
      <c r="K13">
        <f>IF(AND($J13=1,$I13&gt;0),1,0)</f>
        <v/>
      </c>
      <c r="L13">
        <f>IF($J13=1,$I13,-999)</f>
        <v/>
      </c>
      <c r="M13">
        <f>IF($K13=1,"Counts into Sunday based on natural coverage","No Sunday carryover")</f>
        <v/>
      </c>
    </row>
    <row r="14">
      <c r="A14">
        <f>'Previous week scheduled'!$A$14</f>
        <v/>
      </c>
      <c r="B14">
        <f>'Previous week scheduled'!$B$14</f>
        <v/>
      </c>
      <c r="C14">
        <f>'Previous week scheduled'!$C$14</f>
        <v/>
      </c>
      <c r="D14">
        <f>'Previous week scheduled'!$D$14</f>
        <v/>
      </c>
      <c r="E14">
        <f>IF($J14=1,VALUE(LEFT($D14,2)),"")</f>
        <v/>
      </c>
      <c r="F14">
        <f>IF($J14=1,VALUE(MID($D14,9,2)),"")</f>
        <v/>
      </c>
      <c r="G14">
        <f>IF($J14=1,MOD($F14-$E14,24),0)</f>
        <v/>
      </c>
      <c r="H14">
        <f>IF($J14=1,-24+$E14,"")</f>
        <v/>
      </c>
      <c r="I14">
        <f>IF($J14=1,$H14+$G14,"")</f>
        <v/>
      </c>
      <c r="J14">
        <f>IF(ISNUMBER(SEARCH(" - ",$D14&amp;"")),1,0)</f>
        <v/>
      </c>
      <c r="K14">
        <f>IF(AND($J14=1,$I14&gt;0),1,0)</f>
        <v/>
      </c>
      <c r="L14">
        <f>IF($J14=1,$I14,-999)</f>
        <v/>
      </c>
      <c r="M14">
        <f>IF($K14=1,"Counts into Sunday based on natural coverage","No Sunday carryover")</f>
        <v/>
      </c>
    </row>
    <row r="15">
      <c r="A15">
        <f>'Previous week scheduled'!$A$15</f>
        <v/>
      </c>
      <c r="B15">
        <f>'Previous week scheduled'!$B$15</f>
        <v/>
      </c>
      <c r="C15">
        <f>'Previous week scheduled'!$C$15</f>
        <v/>
      </c>
      <c r="D15">
        <f>'Previous week scheduled'!$D$15</f>
        <v/>
      </c>
      <c r="E15">
        <f>IF($J15=1,VALUE(LEFT($D15,2)),"")</f>
        <v/>
      </c>
      <c r="F15">
        <f>IF($J15=1,VALUE(MID($D15,9,2)),"")</f>
        <v/>
      </c>
      <c r="G15">
        <f>IF($J15=1,MOD($F15-$E15,24),0)</f>
        <v/>
      </c>
      <c r="H15">
        <f>IF($J15=1,-24+$E15,"")</f>
        <v/>
      </c>
      <c r="I15">
        <f>IF($J15=1,$H15+$G15,"")</f>
        <v/>
      </c>
      <c r="J15">
        <f>IF(ISNUMBER(SEARCH(" - ",$D15&amp;"")),1,0)</f>
        <v/>
      </c>
      <c r="K15">
        <f>IF(AND($J15=1,$I15&gt;0),1,0)</f>
        <v/>
      </c>
      <c r="L15">
        <f>IF($J15=1,$I15,-999)</f>
        <v/>
      </c>
      <c r="M15">
        <f>IF($K15=1,"Counts into Sunday based on natural coverage","No Sunday carryover")</f>
        <v/>
      </c>
    </row>
    <row r="16">
      <c r="A16">
        <f>'Previous week scheduled'!$A$16</f>
        <v/>
      </c>
      <c r="B16">
        <f>'Previous week scheduled'!$B$16</f>
        <v/>
      </c>
      <c r="C16">
        <f>'Previous week scheduled'!$C$16</f>
        <v/>
      </c>
      <c r="D16">
        <f>'Previous week scheduled'!$D$16</f>
        <v/>
      </c>
      <c r="E16">
        <f>IF($J16=1,VALUE(LEFT($D16,2)),"")</f>
        <v/>
      </c>
      <c r="F16">
        <f>IF($J16=1,VALUE(MID($D16,9,2)),"")</f>
        <v/>
      </c>
      <c r="G16">
        <f>IF($J16=1,MOD($F16-$E16,24),0)</f>
        <v/>
      </c>
      <c r="H16">
        <f>IF($J16=1,-24+$E16,"")</f>
        <v/>
      </c>
      <c r="I16">
        <f>IF($J16=1,$H16+$G16,"")</f>
        <v/>
      </c>
      <c r="J16">
        <f>IF(ISNUMBER(SEARCH(" - ",$D16&amp;"")),1,0)</f>
        <v/>
      </c>
      <c r="K16">
        <f>IF(AND($J16=1,$I16&gt;0),1,0)</f>
        <v/>
      </c>
      <c r="L16">
        <f>IF($J16=1,$I16,-999)</f>
        <v/>
      </c>
      <c r="M16">
        <f>IF($K16=1,"Counts into Sunday based on natural coverage","No Sunday carryover")</f>
        <v/>
      </c>
    </row>
    <row r="17">
      <c r="A17">
        <f>'Previous week scheduled'!$A$17</f>
        <v/>
      </c>
      <c r="B17">
        <f>'Previous week scheduled'!$B$17</f>
        <v/>
      </c>
      <c r="C17">
        <f>'Previous week scheduled'!$C$17</f>
        <v/>
      </c>
      <c r="D17">
        <f>'Previous week scheduled'!$D$17</f>
        <v/>
      </c>
      <c r="E17">
        <f>IF($J17=1,VALUE(LEFT($D17,2)),"")</f>
        <v/>
      </c>
      <c r="F17">
        <f>IF($J17=1,VALUE(MID($D17,9,2)),"")</f>
        <v/>
      </c>
      <c r="G17">
        <f>IF($J17=1,MOD($F17-$E17,24),0)</f>
        <v/>
      </c>
      <c r="H17">
        <f>IF($J17=1,-24+$E17,"")</f>
        <v/>
      </c>
      <c r="I17">
        <f>IF($J17=1,$H17+$G17,"")</f>
        <v/>
      </c>
      <c r="J17">
        <f>IF(ISNUMBER(SEARCH(" - ",$D17&amp;"")),1,0)</f>
        <v/>
      </c>
      <c r="K17">
        <f>IF(AND($J17=1,$I17&gt;0),1,0)</f>
        <v/>
      </c>
      <c r="L17">
        <f>IF($J17=1,$I17,-999)</f>
        <v/>
      </c>
      <c r="M17">
        <f>IF($K17=1,"Counts into Sunday based on natural coverage","No Sunday carryover")</f>
        <v/>
      </c>
    </row>
    <row r="18">
      <c r="A18">
        <f>'Previous week scheduled'!$A$18</f>
        <v/>
      </c>
      <c r="B18">
        <f>'Previous week scheduled'!$B$18</f>
        <v/>
      </c>
      <c r="C18">
        <f>'Previous week scheduled'!$C$18</f>
        <v/>
      </c>
      <c r="D18">
        <f>'Previous week scheduled'!$D$18</f>
        <v/>
      </c>
      <c r="E18">
        <f>IF($J18=1,VALUE(LEFT($D18,2)),"")</f>
        <v/>
      </c>
      <c r="F18">
        <f>IF($J18=1,VALUE(MID($D18,9,2)),"")</f>
        <v/>
      </c>
      <c r="G18">
        <f>IF($J18=1,MOD($F18-$E18,24),0)</f>
        <v/>
      </c>
      <c r="H18">
        <f>IF($J18=1,-24+$E18,"")</f>
        <v/>
      </c>
      <c r="I18">
        <f>IF($J18=1,$H18+$G18,"")</f>
        <v/>
      </c>
      <c r="J18">
        <f>IF(ISNUMBER(SEARCH(" - ",$D18&amp;"")),1,0)</f>
        <v/>
      </c>
      <c r="K18">
        <f>IF(AND($J18=1,$I18&gt;0),1,0)</f>
        <v/>
      </c>
      <c r="L18">
        <f>IF($J18=1,$I18,-999)</f>
        <v/>
      </c>
      <c r="M18">
        <f>IF($K18=1,"Counts into Sunday based on natural coverage","No Sunday carryover")</f>
        <v/>
      </c>
    </row>
    <row r="19">
      <c r="A19">
        <f>'Previous week scheduled'!$A$19</f>
        <v/>
      </c>
      <c r="B19">
        <f>'Previous week scheduled'!$B$19</f>
        <v/>
      </c>
      <c r="C19">
        <f>'Previous week scheduled'!$C$19</f>
        <v/>
      </c>
      <c r="D19">
        <f>'Previous week scheduled'!$D$19</f>
        <v/>
      </c>
      <c r="E19">
        <f>IF($J19=1,VALUE(LEFT($D19,2)),"")</f>
        <v/>
      </c>
      <c r="F19">
        <f>IF($J19=1,VALUE(MID($D19,9,2)),"")</f>
        <v/>
      </c>
      <c r="G19">
        <f>IF($J19=1,MOD($F19-$E19,24),0)</f>
        <v/>
      </c>
      <c r="H19">
        <f>IF($J19=1,-24+$E19,"")</f>
        <v/>
      </c>
      <c r="I19">
        <f>IF($J19=1,$H19+$G19,"")</f>
        <v/>
      </c>
      <c r="J19">
        <f>IF(ISNUMBER(SEARCH(" - ",$D19&amp;"")),1,0)</f>
        <v/>
      </c>
      <c r="K19">
        <f>IF(AND($J19=1,$I19&gt;0),1,0)</f>
        <v/>
      </c>
      <c r="L19">
        <f>IF($J19=1,$I19,-999)</f>
        <v/>
      </c>
      <c r="M19">
        <f>IF($K19=1,"Counts into Sunday based on natural coverage","No Sunday carryover")</f>
        <v/>
      </c>
    </row>
    <row r="20">
      <c r="A20">
        <f>'Previous week scheduled'!$A$20</f>
        <v/>
      </c>
      <c r="B20">
        <f>'Previous week scheduled'!$B$20</f>
        <v/>
      </c>
      <c r="C20">
        <f>'Previous week scheduled'!$C$20</f>
        <v/>
      </c>
      <c r="D20">
        <f>'Previous week scheduled'!$D$20</f>
        <v/>
      </c>
      <c r="E20">
        <f>IF($J20=1,VALUE(LEFT($D20,2)),"")</f>
        <v/>
      </c>
      <c r="F20">
        <f>IF($J20=1,VALUE(MID($D20,9,2)),"")</f>
        <v/>
      </c>
      <c r="G20">
        <f>IF($J20=1,MOD($F20-$E20,24),0)</f>
        <v/>
      </c>
      <c r="H20">
        <f>IF($J20=1,-24+$E20,"")</f>
        <v/>
      </c>
      <c r="I20">
        <f>IF($J20=1,$H20+$G20,"")</f>
        <v/>
      </c>
      <c r="J20">
        <f>IF(ISNUMBER(SEARCH(" - ",$D20&amp;"")),1,0)</f>
        <v/>
      </c>
      <c r="K20">
        <f>IF(AND($J20=1,$I20&gt;0),1,0)</f>
        <v/>
      </c>
      <c r="L20">
        <f>IF($J20=1,$I20,-999)</f>
        <v/>
      </c>
      <c r="M20">
        <f>IF($K20=1,"Counts into Sunday based on natural coverage","No Sunday carryover")</f>
        <v/>
      </c>
    </row>
    <row r="21">
      <c r="A21">
        <f>'Previous week scheduled'!$A$21</f>
        <v/>
      </c>
      <c r="B21">
        <f>'Previous week scheduled'!$B$21</f>
        <v/>
      </c>
      <c r="C21">
        <f>'Previous week scheduled'!$C$21</f>
        <v/>
      </c>
      <c r="D21">
        <f>'Previous week scheduled'!$D$21</f>
        <v/>
      </c>
      <c r="E21">
        <f>IF($J21=1,VALUE(LEFT($D21,2)),"")</f>
        <v/>
      </c>
      <c r="F21">
        <f>IF($J21=1,VALUE(MID($D21,9,2)),"")</f>
        <v/>
      </c>
      <c r="G21">
        <f>IF($J21=1,MOD($F21-$E21,24),0)</f>
        <v/>
      </c>
      <c r="H21">
        <f>IF($J21=1,-24+$E21,"")</f>
        <v/>
      </c>
      <c r="I21">
        <f>IF($J21=1,$H21+$G21,"")</f>
        <v/>
      </c>
      <c r="J21">
        <f>IF(ISNUMBER(SEARCH(" - ",$D21&amp;"")),1,0)</f>
        <v/>
      </c>
      <c r="K21">
        <f>IF(AND($J21=1,$I21&gt;0),1,0)</f>
        <v/>
      </c>
      <c r="L21">
        <f>IF($J21=1,$I21,-999)</f>
        <v/>
      </c>
      <c r="M21">
        <f>IF($K21=1,"Counts into Sunday based on natural coverage","No Sunday carryover")</f>
        <v/>
      </c>
    </row>
    <row r="22">
      <c r="A22">
        <f>'Previous week scheduled'!$A$22</f>
        <v/>
      </c>
      <c r="B22">
        <f>'Previous week scheduled'!$B$22</f>
        <v/>
      </c>
      <c r="C22">
        <f>'Previous week scheduled'!$C$22</f>
        <v/>
      </c>
      <c r="D22">
        <f>'Previous week scheduled'!$D$22</f>
        <v/>
      </c>
      <c r="E22">
        <f>IF($J22=1,VALUE(LEFT($D22,2)),"")</f>
        <v/>
      </c>
      <c r="F22">
        <f>IF($J22=1,VALUE(MID($D22,9,2)),"")</f>
        <v/>
      </c>
      <c r="G22">
        <f>IF($J22=1,MOD($F22-$E22,24),0)</f>
        <v/>
      </c>
      <c r="H22">
        <f>IF($J22=1,-24+$E22,"")</f>
        <v/>
      </c>
      <c r="I22">
        <f>IF($J22=1,$H22+$G22,"")</f>
        <v/>
      </c>
      <c r="J22">
        <f>IF(ISNUMBER(SEARCH(" - ",$D22&amp;"")),1,0)</f>
        <v/>
      </c>
      <c r="K22">
        <f>IF(AND($J22=1,$I22&gt;0),1,0)</f>
        <v/>
      </c>
      <c r="L22">
        <f>IF($J22=1,$I22,-999)</f>
        <v/>
      </c>
      <c r="M22">
        <f>IF($K22=1,"Counts into Sunday based on natural coverage","No Sunday carryover")</f>
        <v/>
      </c>
    </row>
    <row r="23">
      <c r="A23">
        <f>'Previous week scheduled'!$A$23</f>
        <v/>
      </c>
      <c r="B23">
        <f>'Previous week scheduled'!$B$23</f>
        <v/>
      </c>
      <c r="C23">
        <f>'Previous week scheduled'!$C$23</f>
        <v/>
      </c>
      <c r="D23">
        <f>'Previous week scheduled'!$D$23</f>
        <v/>
      </c>
      <c r="E23">
        <f>IF($J23=1,VALUE(LEFT($D23,2)),"")</f>
        <v/>
      </c>
      <c r="F23">
        <f>IF($J23=1,VALUE(MID($D23,9,2)),"")</f>
        <v/>
      </c>
      <c r="G23">
        <f>IF($J23=1,MOD($F23-$E23,24),0)</f>
        <v/>
      </c>
      <c r="H23">
        <f>IF($J23=1,-24+$E23,"")</f>
        <v/>
      </c>
      <c r="I23">
        <f>IF($J23=1,$H23+$G23,"")</f>
        <v/>
      </c>
      <c r="J23">
        <f>IF(ISNUMBER(SEARCH(" - ",$D23&amp;"")),1,0)</f>
        <v/>
      </c>
      <c r="K23">
        <f>IF(AND($J23=1,$I23&gt;0),1,0)</f>
        <v/>
      </c>
      <c r="L23">
        <f>IF($J23=1,$I23,-999)</f>
        <v/>
      </c>
      <c r="M23">
        <f>IF($K23=1,"Counts into Sunday based on natural coverage","No Sunday carryover")</f>
        <v/>
      </c>
    </row>
    <row r="24">
      <c r="A24">
        <f>'Previous week scheduled'!$A$24</f>
        <v/>
      </c>
      <c r="B24">
        <f>'Previous week scheduled'!$B$24</f>
        <v/>
      </c>
      <c r="C24">
        <f>'Previous week scheduled'!$C$24</f>
        <v/>
      </c>
      <c r="D24">
        <f>'Previous week scheduled'!$D$24</f>
        <v/>
      </c>
      <c r="E24">
        <f>IF($J24=1,VALUE(LEFT($D24,2)),"")</f>
        <v/>
      </c>
      <c r="F24">
        <f>IF($J24=1,VALUE(MID($D24,9,2)),"")</f>
        <v/>
      </c>
      <c r="G24">
        <f>IF($J24=1,MOD($F24-$E24,24),0)</f>
        <v/>
      </c>
      <c r="H24">
        <f>IF($J24=1,-24+$E24,"")</f>
        <v/>
      </c>
      <c r="I24">
        <f>IF($J24=1,$H24+$G24,"")</f>
        <v/>
      </c>
      <c r="J24">
        <f>IF(ISNUMBER(SEARCH(" - ",$D24&amp;"")),1,0)</f>
        <v/>
      </c>
      <c r="K24">
        <f>IF(AND($J24=1,$I24&gt;0),1,0)</f>
        <v/>
      </c>
      <c r="L24">
        <f>IF($J24=1,$I24,-999)</f>
        <v/>
      </c>
      <c r="M24">
        <f>IF($K24=1,"Counts into Sunday based on natural coverage","No Sunday carryover")</f>
        <v/>
      </c>
    </row>
    <row r="25">
      <c r="A25">
        <f>'Previous week scheduled'!$A$25</f>
        <v/>
      </c>
      <c r="B25">
        <f>'Previous week scheduled'!$B$25</f>
        <v/>
      </c>
      <c r="C25">
        <f>'Previous week scheduled'!$C$25</f>
        <v/>
      </c>
      <c r="D25">
        <f>'Previous week scheduled'!$D$25</f>
        <v/>
      </c>
      <c r="E25">
        <f>IF($J25=1,VALUE(LEFT($D25,2)),"")</f>
        <v/>
      </c>
      <c r="F25">
        <f>IF($J25=1,VALUE(MID($D25,9,2)),"")</f>
        <v/>
      </c>
      <c r="G25">
        <f>IF($J25=1,MOD($F25-$E25,24),0)</f>
        <v/>
      </c>
      <c r="H25">
        <f>IF($J25=1,-24+$E25,"")</f>
        <v/>
      </c>
      <c r="I25">
        <f>IF($J25=1,$H25+$G25,"")</f>
        <v/>
      </c>
      <c r="J25">
        <f>IF(ISNUMBER(SEARCH(" - ",$D25&amp;"")),1,0)</f>
        <v/>
      </c>
      <c r="K25">
        <f>IF(AND($J25=1,$I25&gt;0),1,0)</f>
        <v/>
      </c>
      <c r="L25">
        <f>IF($J25=1,$I25,-999)</f>
        <v/>
      </c>
      <c r="M25">
        <f>IF($K25=1,"Counts into Sunday based on natural coverage","No Sunday carryover")</f>
        <v/>
      </c>
    </row>
    <row r="26">
      <c r="A26">
        <f>'Previous week scheduled'!$A$26</f>
        <v/>
      </c>
      <c r="B26">
        <f>'Previous week scheduled'!$B$26</f>
        <v/>
      </c>
      <c r="C26">
        <f>'Previous week scheduled'!$C$26</f>
        <v/>
      </c>
      <c r="D26">
        <f>'Previous week scheduled'!$D$26</f>
        <v/>
      </c>
      <c r="E26">
        <f>IF($J26=1,VALUE(LEFT($D26,2)),"")</f>
        <v/>
      </c>
      <c r="F26">
        <f>IF($J26=1,VALUE(MID($D26,9,2)),"")</f>
        <v/>
      </c>
      <c r="G26">
        <f>IF($J26=1,MOD($F26-$E26,24),0)</f>
        <v/>
      </c>
      <c r="H26">
        <f>IF($J26=1,-24+$E26,"")</f>
        <v/>
      </c>
      <c r="I26">
        <f>IF($J26=1,$H26+$G26,"")</f>
        <v/>
      </c>
      <c r="J26">
        <f>IF(ISNUMBER(SEARCH(" - ",$D26&amp;"")),1,0)</f>
        <v/>
      </c>
      <c r="K26">
        <f>IF(AND($J26=1,$I26&gt;0),1,0)</f>
        <v/>
      </c>
      <c r="L26">
        <f>IF($J26=1,$I26,-999)</f>
        <v/>
      </c>
      <c r="M26">
        <f>IF($K26=1,"Counts into Sunday based on natural coverage","No Sunday carryover")</f>
        <v/>
      </c>
    </row>
    <row r="27">
      <c r="A27">
        <f>'Previous week scheduled'!$A$27</f>
        <v/>
      </c>
      <c r="B27">
        <f>'Previous week scheduled'!$B$27</f>
        <v/>
      </c>
      <c r="C27">
        <f>'Previous week scheduled'!$C$27</f>
        <v/>
      </c>
      <c r="D27">
        <f>'Previous week scheduled'!$D$27</f>
        <v/>
      </c>
      <c r="E27">
        <f>IF($J27=1,VALUE(LEFT($D27,2)),"")</f>
        <v/>
      </c>
      <c r="F27">
        <f>IF($J27=1,VALUE(MID($D27,9,2)),"")</f>
        <v/>
      </c>
      <c r="G27">
        <f>IF($J27=1,MOD($F27-$E27,24),0)</f>
        <v/>
      </c>
      <c r="H27">
        <f>IF($J27=1,-24+$E27,"")</f>
        <v/>
      </c>
      <c r="I27">
        <f>IF($J27=1,$H27+$G27,"")</f>
        <v/>
      </c>
      <c r="J27">
        <f>IF(ISNUMBER(SEARCH(" - ",$D27&amp;"")),1,0)</f>
        <v/>
      </c>
      <c r="K27">
        <f>IF(AND($J27=1,$I27&gt;0),1,0)</f>
        <v/>
      </c>
      <c r="L27">
        <f>IF($J27=1,$I27,-999)</f>
        <v/>
      </c>
      <c r="M27">
        <f>IF($K27=1,"Counts into Sunday based on natural coverage","No Sunday carryover")</f>
        <v/>
      </c>
    </row>
    <row r="28">
      <c r="A28">
        <f>'Previous week scheduled'!$A$28</f>
        <v/>
      </c>
      <c r="B28">
        <f>'Previous week scheduled'!$B$28</f>
        <v/>
      </c>
      <c r="C28">
        <f>'Previous week scheduled'!$C$28</f>
        <v/>
      </c>
      <c r="D28">
        <f>'Previous week scheduled'!$D$28</f>
        <v/>
      </c>
      <c r="E28">
        <f>IF($J28=1,VALUE(LEFT($D28,2)),"")</f>
        <v/>
      </c>
      <c r="F28">
        <f>IF($J28=1,VALUE(MID($D28,9,2)),"")</f>
        <v/>
      </c>
      <c r="G28">
        <f>IF($J28=1,MOD($F28-$E28,24),0)</f>
        <v/>
      </c>
      <c r="H28">
        <f>IF($J28=1,-24+$E28,"")</f>
        <v/>
      </c>
      <c r="I28">
        <f>IF($J28=1,$H28+$G28,"")</f>
        <v/>
      </c>
      <c r="J28">
        <f>IF(ISNUMBER(SEARCH(" - ",$D28&amp;"")),1,0)</f>
        <v/>
      </c>
      <c r="K28">
        <f>IF(AND($J28=1,$I28&gt;0),1,0)</f>
        <v/>
      </c>
      <c r="L28">
        <f>IF($J28=1,$I28,-999)</f>
        <v/>
      </c>
      <c r="M28">
        <f>IF($K28=1,"Counts into Sunday based on natural coverage","No Sunday carryover")</f>
        <v/>
      </c>
    </row>
    <row r="29">
      <c r="A29">
        <f>'Previous week scheduled'!$A$29</f>
        <v/>
      </c>
      <c r="B29">
        <f>'Previous week scheduled'!$B$29</f>
        <v/>
      </c>
      <c r="C29">
        <f>'Previous week scheduled'!$C$29</f>
        <v/>
      </c>
      <c r="D29">
        <f>'Previous week scheduled'!$D$29</f>
        <v/>
      </c>
      <c r="E29">
        <f>IF($J29=1,VALUE(LEFT($D29,2)),"")</f>
        <v/>
      </c>
      <c r="F29">
        <f>IF($J29=1,VALUE(MID($D29,9,2)),"")</f>
        <v/>
      </c>
      <c r="G29">
        <f>IF($J29=1,MOD($F29-$E29,24),0)</f>
        <v/>
      </c>
      <c r="H29">
        <f>IF($J29=1,-24+$E29,"")</f>
        <v/>
      </c>
      <c r="I29">
        <f>IF($J29=1,$H29+$G29,"")</f>
        <v/>
      </c>
      <c r="J29">
        <f>IF(ISNUMBER(SEARCH(" - ",$D29&amp;"")),1,0)</f>
        <v/>
      </c>
      <c r="K29">
        <f>IF(AND($J29=1,$I29&gt;0),1,0)</f>
        <v/>
      </c>
      <c r="L29">
        <f>IF($J29=1,$I29,-999)</f>
        <v/>
      </c>
      <c r="M29">
        <f>IF($K29=1,"Counts into Sunday based on natural coverage","No Sunday carryover")</f>
        <v/>
      </c>
    </row>
    <row r="30">
      <c r="A30">
        <f>'Previous week scheduled'!$A$30</f>
        <v/>
      </c>
      <c r="B30">
        <f>'Previous week scheduled'!$B$30</f>
        <v/>
      </c>
      <c r="C30">
        <f>'Previous week scheduled'!$C$30</f>
        <v/>
      </c>
      <c r="D30">
        <f>'Previous week scheduled'!$D$30</f>
        <v/>
      </c>
      <c r="E30">
        <f>IF($J30=1,VALUE(LEFT($D30,2)),"")</f>
        <v/>
      </c>
      <c r="F30">
        <f>IF($J30=1,VALUE(MID($D30,9,2)),"")</f>
        <v/>
      </c>
      <c r="G30">
        <f>IF($J30=1,MOD($F30-$E30,24),0)</f>
        <v/>
      </c>
      <c r="H30">
        <f>IF($J30=1,-24+$E30,"")</f>
        <v/>
      </c>
      <c r="I30">
        <f>IF($J30=1,$H30+$G30,"")</f>
        <v/>
      </c>
      <c r="J30">
        <f>IF(ISNUMBER(SEARCH(" - ",$D30&amp;"")),1,0)</f>
        <v/>
      </c>
      <c r="K30">
        <f>IF(AND($J30=1,$I30&gt;0),1,0)</f>
        <v/>
      </c>
      <c r="L30">
        <f>IF($J30=1,$I30,-999)</f>
        <v/>
      </c>
      <c r="M30">
        <f>IF($K30=1,"Counts into Sunday based on natural coverage","No Sunday carryover")</f>
        <v/>
      </c>
    </row>
    <row r="31">
      <c r="A31">
        <f>'Previous week scheduled'!$A$31</f>
        <v/>
      </c>
      <c r="B31">
        <f>'Previous week scheduled'!$B$31</f>
        <v/>
      </c>
      <c r="C31">
        <f>'Previous week scheduled'!$C$31</f>
        <v/>
      </c>
      <c r="D31">
        <f>'Previous week scheduled'!$D$31</f>
        <v/>
      </c>
      <c r="E31">
        <f>IF($J31=1,VALUE(LEFT($D31,2)),"")</f>
        <v/>
      </c>
      <c r="F31">
        <f>IF($J31=1,VALUE(MID($D31,9,2)),"")</f>
        <v/>
      </c>
      <c r="G31">
        <f>IF($J31=1,MOD($F31-$E31,24),0)</f>
        <v/>
      </c>
      <c r="H31">
        <f>IF($J31=1,-24+$E31,"")</f>
        <v/>
      </c>
      <c r="I31">
        <f>IF($J31=1,$H31+$G31,"")</f>
        <v/>
      </c>
      <c r="J31">
        <f>IF(ISNUMBER(SEARCH(" - ",$D31&amp;"")),1,0)</f>
        <v/>
      </c>
      <c r="K31">
        <f>IF(AND($J31=1,$I31&gt;0),1,0)</f>
        <v/>
      </c>
      <c r="L31">
        <f>IF($J31=1,$I31,-999)</f>
        <v/>
      </c>
      <c r="M31">
        <f>IF($K31=1,"Counts into Sunday based on natural coverage","No Sunday carryover")</f>
        <v/>
      </c>
    </row>
    <row r="32">
      <c r="A32">
        <f>'Previous week scheduled'!$A$32</f>
        <v/>
      </c>
      <c r="B32">
        <f>'Previous week scheduled'!$B$32</f>
        <v/>
      </c>
      <c r="C32">
        <f>'Previous week scheduled'!$C$32</f>
        <v/>
      </c>
      <c r="D32">
        <f>'Previous week scheduled'!$D$32</f>
        <v/>
      </c>
      <c r="E32">
        <f>IF($J32=1,VALUE(LEFT($D32,2)),"")</f>
        <v/>
      </c>
      <c r="F32">
        <f>IF($J32=1,VALUE(MID($D32,9,2)),"")</f>
        <v/>
      </c>
      <c r="G32">
        <f>IF($J32=1,MOD($F32-$E32,24),0)</f>
        <v/>
      </c>
      <c r="H32">
        <f>IF($J32=1,-24+$E32,"")</f>
        <v/>
      </c>
      <c r="I32">
        <f>IF($J32=1,$H32+$G32,"")</f>
        <v/>
      </c>
      <c r="J32">
        <f>IF(ISNUMBER(SEARCH(" - ",$D32&amp;"")),1,0)</f>
        <v/>
      </c>
      <c r="K32">
        <f>IF(AND($J32=1,$I32&gt;0),1,0)</f>
        <v/>
      </c>
      <c r="L32">
        <f>IF($J32=1,$I32,-999)</f>
        <v/>
      </c>
      <c r="M32">
        <f>IF($K32=1,"Counts into Sunday based on natural coverage","No Sunday carryover")</f>
        <v/>
      </c>
    </row>
    <row r="33">
      <c r="A33">
        <f>'Previous week scheduled'!$A$33</f>
        <v/>
      </c>
      <c r="B33">
        <f>'Previous week scheduled'!$B$33</f>
        <v/>
      </c>
      <c r="C33">
        <f>'Previous week scheduled'!$C$33</f>
        <v/>
      </c>
      <c r="D33">
        <f>'Previous week scheduled'!$D$33</f>
        <v/>
      </c>
      <c r="E33">
        <f>IF($J33=1,VALUE(LEFT($D33,2)),"")</f>
        <v/>
      </c>
      <c r="F33">
        <f>IF($J33=1,VALUE(MID($D33,9,2)),"")</f>
        <v/>
      </c>
      <c r="G33">
        <f>IF($J33=1,MOD($F33-$E33,24),0)</f>
        <v/>
      </c>
      <c r="H33">
        <f>IF($J33=1,-24+$E33,"")</f>
        <v/>
      </c>
      <c r="I33">
        <f>IF($J33=1,$H33+$G33,"")</f>
        <v/>
      </c>
      <c r="J33">
        <f>IF(ISNUMBER(SEARCH(" - ",$D33&amp;"")),1,0)</f>
        <v/>
      </c>
      <c r="K33">
        <f>IF(AND($J33=1,$I33&gt;0),1,0)</f>
        <v/>
      </c>
      <c r="L33">
        <f>IF($J33=1,$I33,-999)</f>
        <v/>
      </c>
      <c r="M33">
        <f>IF($K33=1,"Counts into Sunday based on natural coverage","No Sunday carryover")</f>
        <v/>
      </c>
    </row>
    <row r="34">
      <c r="A34">
        <f>'Previous week scheduled'!$A$34</f>
        <v/>
      </c>
      <c r="B34">
        <f>'Previous week scheduled'!$B$34</f>
        <v/>
      </c>
      <c r="C34">
        <f>'Previous week scheduled'!$C$34</f>
        <v/>
      </c>
      <c r="D34">
        <f>'Previous week scheduled'!$D$34</f>
        <v/>
      </c>
      <c r="E34">
        <f>IF($J34=1,VALUE(LEFT($D34,2)),"")</f>
        <v/>
      </c>
      <c r="F34">
        <f>IF($J34=1,VALUE(MID($D34,9,2)),"")</f>
        <v/>
      </c>
      <c r="G34">
        <f>IF($J34=1,MOD($F34-$E34,24),0)</f>
        <v/>
      </c>
      <c r="H34">
        <f>IF($J34=1,-24+$E34,"")</f>
        <v/>
      </c>
      <c r="I34">
        <f>IF($J34=1,$H34+$G34,"")</f>
        <v/>
      </c>
      <c r="J34">
        <f>IF(ISNUMBER(SEARCH(" - ",$D34&amp;"")),1,0)</f>
        <v/>
      </c>
      <c r="K34">
        <f>IF(AND($J34=1,$I34&gt;0),1,0)</f>
        <v/>
      </c>
      <c r="L34">
        <f>IF($J34=1,$I34,-999)</f>
        <v/>
      </c>
      <c r="M34">
        <f>IF($K34=1,"Counts into Sunday based on natural coverage","No Sunday carryover")</f>
        <v/>
      </c>
    </row>
    <row r="35">
      <c r="A35">
        <f>'Previous week scheduled'!$A$35</f>
        <v/>
      </c>
      <c r="B35">
        <f>'Previous week scheduled'!$B$35</f>
        <v/>
      </c>
      <c r="C35">
        <f>'Previous week scheduled'!$C$35</f>
        <v/>
      </c>
      <c r="D35">
        <f>'Previous week scheduled'!$D$35</f>
        <v/>
      </c>
      <c r="E35">
        <f>IF($J35=1,VALUE(LEFT($D35,2)),"")</f>
        <v/>
      </c>
      <c r="F35">
        <f>IF($J35=1,VALUE(MID($D35,9,2)),"")</f>
        <v/>
      </c>
      <c r="G35">
        <f>IF($J35=1,MOD($F35-$E35,24),0)</f>
        <v/>
      </c>
      <c r="H35">
        <f>IF($J35=1,-24+$E35,"")</f>
        <v/>
      </c>
      <c r="I35">
        <f>IF($J35=1,$H35+$G35,"")</f>
        <v/>
      </c>
      <c r="J35">
        <f>IF(ISNUMBER(SEARCH(" - ",$D35&amp;"")),1,0)</f>
        <v/>
      </c>
      <c r="K35">
        <f>IF(AND($J35=1,$I35&gt;0),1,0)</f>
        <v/>
      </c>
      <c r="L35">
        <f>IF($J35=1,$I35,-999)</f>
        <v/>
      </c>
      <c r="M35">
        <f>IF($K35=1,"Counts into Sunday based on natural coverage","No Sunday carryover")</f>
        <v/>
      </c>
    </row>
    <row r="36">
      <c r="A36">
        <f>'Previous week scheduled'!$A$36</f>
        <v/>
      </c>
      <c r="B36">
        <f>'Previous week scheduled'!$B$36</f>
        <v/>
      </c>
      <c r="C36">
        <f>'Previous week scheduled'!$C$36</f>
        <v/>
      </c>
      <c r="D36">
        <f>'Previous week scheduled'!$D$36</f>
        <v/>
      </c>
      <c r="E36">
        <f>IF($J36=1,VALUE(LEFT($D36,2)),"")</f>
        <v/>
      </c>
      <c r="F36">
        <f>IF($J36=1,VALUE(MID($D36,9,2)),"")</f>
        <v/>
      </c>
      <c r="G36">
        <f>IF($J36=1,MOD($F36-$E36,24),0)</f>
        <v/>
      </c>
      <c r="H36">
        <f>IF($J36=1,-24+$E36,"")</f>
        <v/>
      </c>
      <c r="I36">
        <f>IF($J36=1,$H36+$G36,"")</f>
        <v/>
      </c>
      <c r="J36">
        <f>IF(ISNUMBER(SEARCH(" - ",$D36&amp;"")),1,0)</f>
        <v/>
      </c>
      <c r="K36">
        <f>IF(AND($J36=1,$I36&gt;0),1,0)</f>
        <v/>
      </c>
      <c r="L36">
        <f>IF($J36=1,$I36,-999)</f>
        <v/>
      </c>
      <c r="M36">
        <f>IF($K36=1,"Counts into Sunday based on natural coverage","No Sunday carryover")</f>
        <v/>
      </c>
    </row>
    <row r="37">
      <c r="A37">
        <f>'Previous week scheduled'!$A$37</f>
        <v/>
      </c>
      <c r="B37">
        <f>'Previous week scheduled'!$B$37</f>
        <v/>
      </c>
      <c r="C37">
        <f>'Previous week scheduled'!$C$37</f>
        <v/>
      </c>
      <c r="D37">
        <f>'Previous week scheduled'!$D$37</f>
        <v/>
      </c>
      <c r="E37">
        <f>IF($J37=1,VALUE(LEFT($D37,2)),"")</f>
        <v/>
      </c>
      <c r="F37">
        <f>IF($J37=1,VALUE(MID($D37,9,2)),"")</f>
        <v/>
      </c>
      <c r="G37">
        <f>IF($J37=1,MOD($F37-$E37,24),0)</f>
        <v/>
      </c>
      <c r="H37">
        <f>IF($J37=1,-24+$E37,"")</f>
        <v/>
      </c>
      <c r="I37">
        <f>IF($J37=1,$H37+$G37,"")</f>
        <v/>
      </c>
      <c r="J37">
        <f>IF(ISNUMBER(SEARCH(" - ",$D37&amp;"")),1,0)</f>
        <v/>
      </c>
      <c r="K37">
        <f>IF(AND($J37=1,$I37&gt;0),1,0)</f>
        <v/>
      </c>
      <c r="L37">
        <f>IF($J37=1,$I37,-999)</f>
        <v/>
      </c>
      <c r="M37">
        <f>IF($K37=1,"Counts into Sunday based on natural coverage","No Sunday carryover")</f>
        <v/>
      </c>
    </row>
    <row r="38">
      <c r="A38">
        <f>'Previous week scheduled'!$A$38</f>
        <v/>
      </c>
      <c r="B38">
        <f>'Previous week scheduled'!$B$38</f>
        <v/>
      </c>
      <c r="C38">
        <f>'Previous week scheduled'!$C$38</f>
        <v/>
      </c>
      <c r="D38">
        <f>'Previous week scheduled'!$D$38</f>
        <v/>
      </c>
      <c r="E38">
        <f>IF($J38=1,VALUE(LEFT($D38,2)),"")</f>
        <v/>
      </c>
      <c r="F38">
        <f>IF($J38=1,VALUE(MID($D38,9,2)),"")</f>
        <v/>
      </c>
      <c r="G38">
        <f>IF($J38=1,MOD($F38-$E38,24),0)</f>
        <v/>
      </c>
      <c r="H38">
        <f>IF($J38=1,-24+$E38,"")</f>
        <v/>
      </c>
      <c r="I38">
        <f>IF($J38=1,$H38+$G38,"")</f>
        <v/>
      </c>
      <c r="J38">
        <f>IF(ISNUMBER(SEARCH(" - ",$D38&amp;"")),1,0)</f>
        <v/>
      </c>
      <c r="K38">
        <f>IF(AND($J38=1,$I38&gt;0),1,0)</f>
        <v/>
      </c>
      <c r="L38">
        <f>IF($J38=1,$I38,-999)</f>
        <v/>
      </c>
      <c r="M38">
        <f>IF($K38=1,"Counts into Sunday based on natural coverage","No Sunday carryover")</f>
        <v/>
      </c>
    </row>
    <row r="39">
      <c r="A39">
        <f>'Previous week scheduled'!$A$39</f>
        <v/>
      </c>
      <c r="B39">
        <f>'Previous week scheduled'!$B$39</f>
        <v/>
      </c>
      <c r="C39">
        <f>'Previous week scheduled'!$C$39</f>
        <v/>
      </c>
      <c r="D39">
        <f>'Previous week scheduled'!$D$39</f>
        <v/>
      </c>
      <c r="E39">
        <f>IF($J39=1,VALUE(LEFT($D39,2)),"")</f>
        <v/>
      </c>
      <c r="F39">
        <f>IF($J39=1,VALUE(MID($D39,9,2)),"")</f>
        <v/>
      </c>
      <c r="G39">
        <f>IF($J39=1,MOD($F39-$E39,24),0)</f>
        <v/>
      </c>
      <c r="H39">
        <f>IF($J39=1,-24+$E39,"")</f>
        <v/>
      </c>
      <c r="I39">
        <f>IF($J39=1,$H39+$G39,"")</f>
        <v/>
      </c>
      <c r="J39">
        <f>IF(ISNUMBER(SEARCH(" - ",$D39&amp;"")),1,0)</f>
        <v/>
      </c>
      <c r="K39">
        <f>IF(AND($J39=1,$I39&gt;0),1,0)</f>
        <v/>
      </c>
      <c r="L39">
        <f>IF($J39=1,$I39,-999)</f>
        <v/>
      </c>
      <c r="M39">
        <f>IF($K39=1,"Counts into Sunday based on natural coverage","No Sunday carryover")</f>
        <v/>
      </c>
    </row>
    <row r="40">
      <c r="A40">
        <f>'Previous week scheduled'!$A$40</f>
        <v/>
      </c>
      <c r="B40">
        <f>'Previous week scheduled'!$B$40</f>
        <v/>
      </c>
      <c r="C40">
        <f>'Previous week scheduled'!$C$40</f>
        <v/>
      </c>
      <c r="D40">
        <f>'Previous week scheduled'!$D$40</f>
        <v/>
      </c>
      <c r="E40">
        <f>IF($J40=1,VALUE(LEFT($D40,2)),"")</f>
        <v/>
      </c>
      <c r="F40">
        <f>IF($J40=1,VALUE(MID($D40,9,2)),"")</f>
        <v/>
      </c>
      <c r="G40">
        <f>IF($J40=1,MOD($F40-$E40,24),0)</f>
        <v/>
      </c>
      <c r="H40">
        <f>IF($J40=1,-24+$E40,"")</f>
        <v/>
      </c>
      <c r="I40">
        <f>IF($J40=1,$H40+$G40,"")</f>
        <v/>
      </c>
      <c r="J40">
        <f>IF(ISNUMBER(SEARCH(" - ",$D40&amp;"")),1,0)</f>
        <v/>
      </c>
      <c r="K40">
        <f>IF(AND($J40=1,$I40&gt;0),1,0)</f>
        <v/>
      </c>
      <c r="L40">
        <f>IF($J40=1,$I40,-999)</f>
        <v/>
      </c>
      <c r="M40">
        <f>IF($K40=1,"Counts into Sunday based on natural coverage","No Sunday carryover")</f>
        <v/>
      </c>
    </row>
    <row r="41">
      <c r="A41">
        <f>'Previous week scheduled'!$A$41</f>
        <v/>
      </c>
      <c r="B41">
        <f>'Previous week scheduled'!$B$41</f>
        <v/>
      </c>
      <c r="C41">
        <f>'Previous week scheduled'!$C$41</f>
        <v/>
      </c>
      <c r="D41">
        <f>'Previous week scheduled'!$D$41</f>
        <v/>
      </c>
      <c r="E41">
        <f>IF($J41=1,VALUE(LEFT($D41,2)),"")</f>
        <v/>
      </c>
      <c r="F41">
        <f>IF($J41=1,VALUE(MID($D41,9,2)),"")</f>
        <v/>
      </c>
      <c r="G41">
        <f>IF($J41=1,MOD($F41-$E41,24),0)</f>
        <v/>
      </c>
      <c r="H41">
        <f>IF($J41=1,-24+$E41,"")</f>
        <v/>
      </c>
      <c r="I41">
        <f>IF($J41=1,$H41+$G41,"")</f>
        <v/>
      </c>
      <c r="J41">
        <f>IF(ISNUMBER(SEARCH(" - ",$D41&amp;"")),1,0)</f>
        <v/>
      </c>
      <c r="K41">
        <f>IF(AND($J41=1,$I41&gt;0),1,0)</f>
        <v/>
      </c>
      <c r="L41">
        <f>IF($J41=1,$I41,-999)</f>
        <v/>
      </c>
      <c r="M41">
        <f>IF($K41=1,"Counts into Sunday based on natural coverage","No Sunday carryover")</f>
        <v/>
      </c>
    </row>
    <row r="42">
      <c r="A42">
        <f>'Previous week scheduled'!$A$42</f>
        <v/>
      </c>
      <c r="B42">
        <f>'Previous week scheduled'!$B$42</f>
        <v/>
      </c>
      <c r="C42">
        <f>'Previous week scheduled'!$C$42</f>
        <v/>
      </c>
      <c r="D42">
        <f>'Previous week scheduled'!$D$42</f>
        <v/>
      </c>
      <c r="E42">
        <f>IF($J42=1,VALUE(LEFT($D42,2)),"")</f>
        <v/>
      </c>
      <c r="F42">
        <f>IF($J42=1,VALUE(MID($D42,9,2)),"")</f>
        <v/>
      </c>
      <c r="G42">
        <f>IF($J42=1,MOD($F42-$E42,24),0)</f>
        <v/>
      </c>
      <c r="H42">
        <f>IF($J42=1,-24+$E42,"")</f>
        <v/>
      </c>
      <c r="I42">
        <f>IF($J42=1,$H42+$G42,"")</f>
        <v/>
      </c>
      <c r="J42">
        <f>IF(ISNUMBER(SEARCH(" - ",$D42&amp;"")),1,0)</f>
        <v/>
      </c>
      <c r="K42">
        <f>IF(AND($J42=1,$I42&gt;0),1,0)</f>
        <v/>
      </c>
      <c r="L42">
        <f>IF($J42=1,$I42,-999)</f>
        <v/>
      </c>
      <c r="M42">
        <f>IF($K42=1,"Counts into Sunday based on natural coverage","No Sunday carryover")</f>
        <v/>
      </c>
    </row>
    <row r="43">
      <c r="A43">
        <f>'Previous week scheduled'!$A$43</f>
        <v/>
      </c>
      <c r="B43">
        <f>'Previous week scheduled'!$B$43</f>
        <v/>
      </c>
      <c r="C43">
        <f>'Previous week scheduled'!$C$43</f>
        <v/>
      </c>
      <c r="D43">
        <f>'Previous week scheduled'!$D$43</f>
        <v/>
      </c>
      <c r="E43">
        <f>IF($J43=1,VALUE(LEFT($D43,2)),"")</f>
        <v/>
      </c>
      <c r="F43">
        <f>IF($J43=1,VALUE(MID($D43,9,2)),"")</f>
        <v/>
      </c>
      <c r="G43">
        <f>IF($J43=1,MOD($F43-$E43,24),0)</f>
        <v/>
      </c>
      <c r="H43">
        <f>IF($J43=1,-24+$E43,"")</f>
        <v/>
      </c>
      <c r="I43">
        <f>IF($J43=1,$H43+$G43,"")</f>
        <v/>
      </c>
      <c r="J43">
        <f>IF(ISNUMBER(SEARCH(" - ",$D43&amp;"")),1,0)</f>
        <v/>
      </c>
      <c r="K43">
        <f>IF(AND($J43=1,$I43&gt;0),1,0)</f>
        <v/>
      </c>
      <c r="L43">
        <f>IF($J43=1,$I43,-999)</f>
        <v/>
      </c>
      <c r="M43">
        <f>IF($K43=1,"Counts into Sunday based on natural coverage","No Sunday carryover")</f>
        <v/>
      </c>
    </row>
    <row r="44">
      <c r="A44">
        <f>'Previous week scheduled'!$A$44</f>
        <v/>
      </c>
      <c r="B44">
        <f>'Previous week scheduled'!$B$44</f>
        <v/>
      </c>
      <c r="C44">
        <f>'Previous week scheduled'!$C$44</f>
        <v/>
      </c>
      <c r="D44">
        <f>'Previous week scheduled'!$D$44</f>
        <v/>
      </c>
      <c r="E44">
        <f>IF($J44=1,VALUE(LEFT($D44,2)),"")</f>
        <v/>
      </c>
      <c r="F44">
        <f>IF($J44=1,VALUE(MID($D44,9,2)),"")</f>
        <v/>
      </c>
      <c r="G44">
        <f>IF($J44=1,MOD($F44-$E44,24),0)</f>
        <v/>
      </c>
      <c r="H44">
        <f>IF($J44=1,-24+$E44,"")</f>
        <v/>
      </c>
      <c r="I44">
        <f>IF($J44=1,$H44+$G44,"")</f>
        <v/>
      </c>
      <c r="J44">
        <f>IF(ISNUMBER(SEARCH(" - ",$D44&amp;"")),1,0)</f>
        <v/>
      </c>
      <c r="K44">
        <f>IF(AND($J44=1,$I44&gt;0),1,0)</f>
        <v/>
      </c>
      <c r="L44">
        <f>IF($J44=1,$I44,-999)</f>
        <v/>
      </c>
      <c r="M44">
        <f>IF($K44=1,"Counts into Sunday based on natural coverage","No Sunday carryover")</f>
        <v/>
      </c>
    </row>
    <row r="45">
      <c r="A45">
        <f>'Previous week scheduled'!$A$45</f>
        <v/>
      </c>
      <c r="B45">
        <f>'Previous week scheduled'!$B$45</f>
        <v/>
      </c>
      <c r="C45">
        <f>'Previous week scheduled'!$C$45</f>
        <v/>
      </c>
      <c r="D45">
        <f>'Previous week scheduled'!$D$45</f>
        <v/>
      </c>
      <c r="E45">
        <f>IF($J45=1,VALUE(LEFT($D45,2)),"")</f>
        <v/>
      </c>
      <c r="F45">
        <f>IF($J45=1,VALUE(MID($D45,9,2)),"")</f>
        <v/>
      </c>
      <c r="G45">
        <f>IF($J45=1,MOD($F45-$E45,24),0)</f>
        <v/>
      </c>
      <c r="H45">
        <f>IF($J45=1,-24+$E45,"")</f>
        <v/>
      </c>
      <c r="I45">
        <f>IF($J45=1,$H45+$G45,"")</f>
        <v/>
      </c>
      <c r="J45">
        <f>IF(ISNUMBER(SEARCH(" - ",$D45&amp;"")),1,0)</f>
        <v/>
      </c>
      <c r="K45">
        <f>IF(AND($J45=1,$I45&gt;0),1,0)</f>
        <v/>
      </c>
      <c r="L45">
        <f>IF($J45=1,$I45,-999)</f>
        <v/>
      </c>
      <c r="M45">
        <f>IF($K45=1,"Counts into Sunday based on natural coverage","No Sunday carryover")</f>
        <v/>
      </c>
    </row>
    <row r="46">
      <c r="A46">
        <f>'Previous week scheduled'!$A$46</f>
        <v/>
      </c>
      <c r="B46">
        <f>'Previous week scheduled'!$B$46</f>
        <v/>
      </c>
      <c r="C46">
        <f>'Previous week scheduled'!$C$46</f>
        <v/>
      </c>
      <c r="D46">
        <f>'Previous week scheduled'!$D$46</f>
        <v/>
      </c>
      <c r="E46">
        <f>IF($J46=1,VALUE(LEFT($D46,2)),"")</f>
        <v/>
      </c>
      <c r="F46">
        <f>IF($J46=1,VALUE(MID($D46,9,2)),"")</f>
        <v/>
      </c>
      <c r="G46">
        <f>IF($J46=1,MOD($F46-$E46,24),0)</f>
        <v/>
      </c>
      <c r="H46">
        <f>IF($J46=1,-24+$E46,"")</f>
        <v/>
      </c>
      <c r="I46">
        <f>IF($J46=1,$H46+$G46,"")</f>
        <v/>
      </c>
      <c r="J46">
        <f>IF(ISNUMBER(SEARCH(" - ",$D46&amp;"")),1,0)</f>
        <v/>
      </c>
      <c r="K46">
        <f>IF(AND($J46=1,$I46&gt;0),1,0)</f>
        <v/>
      </c>
      <c r="L46">
        <f>IF($J46=1,$I46,-999)</f>
        <v/>
      </c>
      <c r="M46">
        <f>IF($K46=1,"Counts into Sunday based on natural coverage","No Sunday carryover")</f>
        <v/>
      </c>
    </row>
    <row r="47">
      <c r="A47">
        <f>'Previous week scheduled'!$A$47</f>
        <v/>
      </c>
      <c r="B47">
        <f>'Previous week scheduled'!$B$47</f>
        <v/>
      </c>
      <c r="C47">
        <f>'Previous week scheduled'!$C$47</f>
        <v/>
      </c>
      <c r="D47">
        <f>'Previous week scheduled'!$D$47</f>
        <v/>
      </c>
      <c r="E47">
        <f>IF($J47=1,VALUE(LEFT($D47,2)),"")</f>
        <v/>
      </c>
      <c r="F47">
        <f>IF($J47=1,VALUE(MID($D47,9,2)),"")</f>
        <v/>
      </c>
      <c r="G47">
        <f>IF($J47=1,MOD($F47-$E47,24),0)</f>
        <v/>
      </c>
      <c r="H47">
        <f>IF($J47=1,-24+$E47,"")</f>
        <v/>
      </c>
      <c r="I47">
        <f>IF($J47=1,$H47+$G47,"")</f>
        <v/>
      </c>
      <c r="J47">
        <f>IF(ISNUMBER(SEARCH(" - ",$D47&amp;"")),1,0)</f>
        <v/>
      </c>
      <c r="K47">
        <f>IF(AND($J47=1,$I47&gt;0),1,0)</f>
        <v/>
      </c>
      <c r="L47">
        <f>IF($J47=1,$I47,-999)</f>
        <v/>
      </c>
      <c r="M47">
        <f>IF($K47=1,"Counts into Sunday based on natural coverage","No Sunday carryover")</f>
        <v/>
      </c>
    </row>
    <row r="48">
      <c r="A48">
        <f>'Previous week scheduled'!$A$48</f>
        <v/>
      </c>
      <c r="B48">
        <f>'Previous week scheduled'!$B$48</f>
        <v/>
      </c>
      <c r="C48">
        <f>'Previous week scheduled'!$C$48</f>
        <v/>
      </c>
      <c r="D48">
        <f>'Previous week scheduled'!$D$48</f>
        <v/>
      </c>
      <c r="E48">
        <f>IF($J48=1,VALUE(LEFT($D48,2)),"")</f>
        <v/>
      </c>
      <c r="F48">
        <f>IF($J48=1,VALUE(MID($D48,9,2)),"")</f>
        <v/>
      </c>
      <c r="G48">
        <f>IF($J48=1,MOD($F48-$E48,24),0)</f>
        <v/>
      </c>
      <c r="H48">
        <f>IF($J48=1,-24+$E48,"")</f>
        <v/>
      </c>
      <c r="I48">
        <f>IF($J48=1,$H48+$G48,"")</f>
        <v/>
      </c>
      <c r="J48">
        <f>IF(ISNUMBER(SEARCH(" - ",$D48&amp;"")),1,0)</f>
        <v/>
      </c>
      <c r="K48">
        <f>IF(AND($J48=1,$I48&gt;0),1,0)</f>
        <v/>
      </c>
      <c r="L48">
        <f>IF($J48=1,$I48,-999)</f>
        <v/>
      </c>
      <c r="M48">
        <f>IF($K48=1,"Counts into Sunday based on natural coverage","No Sunday carryover")</f>
        <v/>
      </c>
    </row>
    <row r="49">
      <c r="A49">
        <f>'Previous week scheduled'!$A$49</f>
        <v/>
      </c>
      <c r="B49">
        <f>'Previous week scheduled'!$B$49</f>
        <v/>
      </c>
      <c r="C49">
        <f>'Previous week scheduled'!$C$49</f>
        <v/>
      </c>
      <c r="D49">
        <f>'Previous week scheduled'!$D$49</f>
        <v/>
      </c>
      <c r="E49">
        <f>IF($J49=1,VALUE(LEFT($D49,2)),"")</f>
        <v/>
      </c>
      <c r="F49">
        <f>IF($J49=1,VALUE(MID($D49,9,2)),"")</f>
        <v/>
      </c>
      <c r="G49">
        <f>IF($J49=1,MOD($F49-$E49,24),0)</f>
        <v/>
      </c>
      <c r="H49">
        <f>IF($J49=1,-24+$E49,"")</f>
        <v/>
      </c>
      <c r="I49">
        <f>IF($J49=1,$H49+$G49,"")</f>
        <v/>
      </c>
      <c r="J49">
        <f>IF(ISNUMBER(SEARCH(" - ",$D49&amp;"")),1,0)</f>
        <v/>
      </c>
      <c r="K49">
        <f>IF(AND($J49=1,$I49&gt;0),1,0)</f>
        <v/>
      </c>
      <c r="L49">
        <f>IF($J49=1,$I49,-999)</f>
        <v/>
      </c>
      <c r="M49">
        <f>IF($K49=1,"Counts into Sunday based on natural coverage","No Sunday carryover")</f>
        <v/>
      </c>
    </row>
    <row r="50">
      <c r="A50">
        <f>'Previous week scheduled'!$A$50</f>
        <v/>
      </c>
      <c r="B50">
        <f>'Previous week scheduled'!$B$50</f>
        <v/>
      </c>
      <c r="C50">
        <f>'Previous week scheduled'!$C$50</f>
        <v/>
      </c>
      <c r="D50">
        <f>'Previous week scheduled'!$D$50</f>
        <v/>
      </c>
      <c r="E50">
        <f>IF($J50=1,VALUE(LEFT($D50,2)),"")</f>
        <v/>
      </c>
      <c r="F50">
        <f>IF($J50=1,VALUE(MID($D50,9,2)),"")</f>
        <v/>
      </c>
      <c r="G50">
        <f>IF($J50=1,MOD($F50-$E50,24),0)</f>
        <v/>
      </c>
      <c r="H50">
        <f>IF($J50=1,-24+$E50,"")</f>
        <v/>
      </c>
      <c r="I50">
        <f>IF($J50=1,$H50+$G50,"")</f>
        <v/>
      </c>
      <c r="J50">
        <f>IF(ISNUMBER(SEARCH(" - ",$D50&amp;"")),1,0)</f>
        <v/>
      </c>
      <c r="K50">
        <f>IF(AND($J50=1,$I50&gt;0),1,0)</f>
        <v/>
      </c>
      <c r="L50">
        <f>IF($J50=1,$I50,-999)</f>
        <v/>
      </c>
      <c r="M50">
        <f>IF($K50=1,"Counts into Sunday based on natural coverage","No Sunday carryover")</f>
        <v/>
      </c>
    </row>
    <row r="51">
      <c r="A51">
        <f>'Previous week scheduled'!$A$51</f>
        <v/>
      </c>
      <c r="B51">
        <f>'Previous week scheduled'!$B$51</f>
        <v/>
      </c>
      <c r="C51">
        <f>'Previous week scheduled'!$C$51</f>
        <v/>
      </c>
      <c r="D51">
        <f>'Previous week scheduled'!$D$51</f>
        <v/>
      </c>
      <c r="E51">
        <f>IF($J51=1,VALUE(LEFT($D51,2)),"")</f>
        <v/>
      </c>
      <c r="F51">
        <f>IF($J51=1,VALUE(MID($D51,9,2)),"")</f>
        <v/>
      </c>
      <c r="G51">
        <f>IF($J51=1,MOD($F51-$E51,24),0)</f>
        <v/>
      </c>
      <c r="H51">
        <f>IF($J51=1,-24+$E51,"")</f>
        <v/>
      </c>
      <c r="I51">
        <f>IF($J51=1,$H51+$G51,"")</f>
        <v/>
      </c>
      <c r="J51">
        <f>IF(ISNUMBER(SEARCH(" - ",$D51&amp;"")),1,0)</f>
        <v/>
      </c>
      <c r="K51">
        <f>IF(AND($J51=1,$I51&gt;0),1,0)</f>
        <v/>
      </c>
      <c r="L51">
        <f>IF($J51=1,$I51,-999)</f>
        <v/>
      </c>
      <c r="M51">
        <f>IF($K51=1,"Counts into Sunday based on natural coverage","No Sunday carryover")</f>
        <v/>
      </c>
    </row>
    <row r="52">
      <c r="A52">
        <f>'Previous week scheduled'!$A$52</f>
        <v/>
      </c>
      <c r="B52">
        <f>'Previous week scheduled'!$B$52</f>
        <v/>
      </c>
      <c r="C52">
        <f>'Previous week scheduled'!$C$52</f>
        <v/>
      </c>
      <c r="D52">
        <f>'Previous week scheduled'!$D$52</f>
        <v/>
      </c>
      <c r="E52">
        <f>IF($J52=1,VALUE(LEFT($D52,2)),"")</f>
        <v/>
      </c>
      <c r="F52">
        <f>IF($J52=1,VALUE(MID($D52,9,2)),"")</f>
        <v/>
      </c>
      <c r="G52">
        <f>IF($J52=1,MOD($F52-$E52,24),0)</f>
        <v/>
      </c>
      <c r="H52">
        <f>IF($J52=1,-24+$E52,"")</f>
        <v/>
      </c>
      <c r="I52">
        <f>IF($J52=1,$H52+$G52,"")</f>
        <v/>
      </c>
      <c r="J52">
        <f>IF(ISNUMBER(SEARCH(" - ",$D52&amp;"")),1,0)</f>
        <v/>
      </c>
      <c r="K52">
        <f>IF(AND($J52=1,$I52&gt;0),1,0)</f>
        <v/>
      </c>
      <c r="L52">
        <f>IF($J52=1,$I52,-999)</f>
        <v/>
      </c>
      <c r="M52">
        <f>IF($K52=1,"Counts into Sunday based on natural coverage","No Sunday carryover")</f>
        <v/>
      </c>
    </row>
    <row r="53">
      <c r="A53">
        <f>'Previous week scheduled'!$A$53</f>
        <v/>
      </c>
      <c r="B53">
        <f>'Previous week scheduled'!$B$53</f>
        <v/>
      </c>
      <c r="C53">
        <f>'Previous week scheduled'!$C$53</f>
        <v/>
      </c>
      <c r="D53">
        <f>'Previous week scheduled'!$D$53</f>
        <v/>
      </c>
      <c r="E53">
        <f>IF($J53=1,VALUE(LEFT($D53,2)),"")</f>
        <v/>
      </c>
      <c r="F53">
        <f>IF($J53=1,VALUE(MID($D53,9,2)),"")</f>
        <v/>
      </c>
      <c r="G53">
        <f>IF($J53=1,MOD($F53-$E53,24),0)</f>
        <v/>
      </c>
      <c r="H53">
        <f>IF($J53=1,-24+$E53,"")</f>
        <v/>
      </c>
      <c r="I53">
        <f>IF($J53=1,$H53+$G53,"")</f>
        <v/>
      </c>
      <c r="J53">
        <f>IF(ISNUMBER(SEARCH(" - ",$D53&amp;"")),1,0)</f>
        <v/>
      </c>
      <c r="K53">
        <f>IF(AND($J53=1,$I53&gt;0),1,0)</f>
        <v/>
      </c>
      <c r="L53">
        <f>IF($J53=1,$I53,-999)</f>
        <v/>
      </c>
      <c r="M53">
        <f>IF($K53=1,"Counts into Sunday based on natural coverage","No Sunday carryover")</f>
        <v/>
      </c>
    </row>
    <row r="54">
      <c r="A54">
        <f>'Previous week scheduled'!$A$54</f>
        <v/>
      </c>
      <c r="B54">
        <f>'Previous week scheduled'!$B$54</f>
        <v/>
      </c>
      <c r="C54">
        <f>'Previous week scheduled'!$C$54</f>
        <v/>
      </c>
      <c r="D54">
        <f>'Previous week scheduled'!$D$54</f>
        <v/>
      </c>
      <c r="E54">
        <f>IF($J54=1,VALUE(LEFT($D54,2)),"")</f>
        <v/>
      </c>
      <c r="F54">
        <f>IF($J54=1,VALUE(MID($D54,9,2)),"")</f>
        <v/>
      </c>
      <c r="G54">
        <f>IF($J54=1,MOD($F54-$E54,24),0)</f>
        <v/>
      </c>
      <c r="H54">
        <f>IF($J54=1,-24+$E54,"")</f>
        <v/>
      </c>
      <c r="I54">
        <f>IF($J54=1,$H54+$G54,"")</f>
        <v/>
      </c>
      <c r="J54">
        <f>IF(ISNUMBER(SEARCH(" - ",$D54&amp;"")),1,0)</f>
        <v/>
      </c>
      <c r="K54">
        <f>IF(AND($J54=1,$I54&gt;0),1,0)</f>
        <v/>
      </c>
      <c r="L54">
        <f>IF($J54=1,$I54,-999)</f>
        <v/>
      </c>
      <c r="M54">
        <f>IF($K54=1,"Counts into Sunday based on natural coverage","No Sunday carryover")</f>
        <v/>
      </c>
    </row>
    <row r="55">
      <c r="A55">
        <f>'Previous week scheduled'!$A$55</f>
        <v/>
      </c>
      <c r="B55">
        <f>'Previous week scheduled'!$B$55</f>
        <v/>
      </c>
      <c r="C55">
        <f>'Previous week scheduled'!$C$55</f>
        <v/>
      </c>
      <c r="D55">
        <f>'Previous week scheduled'!$D$55</f>
        <v/>
      </c>
      <c r="E55">
        <f>IF($J55=1,VALUE(LEFT($D55,2)),"")</f>
        <v/>
      </c>
      <c r="F55">
        <f>IF($J55=1,VALUE(MID($D55,9,2)),"")</f>
        <v/>
      </c>
      <c r="G55">
        <f>IF($J55=1,MOD($F55-$E55,24),0)</f>
        <v/>
      </c>
      <c r="H55">
        <f>IF($J55=1,-24+$E55,"")</f>
        <v/>
      </c>
      <c r="I55">
        <f>IF($J55=1,$H55+$G55,"")</f>
        <v/>
      </c>
      <c r="J55">
        <f>IF(ISNUMBER(SEARCH(" - ",$D55&amp;"")),1,0)</f>
        <v/>
      </c>
      <c r="K55">
        <f>IF(AND($J55=1,$I55&gt;0),1,0)</f>
        <v/>
      </c>
      <c r="L55">
        <f>IF($J55=1,$I55,-999)</f>
        <v/>
      </c>
      <c r="M55">
        <f>IF($K55=1,"Counts into Sunday based on natural coverage","No Sunday carryover")</f>
        <v/>
      </c>
    </row>
    <row r="56">
      <c r="A56">
        <f>'Previous week scheduled'!$A$56</f>
        <v/>
      </c>
      <c r="B56">
        <f>'Previous week scheduled'!$B$56</f>
        <v/>
      </c>
      <c r="C56">
        <f>'Previous week scheduled'!$C$56</f>
        <v/>
      </c>
      <c r="D56">
        <f>'Previous week scheduled'!$D$56</f>
        <v/>
      </c>
      <c r="E56">
        <f>IF($J56=1,VALUE(LEFT($D56,2)),"")</f>
        <v/>
      </c>
      <c r="F56">
        <f>IF($J56=1,VALUE(MID($D56,9,2)),"")</f>
        <v/>
      </c>
      <c r="G56">
        <f>IF($J56=1,MOD($F56-$E56,24),0)</f>
        <v/>
      </c>
      <c r="H56">
        <f>IF($J56=1,-24+$E56,"")</f>
        <v/>
      </c>
      <c r="I56">
        <f>IF($J56=1,$H56+$G56,"")</f>
        <v/>
      </c>
      <c r="J56">
        <f>IF(ISNUMBER(SEARCH(" - ",$D56&amp;"")),1,0)</f>
        <v/>
      </c>
      <c r="K56">
        <f>IF(AND($J56=1,$I56&gt;0),1,0)</f>
        <v/>
      </c>
      <c r="L56">
        <f>IF($J56=1,$I56,-999)</f>
        <v/>
      </c>
      <c r="M56">
        <f>IF($K56=1,"Counts into Sunday based on natural coverage","No Sunday carryover")</f>
        <v/>
      </c>
    </row>
    <row r="57">
      <c r="A57">
        <f>'Previous week scheduled'!$A$57</f>
        <v/>
      </c>
      <c r="B57">
        <f>'Previous week scheduled'!$B$57</f>
        <v/>
      </c>
      <c r="C57">
        <f>'Previous week scheduled'!$C$57</f>
        <v/>
      </c>
      <c r="D57">
        <f>'Previous week scheduled'!$D$57</f>
        <v/>
      </c>
      <c r="E57">
        <f>IF($J57=1,VALUE(LEFT($D57,2)),"")</f>
        <v/>
      </c>
      <c r="F57">
        <f>IF($J57=1,VALUE(MID($D57,9,2)),"")</f>
        <v/>
      </c>
      <c r="G57">
        <f>IF($J57=1,MOD($F57-$E57,24),0)</f>
        <v/>
      </c>
      <c r="H57">
        <f>IF($J57=1,-24+$E57,"")</f>
        <v/>
      </c>
      <c r="I57">
        <f>IF($J57=1,$H57+$G57,"")</f>
        <v/>
      </c>
      <c r="J57">
        <f>IF(ISNUMBER(SEARCH(" - ",$D57&amp;"")),1,0)</f>
        <v/>
      </c>
      <c r="K57">
        <f>IF(AND($J57=1,$I57&gt;0),1,0)</f>
        <v/>
      </c>
      <c r="L57">
        <f>IF($J57=1,$I57,-999)</f>
        <v/>
      </c>
      <c r="M57">
        <f>IF($K57=1,"Counts into Sunday based on natural coverage","No Sunday carryover")</f>
        <v/>
      </c>
    </row>
    <row r="58">
      <c r="A58">
        <f>'Previous week scheduled'!$A$58</f>
        <v/>
      </c>
      <c r="B58">
        <f>'Previous week scheduled'!$B$58</f>
        <v/>
      </c>
      <c r="C58">
        <f>'Previous week scheduled'!$C$58</f>
        <v/>
      </c>
      <c r="D58">
        <f>'Previous week scheduled'!$D$58</f>
        <v/>
      </c>
      <c r="E58">
        <f>IF($J58=1,VALUE(LEFT($D58,2)),"")</f>
        <v/>
      </c>
      <c r="F58">
        <f>IF($J58=1,VALUE(MID($D58,9,2)),"")</f>
        <v/>
      </c>
      <c r="G58">
        <f>IF($J58=1,MOD($F58-$E58,24),0)</f>
        <v/>
      </c>
      <c r="H58">
        <f>IF($J58=1,-24+$E58,"")</f>
        <v/>
      </c>
      <c r="I58">
        <f>IF($J58=1,$H58+$G58,"")</f>
        <v/>
      </c>
      <c r="J58">
        <f>IF(ISNUMBER(SEARCH(" - ",$D58&amp;"")),1,0)</f>
        <v/>
      </c>
      <c r="K58">
        <f>IF(AND($J58=1,$I58&gt;0),1,0)</f>
        <v/>
      </c>
      <c r="L58">
        <f>IF($J58=1,$I58,-999)</f>
        <v/>
      </c>
      <c r="M58">
        <f>IF($K58=1,"Counts into Sunday based on natural coverage","No Sunday carryover")</f>
        <v/>
      </c>
    </row>
    <row r="59">
      <c r="A59">
        <f>'Previous week scheduled'!$A$59</f>
        <v/>
      </c>
      <c r="B59">
        <f>'Previous week scheduled'!$B$59</f>
        <v/>
      </c>
      <c r="C59">
        <f>'Previous week scheduled'!$C$59</f>
        <v/>
      </c>
      <c r="D59">
        <f>'Previous week scheduled'!$D$59</f>
        <v/>
      </c>
      <c r="E59">
        <f>IF($J59=1,VALUE(LEFT($D59,2)),"")</f>
        <v/>
      </c>
      <c r="F59">
        <f>IF($J59=1,VALUE(MID($D59,9,2)),"")</f>
        <v/>
      </c>
      <c r="G59">
        <f>IF($J59=1,MOD($F59-$E59,24),0)</f>
        <v/>
      </c>
      <c r="H59">
        <f>IF($J59=1,-24+$E59,"")</f>
        <v/>
      </c>
      <c r="I59">
        <f>IF($J59=1,$H59+$G59,"")</f>
        <v/>
      </c>
      <c r="J59">
        <f>IF(ISNUMBER(SEARCH(" - ",$D59&amp;"")),1,0)</f>
        <v/>
      </c>
      <c r="K59">
        <f>IF(AND($J59=1,$I59&gt;0),1,0)</f>
        <v/>
      </c>
      <c r="L59">
        <f>IF($J59=1,$I59,-999)</f>
        <v/>
      </c>
      <c r="M59">
        <f>IF($K59=1,"Counts into Sunday based on natural coverage","No Sunday carryover")</f>
        <v/>
      </c>
    </row>
    <row r="60">
      <c r="A60">
        <f>'Previous week scheduled'!$A$60</f>
        <v/>
      </c>
      <c r="B60">
        <f>'Previous week scheduled'!$B$60</f>
        <v/>
      </c>
      <c r="C60">
        <f>'Previous week scheduled'!$C$60</f>
        <v/>
      </c>
      <c r="D60">
        <f>'Previous week scheduled'!$D$60</f>
        <v/>
      </c>
      <c r="E60">
        <f>IF($J60=1,VALUE(LEFT($D60,2)),"")</f>
        <v/>
      </c>
      <c r="F60">
        <f>IF($J60=1,VALUE(MID($D60,9,2)),"")</f>
        <v/>
      </c>
      <c r="G60">
        <f>IF($J60=1,MOD($F60-$E60,24),0)</f>
        <v/>
      </c>
      <c r="H60">
        <f>IF($J60=1,-24+$E60,"")</f>
        <v/>
      </c>
      <c r="I60">
        <f>IF($J60=1,$H60+$G60,"")</f>
        <v/>
      </c>
      <c r="J60">
        <f>IF(ISNUMBER(SEARCH(" - ",$D60&amp;"")),1,0)</f>
        <v/>
      </c>
      <c r="K60">
        <f>IF(AND($J60=1,$I60&gt;0),1,0)</f>
        <v/>
      </c>
      <c r="L60">
        <f>IF($J60=1,$I60,-999)</f>
        <v/>
      </c>
      <c r="M60">
        <f>IF($K60=1,"Counts into Sunday based on natural coverage","No Sunday carryover")</f>
        <v/>
      </c>
    </row>
    <row r="61">
      <c r="A61">
        <f>'Previous week scheduled'!$A$61</f>
        <v/>
      </c>
      <c r="B61">
        <f>'Previous week scheduled'!$B$61</f>
        <v/>
      </c>
      <c r="C61">
        <f>'Previous week scheduled'!$C$61</f>
        <v/>
      </c>
      <c r="D61">
        <f>'Previous week scheduled'!$D$61</f>
        <v/>
      </c>
      <c r="E61">
        <f>IF($J61=1,VALUE(LEFT($D61,2)),"")</f>
        <v/>
      </c>
      <c r="F61">
        <f>IF($J61=1,VALUE(MID($D61,9,2)),"")</f>
        <v/>
      </c>
      <c r="G61">
        <f>IF($J61=1,MOD($F61-$E61,24),0)</f>
        <v/>
      </c>
      <c r="H61">
        <f>IF($J61=1,-24+$E61,"")</f>
        <v/>
      </c>
      <c r="I61">
        <f>IF($J61=1,$H61+$G61,"")</f>
        <v/>
      </c>
      <c r="J61">
        <f>IF(ISNUMBER(SEARCH(" - ",$D61&amp;"")),1,0)</f>
        <v/>
      </c>
      <c r="K61">
        <f>IF(AND($J61=1,$I61&gt;0),1,0)</f>
        <v/>
      </c>
      <c r="L61">
        <f>IF($J61=1,$I61,-999)</f>
        <v/>
      </c>
      <c r="M61">
        <f>IF($K61=1,"Counts into Sunday based on natural coverage","No Sunday carryover")</f>
        <v/>
      </c>
    </row>
    <row r="62">
      <c r="A62">
        <f>'Previous week scheduled'!$A$62</f>
        <v/>
      </c>
      <c r="B62">
        <f>'Previous week scheduled'!$B$62</f>
        <v/>
      </c>
      <c r="C62">
        <f>'Previous week scheduled'!$C$62</f>
        <v/>
      </c>
      <c r="D62">
        <f>'Previous week scheduled'!$D$62</f>
        <v/>
      </c>
      <c r="E62">
        <f>IF($J62=1,VALUE(LEFT($D62,2)),"")</f>
        <v/>
      </c>
      <c r="F62">
        <f>IF($J62=1,VALUE(MID($D62,9,2)),"")</f>
        <v/>
      </c>
      <c r="G62">
        <f>IF($J62=1,MOD($F62-$E62,24),0)</f>
        <v/>
      </c>
      <c r="H62">
        <f>IF($J62=1,-24+$E62,"")</f>
        <v/>
      </c>
      <c r="I62">
        <f>IF($J62=1,$H62+$G62,"")</f>
        <v/>
      </c>
      <c r="J62">
        <f>IF(ISNUMBER(SEARCH(" - ",$D62&amp;"")),1,0)</f>
        <v/>
      </c>
      <c r="K62">
        <f>IF(AND($J62=1,$I62&gt;0),1,0)</f>
        <v/>
      </c>
      <c r="L62">
        <f>IF($J62=1,$I62,-999)</f>
        <v/>
      </c>
      <c r="M62">
        <f>IF($K62=1,"Counts into Sunday based on natural coverage","No Sunday carryover")</f>
        <v/>
      </c>
    </row>
    <row r="63">
      <c r="A63">
        <f>'Previous week scheduled'!$A$63</f>
        <v/>
      </c>
      <c r="B63">
        <f>'Previous week scheduled'!$B$63</f>
        <v/>
      </c>
      <c r="C63">
        <f>'Previous week scheduled'!$C$63</f>
        <v/>
      </c>
      <c r="D63">
        <f>'Previous week scheduled'!$D$63</f>
        <v/>
      </c>
      <c r="E63">
        <f>IF($J63=1,VALUE(LEFT($D63,2)),"")</f>
        <v/>
      </c>
      <c r="F63">
        <f>IF($J63=1,VALUE(MID($D63,9,2)),"")</f>
        <v/>
      </c>
      <c r="G63">
        <f>IF($J63=1,MOD($F63-$E63,24),0)</f>
        <v/>
      </c>
      <c r="H63">
        <f>IF($J63=1,-24+$E63,"")</f>
        <v/>
      </c>
      <c r="I63">
        <f>IF($J63=1,$H63+$G63,"")</f>
        <v/>
      </c>
      <c r="J63">
        <f>IF(ISNUMBER(SEARCH(" - ",$D63&amp;"")),1,0)</f>
        <v/>
      </c>
      <c r="K63">
        <f>IF(AND($J63=1,$I63&gt;0),1,0)</f>
        <v/>
      </c>
      <c r="L63">
        <f>IF($J63=1,$I63,-999)</f>
        <v/>
      </c>
      <c r="M63">
        <f>IF($K63=1,"Counts into Sunday based on natural coverage","No Sunday carryover")</f>
        <v/>
      </c>
    </row>
    <row r="64">
      <c r="A64">
        <f>'Previous week scheduled'!$A$64</f>
        <v/>
      </c>
      <c r="B64">
        <f>'Previous week scheduled'!$B$64</f>
        <v/>
      </c>
      <c r="C64">
        <f>'Previous week scheduled'!$C$64</f>
        <v/>
      </c>
      <c r="D64">
        <f>'Previous week scheduled'!$D$64</f>
        <v/>
      </c>
      <c r="E64">
        <f>IF($J64=1,VALUE(LEFT($D64,2)),"")</f>
        <v/>
      </c>
      <c r="F64">
        <f>IF($J64=1,VALUE(MID($D64,9,2)),"")</f>
        <v/>
      </c>
      <c r="G64">
        <f>IF($J64=1,MOD($F64-$E64,24),0)</f>
        <v/>
      </c>
      <c r="H64">
        <f>IF($J64=1,-24+$E64,"")</f>
        <v/>
      </c>
      <c r="I64">
        <f>IF($J64=1,$H64+$G64,"")</f>
        <v/>
      </c>
      <c r="J64">
        <f>IF(ISNUMBER(SEARCH(" - ",$D64&amp;"")),1,0)</f>
        <v/>
      </c>
      <c r="K64">
        <f>IF(AND($J64=1,$I64&gt;0),1,0)</f>
        <v/>
      </c>
      <c r="L64">
        <f>IF($J64=1,$I64,-999)</f>
        <v/>
      </c>
      <c r="M64">
        <f>IF($K64=1,"Counts into Sunday based on natural coverage","No Sunday carryover")</f>
        <v/>
      </c>
    </row>
    <row r="65">
      <c r="A65">
        <f>'Previous week scheduled'!$A$65</f>
        <v/>
      </c>
      <c r="B65">
        <f>'Previous week scheduled'!$B$65</f>
        <v/>
      </c>
      <c r="C65">
        <f>'Previous week scheduled'!$C$65</f>
        <v/>
      </c>
      <c r="D65">
        <f>'Previous week scheduled'!$D$65</f>
        <v/>
      </c>
      <c r="E65">
        <f>IF($J65=1,VALUE(LEFT($D65,2)),"")</f>
        <v/>
      </c>
      <c r="F65">
        <f>IF($J65=1,VALUE(MID($D65,9,2)),"")</f>
        <v/>
      </c>
      <c r="G65">
        <f>IF($J65=1,MOD($F65-$E65,24),0)</f>
        <v/>
      </c>
      <c r="H65">
        <f>IF($J65=1,-24+$E65,"")</f>
        <v/>
      </c>
      <c r="I65">
        <f>IF($J65=1,$H65+$G65,"")</f>
        <v/>
      </c>
      <c r="J65">
        <f>IF(ISNUMBER(SEARCH(" - ",$D65&amp;"")),1,0)</f>
        <v/>
      </c>
      <c r="K65">
        <f>IF(AND($J65=1,$I65&gt;0),1,0)</f>
        <v/>
      </c>
      <c r="L65">
        <f>IF($J65=1,$I65,-999)</f>
        <v/>
      </c>
      <c r="M65">
        <f>IF($K65=1,"Counts into Sunday based on natural coverage","No Sunday carryover")</f>
        <v/>
      </c>
    </row>
    <row r="66">
      <c r="A66">
        <f>'Previous week scheduled'!$A$66</f>
        <v/>
      </c>
      <c r="B66">
        <f>'Previous week scheduled'!$B$66</f>
        <v/>
      </c>
      <c r="C66">
        <f>'Previous week scheduled'!$C$66</f>
        <v/>
      </c>
      <c r="D66">
        <f>'Previous week scheduled'!$D$66</f>
        <v/>
      </c>
      <c r="E66">
        <f>IF($J66=1,VALUE(LEFT($D66,2)),"")</f>
        <v/>
      </c>
      <c r="F66">
        <f>IF($J66=1,VALUE(MID($D66,9,2)),"")</f>
        <v/>
      </c>
      <c r="G66">
        <f>IF($J66=1,MOD($F66-$E66,24),0)</f>
        <v/>
      </c>
      <c r="H66">
        <f>IF($J66=1,-24+$E66,"")</f>
        <v/>
      </c>
      <c r="I66">
        <f>IF($J66=1,$H66+$G66,"")</f>
        <v/>
      </c>
      <c r="J66">
        <f>IF(ISNUMBER(SEARCH(" - ",$D66&amp;"")),1,0)</f>
        <v/>
      </c>
      <c r="K66">
        <f>IF(AND($J66=1,$I66&gt;0),1,0)</f>
        <v/>
      </c>
      <c r="L66">
        <f>IF($J66=1,$I66,-999)</f>
        <v/>
      </c>
      <c r="M66">
        <f>IF($K66=1,"Counts into Sunday based on natural coverage","No Sunday carryover")</f>
        <v/>
      </c>
    </row>
    <row r="67">
      <c r="A67">
        <f>'Previous week scheduled'!$A$67</f>
        <v/>
      </c>
      <c r="B67">
        <f>'Previous week scheduled'!$B$67</f>
        <v/>
      </c>
      <c r="C67">
        <f>'Previous week scheduled'!$C$67</f>
        <v/>
      </c>
      <c r="D67">
        <f>'Previous week scheduled'!$D$67</f>
        <v/>
      </c>
      <c r="E67">
        <f>IF($J67=1,VALUE(LEFT($D67,2)),"")</f>
        <v/>
      </c>
      <c r="F67">
        <f>IF($J67=1,VALUE(MID($D67,9,2)),"")</f>
        <v/>
      </c>
      <c r="G67">
        <f>IF($J67=1,MOD($F67-$E67,24),0)</f>
        <v/>
      </c>
      <c r="H67">
        <f>IF($J67=1,-24+$E67,"")</f>
        <v/>
      </c>
      <c r="I67">
        <f>IF($J67=1,$H67+$G67,"")</f>
        <v/>
      </c>
      <c r="J67">
        <f>IF(ISNUMBER(SEARCH(" - ",$D67&amp;"")),1,0)</f>
        <v/>
      </c>
      <c r="K67">
        <f>IF(AND($J67=1,$I67&gt;0),1,0)</f>
        <v/>
      </c>
      <c r="L67">
        <f>IF($J67=1,$I67,-999)</f>
        <v/>
      </c>
      <c r="M67">
        <f>IF($K67=1,"Counts into Sunday based on natural coverage","No Sunday carryover")</f>
        <v/>
      </c>
    </row>
    <row r="68">
      <c r="A68">
        <f>'Previous week scheduled'!$A$68</f>
        <v/>
      </c>
      <c r="B68">
        <f>'Previous week scheduled'!$B$68</f>
        <v/>
      </c>
      <c r="C68">
        <f>'Previous week scheduled'!$C$68</f>
        <v/>
      </c>
      <c r="D68">
        <f>'Previous week scheduled'!$D$68</f>
        <v/>
      </c>
      <c r="E68">
        <f>IF($J68=1,VALUE(LEFT($D68,2)),"")</f>
        <v/>
      </c>
      <c r="F68">
        <f>IF($J68=1,VALUE(MID($D68,9,2)),"")</f>
        <v/>
      </c>
      <c r="G68">
        <f>IF($J68=1,MOD($F68-$E68,24),0)</f>
        <v/>
      </c>
      <c r="H68">
        <f>IF($J68=1,-24+$E68,"")</f>
        <v/>
      </c>
      <c r="I68">
        <f>IF($J68=1,$H68+$G68,"")</f>
        <v/>
      </c>
      <c r="J68">
        <f>IF(ISNUMBER(SEARCH(" - ",$D68&amp;"")),1,0)</f>
        <v/>
      </c>
      <c r="K68">
        <f>IF(AND($J68=1,$I68&gt;0),1,0)</f>
        <v/>
      </c>
      <c r="L68">
        <f>IF($J68=1,$I68,-999)</f>
        <v/>
      </c>
      <c r="M68">
        <f>IF($K68=1,"Counts into Sunday based on natural coverage","No Sunday carryover")</f>
        <v/>
      </c>
    </row>
    <row r="69">
      <c r="A69">
        <f>'Previous week scheduled'!$A$69</f>
        <v/>
      </c>
      <c r="B69">
        <f>'Previous week scheduled'!$B$69</f>
        <v/>
      </c>
      <c r="C69">
        <f>'Previous week scheduled'!$C$69</f>
        <v/>
      </c>
      <c r="D69">
        <f>'Previous week scheduled'!$D$69</f>
        <v/>
      </c>
      <c r="E69">
        <f>IF($J69=1,VALUE(LEFT($D69,2)),"")</f>
        <v/>
      </c>
      <c r="F69">
        <f>IF($J69=1,VALUE(MID($D69,9,2)),"")</f>
        <v/>
      </c>
      <c r="G69">
        <f>IF($J69=1,MOD($F69-$E69,24),0)</f>
        <v/>
      </c>
      <c r="H69">
        <f>IF($J69=1,-24+$E69,"")</f>
        <v/>
      </c>
      <c r="I69">
        <f>IF($J69=1,$H69+$G69,"")</f>
        <v/>
      </c>
      <c r="J69">
        <f>IF(ISNUMBER(SEARCH(" - ",$D69&amp;"")),1,0)</f>
        <v/>
      </c>
      <c r="K69">
        <f>IF(AND($J69=1,$I69&gt;0),1,0)</f>
        <v/>
      </c>
      <c r="L69">
        <f>IF($J69=1,$I69,-999)</f>
        <v/>
      </c>
      <c r="M69">
        <f>IF($K69=1,"Counts into Sunday based on natural coverage","No Sunday carryover")</f>
        <v/>
      </c>
    </row>
    <row r="70">
      <c r="A70">
        <f>'Previous week scheduled'!$A$70</f>
        <v/>
      </c>
      <c r="B70">
        <f>'Previous week scheduled'!$B$70</f>
        <v/>
      </c>
      <c r="C70">
        <f>'Previous week scheduled'!$C$70</f>
        <v/>
      </c>
      <c r="D70">
        <f>'Previous week scheduled'!$D$70</f>
        <v/>
      </c>
      <c r="E70">
        <f>IF($J70=1,VALUE(LEFT($D70,2)),"")</f>
        <v/>
      </c>
      <c r="F70">
        <f>IF($J70=1,VALUE(MID($D70,9,2)),"")</f>
        <v/>
      </c>
      <c r="G70">
        <f>IF($J70=1,MOD($F70-$E70,24),0)</f>
        <v/>
      </c>
      <c r="H70">
        <f>IF($J70=1,-24+$E70,"")</f>
        <v/>
      </c>
      <c r="I70">
        <f>IF($J70=1,$H70+$G70,"")</f>
        <v/>
      </c>
      <c r="J70">
        <f>IF(ISNUMBER(SEARCH(" - ",$D70&amp;"")),1,0)</f>
        <v/>
      </c>
      <c r="K70">
        <f>IF(AND($J70=1,$I70&gt;0),1,0)</f>
        <v/>
      </c>
      <c r="L70">
        <f>IF($J70=1,$I70,-999)</f>
        <v/>
      </c>
      <c r="M70">
        <f>IF($K70=1,"Counts into Sunday based on natural coverage","No Sunday carryover")</f>
        <v/>
      </c>
    </row>
    <row r="71">
      <c r="A71">
        <f>'Previous week scheduled'!$A$71</f>
        <v/>
      </c>
      <c r="B71">
        <f>'Previous week scheduled'!$B$71</f>
        <v/>
      </c>
      <c r="C71">
        <f>'Previous week scheduled'!$C$71</f>
        <v/>
      </c>
      <c r="D71">
        <f>'Previous week scheduled'!$D$71</f>
        <v/>
      </c>
      <c r="E71">
        <f>IF($J71=1,VALUE(LEFT($D71,2)),"")</f>
        <v/>
      </c>
      <c r="F71">
        <f>IF($J71=1,VALUE(MID($D71,9,2)),"")</f>
        <v/>
      </c>
      <c r="G71">
        <f>IF($J71=1,MOD($F71-$E71,24),0)</f>
        <v/>
      </c>
      <c r="H71">
        <f>IF($J71=1,-24+$E71,"")</f>
        <v/>
      </c>
      <c r="I71">
        <f>IF($J71=1,$H71+$G71,"")</f>
        <v/>
      </c>
      <c r="J71">
        <f>IF(ISNUMBER(SEARCH(" - ",$D71&amp;"")),1,0)</f>
        <v/>
      </c>
      <c r="K71">
        <f>IF(AND($J71=1,$I71&gt;0),1,0)</f>
        <v/>
      </c>
      <c r="L71">
        <f>IF($J71=1,$I71,-999)</f>
        <v/>
      </c>
      <c r="M71">
        <f>IF($K71=1,"Counts into Sunday based on natural coverage","No Sunday carryover")</f>
        <v/>
      </c>
    </row>
    <row r="72">
      <c r="A72">
        <f>'Previous week scheduled'!$A$72</f>
        <v/>
      </c>
      <c r="B72">
        <f>'Previous week scheduled'!$B$72</f>
        <v/>
      </c>
      <c r="C72">
        <f>'Previous week scheduled'!$C$72</f>
        <v/>
      </c>
      <c r="D72">
        <f>'Previous week scheduled'!$D$72</f>
        <v/>
      </c>
      <c r="E72">
        <f>IF($J72=1,VALUE(LEFT($D72,2)),"")</f>
        <v/>
      </c>
      <c r="F72">
        <f>IF($J72=1,VALUE(MID($D72,9,2)),"")</f>
        <v/>
      </c>
      <c r="G72">
        <f>IF($J72=1,MOD($F72-$E72,24),0)</f>
        <v/>
      </c>
      <c r="H72">
        <f>IF($J72=1,-24+$E72,"")</f>
        <v/>
      </c>
      <c r="I72">
        <f>IF($J72=1,$H72+$G72,"")</f>
        <v/>
      </c>
      <c r="J72">
        <f>IF(ISNUMBER(SEARCH(" - ",$D72&amp;"")),1,0)</f>
        <v/>
      </c>
      <c r="K72">
        <f>IF(AND($J72=1,$I72&gt;0),1,0)</f>
        <v/>
      </c>
      <c r="L72">
        <f>IF($J72=1,$I72,-999)</f>
        <v/>
      </c>
      <c r="M72">
        <f>IF($K72=1,"Counts into Sunday based on natural coverage","No Sunday carryover")</f>
        <v/>
      </c>
    </row>
    <row r="73">
      <c r="A73">
        <f>'Previous week scheduled'!$A$73</f>
        <v/>
      </c>
      <c r="B73">
        <f>'Previous week scheduled'!$B$73</f>
        <v/>
      </c>
      <c r="C73">
        <f>'Previous week scheduled'!$C$73</f>
        <v/>
      </c>
      <c r="D73">
        <f>'Previous week scheduled'!$D$73</f>
        <v/>
      </c>
      <c r="E73">
        <f>IF($J73=1,VALUE(LEFT($D73,2)),"")</f>
        <v/>
      </c>
      <c r="F73">
        <f>IF($J73=1,VALUE(MID($D73,9,2)),"")</f>
        <v/>
      </c>
      <c r="G73">
        <f>IF($J73=1,MOD($F73-$E73,24),0)</f>
        <v/>
      </c>
      <c r="H73">
        <f>IF($J73=1,-24+$E73,"")</f>
        <v/>
      </c>
      <c r="I73">
        <f>IF($J73=1,$H73+$G73,"")</f>
        <v/>
      </c>
      <c r="J73">
        <f>IF(ISNUMBER(SEARCH(" - ",$D73&amp;"")),1,0)</f>
        <v/>
      </c>
      <c r="K73">
        <f>IF(AND($J73=1,$I73&gt;0),1,0)</f>
        <v/>
      </c>
      <c r="L73">
        <f>IF($J73=1,$I73,-999)</f>
        <v/>
      </c>
      <c r="M73">
        <f>IF($K73=1,"Counts into Sunday based on natural coverage","No Sunday carryover")</f>
        <v/>
      </c>
    </row>
    <row r="74">
      <c r="A74">
        <f>'Previous week scheduled'!$A$74</f>
        <v/>
      </c>
      <c r="B74">
        <f>'Previous week scheduled'!$B$74</f>
        <v/>
      </c>
      <c r="C74">
        <f>'Previous week scheduled'!$C$74</f>
        <v/>
      </c>
      <c r="D74">
        <f>'Previous week scheduled'!$D$74</f>
        <v/>
      </c>
      <c r="E74">
        <f>IF($J74=1,VALUE(LEFT($D74,2)),"")</f>
        <v/>
      </c>
      <c r="F74">
        <f>IF($J74=1,VALUE(MID($D74,9,2)),"")</f>
        <v/>
      </c>
      <c r="G74">
        <f>IF($J74=1,MOD($F74-$E74,24),0)</f>
        <v/>
      </c>
      <c r="H74">
        <f>IF($J74=1,-24+$E74,"")</f>
        <v/>
      </c>
      <c r="I74">
        <f>IF($J74=1,$H74+$G74,"")</f>
        <v/>
      </c>
      <c r="J74">
        <f>IF(ISNUMBER(SEARCH(" - ",$D74&amp;"")),1,0)</f>
        <v/>
      </c>
      <c r="K74">
        <f>IF(AND($J74=1,$I74&gt;0),1,0)</f>
        <v/>
      </c>
      <c r="L74">
        <f>IF($J74=1,$I74,-999)</f>
        <v/>
      </c>
      <c r="M74">
        <f>IF($K74=1,"Counts into Sunday based on natural coverage","No Sunday carryover")</f>
        <v/>
      </c>
    </row>
    <row r="75">
      <c r="A75">
        <f>'Previous week scheduled'!$A$75</f>
        <v/>
      </c>
      <c r="B75">
        <f>'Previous week scheduled'!$B$75</f>
        <v/>
      </c>
      <c r="C75">
        <f>'Previous week scheduled'!$C$75</f>
        <v/>
      </c>
      <c r="D75">
        <f>'Previous week scheduled'!$D$75</f>
        <v/>
      </c>
      <c r="E75">
        <f>IF($J75=1,VALUE(LEFT($D75,2)),"")</f>
        <v/>
      </c>
      <c r="F75">
        <f>IF($J75=1,VALUE(MID($D75,9,2)),"")</f>
        <v/>
      </c>
      <c r="G75">
        <f>IF($J75=1,MOD($F75-$E75,24),0)</f>
        <v/>
      </c>
      <c r="H75">
        <f>IF($J75=1,-24+$E75,"")</f>
        <v/>
      </c>
      <c r="I75">
        <f>IF($J75=1,$H75+$G75,"")</f>
        <v/>
      </c>
      <c r="J75">
        <f>IF(ISNUMBER(SEARCH(" - ",$D75&amp;"")),1,0)</f>
        <v/>
      </c>
      <c r="K75">
        <f>IF(AND($J75=1,$I75&gt;0),1,0)</f>
        <v/>
      </c>
      <c r="L75">
        <f>IF($J75=1,$I75,-999)</f>
        <v/>
      </c>
      <c r="M75">
        <f>IF($K75=1,"Counts into Sunday based on natural coverage","No Sunday carryover")</f>
        <v/>
      </c>
    </row>
    <row r="76">
      <c r="A76">
        <f>'Previous week scheduled'!$A$76</f>
        <v/>
      </c>
      <c r="B76">
        <f>'Previous week scheduled'!$B$76</f>
        <v/>
      </c>
      <c r="C76">
        <f>'Previous week scheduled'!$C$76</f>
        <v/>
      </c>
      <c r="D76">
        <f>'Previous week scheduled'!$D$76</f>
        <v/>
      </c>
      <c r="E76">
        <f>IF($J76=1,VALUE(LEFT($D76,2)),"")</f>
        <v/>
      </c>
      <c r="F76">
        <f>IF($J76=1,VALUE(MID($D76,9,2)),"")</f>
        <v/>
      </c>
      <c r="G76">
        <f>IF($J76=1,MOD($F76-$E76,24),0)</f>
        <v/>
      </c>
      <c r="H76">
        <f>IF($J76=1,-24+$E76,"")</f>
        <v/>
      </c>
      <c r="I76">
        <f>IF($J76=1,$H76+$G76,"")</f>
        <v/>
      </c>
      <c r="J76">
        <f>IF(ISNUMBER(SEARCH(" - ",$D76&amp;"")),1,0)</f>
        <v/>
      </c>
      <c r="K76">
        <f>IF(AND($J76=1,$I76&gt;0),1,0)</f>
        <v/>
      </c>
      <c r="L76">
        <f>IF($J76=1,$I76,-999)</f>
        <v/>
      </c>
      <c r="M76">
        <f>IF($K76=1,"Counts into Sunday based on natural coverage","No Sunday carryover")</f>
        <v/>
      </c>
    </row>
    <row r="77">
      <c r="A77">
        <f>'Previous week scheduled'!$A$77</f>
        <v/>
      </c>
      <c r="B77">
        <f>'Previous week scheduled'!$B$77</f>
        <v/>
      </c>
      <c r="C77">
        <f>'Previous week scheduled'!$C$77</f>
        <v/>
      </c>
      <c r="D77">
        <f>'Previous week scheduled'!$D$77</f>
        <v/>
      </c>
      <c r="E77">
        <f>IF($J77=1,VALUE(LEFT($D77,2)),"")</f>
        <v/>
      </c>
      <c r="F77">
        <f>IF($J77=1,VALUE(MID($D77,9,2)),"")</f>
        <v/>
      </c>
      <c r="G77">
        <f>IF($J77=1,MOD($F77-$E77,24),0)</f>
        <v/>
      </c>
      <c r="H77">
        <f>IF($J77=1,-24+$E77,"")</f>
        <v/>
      </c>
      <c r="I77">
        <f>IF($J77=1,$H77+$G77,"")</f>
        <v/>
      </c>
      <c r="J77">
        <f>IF(ISNUMBER(SEARCH(" - ",$D77&amp;"")),1,0)</f>
        <v/>
      </c>
      <c r="K77">
        <f>IF(AND($J77=1,$I77&gt;0),1,0)</f>
        <v/>
      </c>
      <c r="L77">
        <f>IF($J77=1,$I77,-999)</f>
        <v/>
      </c>
      <c r="M77">
        <f>IF($K77=1,"Counts into Sunday based on natural coverage","No Sunday carryover")</f>
        <v/>
      </c>
    </row>
    <row r="78">
      <c r="A78">
        <f>'Previous week scheduled'!$A$78</f>
        <v/>
      </c>
      <c r="B78">
        <f>'Previous week scheduled'!$B$78</f>
        <v/>
      </c>
      <c r="C78">
        <f>'Previous week scheduled'!$C$78</f>
        <v/>
      </c>
      <c r="D78">
        <f>'Previous week scheduled'!$D$78</f>
        <v/>
      </c>
      <c r="E78">
        <f>IF($J78=1,VALUE(LEFT($D78,2)),"")</f>
        <v/>
      </c>
      <c r="F78">
        <f>IF($J78=1,VALUE(MID($D78,9,2)),"")</f>
        <v/>
      </c>
      <c r="G78">
        <f>IF($J78=1,MOD($F78-$E78,24),0)</f>
        <v/>
      </c>
      <c r="H78">
        <f>IF($J78=1,-24+$E78,"")</f>
        <v/>
      </c>
      <c r="I78">
        <f>IF($J78=1,$H78+$G78,"")</f>
        <v/>
      </c>
      <c r="J78">
        <f>IF(ISNUMBER(SEARCH(" - ",$D78&amp;"")),1,0)</f>
        <v/>
      </c>
      <c r="K78">
        <f>IF(AND($J78=1,$I78&gt;0),1,0)</f>
        <v/>
      </c>
      <c r="L78">
        <f>IF($J78=1,$I78,-999)</f>
        <v/>
      </c>
      <c r="M78">
        <f>IF($K78=1,"Counts into Sunday based on natural coverage","No Sunday carryover")</f>
        <v/>
      </c>
    </row>
    <row r="79">
      <c r="A79">
        <f>'Previous week scheduled'!$A$79</f>
        <v/>
      </c>
      <c r="B79">
        <f>'Previous week scheduled'!$B$79</f>
        <v/>
      </c>
      <c r="C79">
        <f>'Previous week scheduled'!$C$79</f>
        <v/>
      </c>
      <c r="D79">
        <f>'Previous week scheduled'!$D$79</f>
        <v/>
      </c>
      <c r="E79">
        <f>IF($J79=1,VALUE(LEFT($D79,2)),"")</f>
        <v/>
      </c>
      <c r="F79">
        <f>IF($J79=1,VALUE(MID($D79,9,2)),"")</f>
        <v/>
      </c>
      <c r="G79">
        <f>IF($J79=1,MOD($F79-$E79,24),0)</f>
        <v/>
      </c>
      <c r="H79">
        <f>IF($J79=1,-24+$E79,"")</f>
        <v/>
      </c>
      <c r="I79">
        <f>IF($J79=1,$H79+$G79,"")</f>
        <v/>
      </c>
      <c r="J79">
        <f>IF(ISNUMBER(SEARCH(" - ",$D79&amp;"")),1,0)</f>
        <v/>
      </c>
      <c r="K79">
        <f>IF(AND($J79=1,$I79&gt;0),1,0)</f>
        <v/>
      </c>
      <c r="L79">
        <f>IF($J79=1,$I79,-999)</f>
        <v/>
      </c>
      <c r="M79">
        <f>IF($K79=1,"Counts into Sunday based on natural coverage","No Sunday carryover")</f>
        <v/>
      </c>
    </row>
    <row r="80">
      <c r="A80">
        <f>'Previous week scheduled'!$A$80</f>
        <v/>
      </c>
      <c r="B80">
        <f>'Previous week scheduled'!$B$80</f>
        <v/>
      </c>
      <c r="C80">
        <f>'Previous week scheduled'!$C$80</f>
        <v/>
      </c>
      <c r="D80">
        <f>'Previous week scheduled'!$D$80</f>
        <v/>
      </c>
      <c r="E80">
        <f>IF($J80=1,VALUE(LEFT($D80,2)),"")</f>
        <v/>
      </c>
      <c r="F80">
        <f>IF($J80=1,VALUE(MID($D80,9,2)),"")</f>
        <v/>
      </c>
      <c r="G80">
        <f>IF($J80=1,MOD($F80-$E80,24),0)</f>
        <v/>
      </c>
      <c r="H80">
        <f>IF($J80=1,-24+$E80,"")</f>
        <v/>
      </c>
      <c r="I80">
        <f>IF($J80=1,$H80+$G80,"")</f>
        <v/>
      </c>
      <c r="J80">
        <f>IF(ISNUMBER(SEARCH(" - ",$D80&amp;"")),1,0)</f>
        <v/>
      </c>
      <c r="K80">
        <f>IF(AND($J80=1,$I80&gt;0),1,0)</f>
        <v/>
      </c>
      <c r="L80">
        <f>IF($J80=1,$I80,-999)</f>
        <v/>
      </c>
      <c r="M80">
        <f>IF($K80=1,"Counts into Sunday based on natural coverage","No Sunday carryover")</f>
        <v/>
      </c>
    </row>
    <row r="81">
      <c r="A81">
        <f>'Previous week scheduled'!$A$81</f>
        <v/>
      </c>
      <c r="B81">
        <f>'Previous week scheduled'!$B$81</f>
        <v/>
      </c>
      <c r="C81">
        <f>'Previous week scheduled'!$C$81</f>
        <v/>
      </c>
      <c r="D81">
        <f>'Previous week scheduled'!$D$81</f>
        <v/>
      </c>
      <c r="E81">
        <f>IF($J81=1,VALUE(LEFT($D81,2)),"")</f>
        <v/>
      </c>
      <c r="F81">
        <f>IF($J81=1,VALUE(MID($D81,9,2)),"")</f>
        <v/>
      </c>
      <c r="G81">
        <f>IF($J81=1,MOD($F81-$E81,24),0)</f>
        <v/>
      </c>
      <c r="H81">
        <f>IF($J81=1,-24+$E81,"")</f>
        <v/>
      </c>
      <c r="I81">
        <f>IF($J81=1,$H81+$G81,"")</f>
        <v/>
      </c>
      <c r="J81">
        <f>IF(ISNUMBER(SEARCH(" - ",$D81&amp;"")),1,0)</f>
        <v/>
      </c>
      <c r="K81">
        <f>IF(AND($J81=1,$I81&gt;0),1,0)</f>
        <v/>
      </c>
      <c r="L81">
        <f>IF($J81=1,$I81,-999)</f>
        <v/>
      </c>
      <c r="M81">
        <f>IF($K81=1,"Counts into Sunday based on natural coverage","No Sunday carryover")</f>
        <v/>
      </c>
    </row>
    <row r="82">
      <c r="A82">
        <f>'Previous week scheduled'!$A$82</f>
        <v/>
      </c>
      <c r="B82">
        <f>'Previous week scheduled'!$B$82</f>
        <v/>
      </c>
      <c r="C82">
        <f>'Previous week scheduled'!$C$82</f>
        <v/>
      </c>
      <c r="D82">
        <f>'Previous week scheduled'!$D$82</f>
        <v/>
      </c>
      <c r="E82">
        <f>IF($J82=1,VALUE(LEFT($D82,2)),"")</f>
        <v/>
      </c>
      <c r="F82">
        <f>IF($J82=1,VALUE(MID($D82,9,2)),"")</f>
        <v/>
      </c>
      <c r="G82">
        <f>IF($J82=1,MOD($F82-$E82,24),0)</f>
        <v/>
      </c>
      <c r="H82">
        <f>IF($J82=1,-24+$E82,"")</f>
        <v/>
      </c>
      <c r="I82">
        <f>IF($J82=1,$H82+$G82,"")</f>
        <v/>
      </c>
      <c r="J82">
        <f>IF(ISNUMBER(SEARCH(" - ",$D82&amp;"")),1,0)</f>
        <v/>
      </c>
      <c r="K82">
        <f>IF(AND($J82=1,$I82&gt;0),1,0)</f>
        <v/>
      </c>
      <c r="L82">
        <f>IF($J82=1,$I82,-999)</f>
        <v/>
      </c>
      <c r="M82">
        <f>IF($K82=1,"Counts into Sunday based on natural coverage","No Sunday carryover")</f>
        <v/>
      </c>
    </row>
    <row r="83">
      <c r="A83">
        <f>'Previous week scheduled'!$A$83</f>
        <v/>
      </c>
      <c r="B83">
        <f>'Previous week scheduled'!$B$83</f>
        <v/>
      </c>
      <c r="C83">
        <f>'Previous week scheduled'!$C$83</f>
        <v/>
      </c>
      <c r="D83">
        <f>'Previous week scheduled'!$D$83</f>
        <v/>
      </c>
      <c r="E83">
        <f>IF($J83=1,VALUE(LEFT($D83,2)),"")</f>
        <v/>
      </c>
      <c r="F83">
        <f>IF($J83=1,VALUE(MID($D83,9,2)),"")</f>
        <v/>
      </c>
      <c r="G83">
        <f>IF($J83=1,MOD($F83-$E83,24),0)</f>
        <v/>
      </c>
      <c r="H83">
        <f>IF($J83=1,-24+$E83,"")</f>
        <v/>
      </c>
      <c r="I83">
        <f>IF($J83=1,$H83+$G83,"")</f>
        <v/>
      </c>
      <c r="J83">
        <f>IF(ISNUMBER(SEARCH(" - ",$D83&amp;"")),1,0)</f>
        <v/>
      </c>
      <c r="K83">
        <f>IF(AND($J83=1,$I83&gt;0),1,0)</f>
        <v/>
      </c>
      <c r="L83">
        <f>IF($J83=1,$I83,-999)</f>
        <v/>
      </c>
      <c r="M83">
        <f>IF($K83=1,"Counts into Sunday based on natural coverage","No Sunday carryover")</f>
        <v/>
      </c>
    </row>
    <row r="84">
      <c r="A84">
        <f>'Previous week scheduled'!$A$84</f>
        <v/>
      </c>
      <c r="B84">
        <f>'Previous week scheduled'!$B$84</f>
        <v/>
      </c>
      <c r="C84">
        <f>'Previous week scheduled'!$C$84</f>
        <v/>
      </c>
      <c r="D84">
        <f>'Previous week scheduled'!$D$84</f>
        <v/>
      </c>
      <c r="E84">
        <f>IF($J84=1,VALUE(LEFT($D84,2)),"")</f>
        <v/>
      </c>
      <c r="F84">
        <f>IF($J84=1,VALUE(MID($D84,9,2)),"")</f>
        <v/>
      </c>
      <c r="G84">
        <f>IF($J84=1,MOD($F84-$E84,24),0)</f>
        <v/>
      </c>
      <c r="H84">
        <f>IF($J84=1,-24+$E84,"")</f>
        <v/>
      </c>
      <c r="I84">
        <f>IF($J84=1,$H84+$G84,"")</f>
        <v/>
      </c>
      <c r="J84">
        <f>IF(ISNUMBER(SEARCH(" - ",$D84&amp;"")),1,0)</f>
        <v/>
      </c>
      <c r="K84">
        <f>IF(AND($J84=1,$I84&gt;0),1,0)</f>
        <v/>
      </c>
      <c r="L84">
        <f>IF($J84=1,$I84,-999)</f>
        <v/>
      </c>
      <c r="M84">
        <f>IF($K84=1,"Counts into Sunday based on natural coverage","No Sunday carryover")</f>
        <v/>
      </c>
    </row>
    <row r="85">
      <c r="A85">
        <f>'Previous week scheduled'!$A$85</f>
        <v/>
      </c>
      <c r="B85">
        <f>'Previous week scheduled'!$B$85</f>
        <v/>
      </c>
      <c r="C85">
        <f>'Previous week scheduled'!$C$85</f>
        <v/>
      </c>
      <c r="D85">
        <f>'Previous week scheduled'!$D$85</f>
        <v/>
      </c>
      <c r="E85">
        <f>IF($J85=1,VALUE(LEFT($D85,2)),"")</f>
        <v/>
      </c>
      <c r="F85">
        <f>IF($J85=1,VALUE(MID($D85,9,2)),"")</f>
        <v/>
      </c>
      <c r="G85">
        <f>IF($J85=1,MOD($F85-$E85,24),0)</f>
        <v/>
      </c>
      <c r="H85">
        <f>IF($J85=1,-24+$E85,"")</f>
        <v/>
      </c>
      <c r="I85">
        <f>IF($J85=1,$H85+$G85,"")</f>
        <v/>
      </c>
      <c r="J85">
        <f>IF(ISNUMBER(SEARCH(" - ",$D85&amp;"")),1,0)</f>
        <v/>
      </c>
      <c r="K85">
        <f>IF(AND($J85=1,$I85&gt;0),1,0)</f>
        <v/>
      </c>
      <c r="L85">
        <f>IF($J85=1,$I85,-999)</f>
        <v/>
      </c>
      <c r="M85">
        <f>IF($K85=1,"Counts into Sunday based on natural coverage","No Sunday carryover")</f>
        <v/>
      </c>
    </row>
    <row r="86">
      <c r="A86">
        <f>'Previous week scheduled'!$A$86</f>
        <v/>
      </c>
      <c r="B86">
        <f>'Previous week scheduled'!$B$86</f>
        <v/>
      </c>
      <c r="C86">
        <f>'Previous week scheduled'!$C$86</f>
        <v/>
      </c>
      <c r="D86">
        <f>'Previous week scheduled'!$D$86</f>
        <v/>
      </c>
      <c r="E86">
        <f>IF($J86=1,VALUE(LEFT($D86,2)),"")</f>
        <v/>
      </c>
      <c r="F86">
        <f>IF($J86=1,VALUE(MID($D86,9,2)),"")</f>
        <v/>
      </c>
      <c r="G86">
        <f>IF($J86=1,MOD($F86-$E86,24),0)</f>
        <v/>
      </c>
      <c r="H86">
        <f>IF($J86=1,-24+$E86,"")</f>
        <v/>
      </c>
      <c r="I86">
        <f>IF($J86=1,$H86+$G86,"")</f>
        <v/>
      </c>
      <c r="J86">
        <f>IF(ISNUMBER(SEARCH(" - ",$D86&amp;"")),1,0)</f>
        <v/>
      </c>
      <c r="K86">
        <f>IF(AND($J86=1,$I86&gt;0),1,0)</f>
        <v/>
      </c>
      <c r="L86">
        <f>IF($J86=1,$I86,-999)</f>
        <v/>
      </c>
      <c r="M86">
        <f>IF($K86=1,"Counts into Sunday based on natural coverage","No Sunday carryover")</f>
        <v/>
      </c>
    </row>
    <row r="87">
      <c r="A87">
        <f>'Previous week scheduled'!$A$87</f>
        <v/>
      </c>
      <c r="B87">
        <f>'Previous week scheduled'!$B$87</f>
        <v/>
      </c>
      <c r="C87">
        <f>'Previous week scheduled'!$C$87</f>
        <v/>
      </c>
      <c r="D87">
        <f>'Previous week scheduled'!$D$87</f>
        <v/>
      </c>
      <c r="E87">
        <f>IF($J87=1,VALUE(LEFT($D87,2)),"")</f>
        <v/>
      </c>
      <c r="F87">
        <f>IF($J87=1,VALUE(MID($D87,9,2)),"")</f>
        <v/>
      </c>
      <c r="G87">
        <f>IF($J87=1,MOD($F87-$E87,24),0)</f>
        <v/>
      </c>
      <c r="H87">
        <f>IF($J87=1,-24+$E87,"")</f>
        <v/>
      </c>
      <c r="I87">
        <f>IF($J87=1,$H87+$G87,"")</f>
        <v/>
      </c>
      <c r="J87">
        <f>IF(ISNUMBER(SEARCH(" - ",$D87&amp;"")),1,0)</f>
        <v/>
      </c>
      <c r="K87">
        <f>IF(AND($J87=1,$I87&gt;0),1,0)</f>
        <v/>
      </c>
      <c r="L87">
        <f>IF($J87=1,$I87,-999)</f>
        <v/>
      </c>
      <c r="M87">
        <f>IF($K87=1,"Counts into Sunday based on natural coverage","No Sunday carryover")</f>
        <v/>
      </c>
    </row>
    <row r="88">
      <c r="A88">
        <f>'Previous week scheduled'!$A$88</f>
        <v/>
      </c>
      <c r="B88">
        <f>'Previous week scheduled'!$B$88</f>
        <v/>
      </c>
      <c r="C88">
        <f>'Previous week scheduled'!$C$88</f>
        <v/>
      </c>
      <c r="D88">
        <f>'Previous week scheduled'!$D$88</f>
        <v/>
      </c>
      <c r="E88">
        <f>IF($J88=1,VALUE(LEFT($D88,2)),"")</f>
        <v/>
      </c>
      <c r="F88">
        <f>IF($J88=1,VALUE(MID($D88,9,2)),"")</f>
        <v/>
      </c>
      <c r="G88">
        <f>IF($J88=1,MOD($F88-$E88,24),0)</f>
        <v/>
      </c>
      <c r="H88">
        <f>IF($J88=1,-24+$E88,"")</f>
        <v/>
      </c>
      <c r="I88">
        <f>IF($J88=1,$H88+$G88,"")</f>
        <v/>
      </c>
      <c r="J88">
        <f>IF(ISNUMBER(SEARCH(" - ",$D88&amp;"")),1,0)</f>
        <v/>
      </c>
      <c r="K88">
        <f>IF(AND($J88=1,$I88&gt;0),1,0)</f>
        <v/>
      </c>
      <c r="L88">
        <f>IF($J88=1,$I88,-999)</f>
        <v/>
      </c>
      <c r="M88">
        <f>IF($K88=1,"Counts into Sunday based on natural coverage","No Sunday carryover")</f>
        <v/>
      </c>
    </row>
    <row r="89">
      <c r="A89">
        <f>'Previous week scheduled'!$A$89</f>
        <v/>
      </c>
      <c r="B89">
        <f>'Previous week scheduled'!$B$89</f>
        <v/>
      </c>
      <c r="C89">
        <f>'Previous week scheduled'!$C$89</f>
        <v/>
      </c>
      <c r="D89">
        <f>'Previous week scheduled'!$D$89</f>
        <v/>
      </c>
      <c r="E89">
        <f>IF($J89=1,VALUE(LEFT($D89,2)),"")</f>
        <v/>
      </c>
      <c r="F89">
        <f>IF($J89=1,VALUE(MID($D89,9,2)),"")</f>
        <v/>
      </c>
      <c r="G89">
        <f>IF($J89=1,MOD($F89-$E89,24),0)</f>
        <v/>
      </c>
      <c r="H89">
        <f>IF($J89=1,-24+$E89,"")</f>
        <v/>
      </c>
      <c r="I89">
        <f>IF($J89=1,$H89+$G89,"")</f>
        <v/>
      </c>
      <c r="J89">
        <f>IF(ISNUMBER(SEARCH(" - ",$D89&amp;"")),1,0)</f>
        <v/>
      </c>
      <c r="K89">
        <f>IF(AND($J89=1,$I89&gt;0),1,0)</f>
        <v/>
      </c>
      <c r="L89">
        <f>IF($J89=1,$I89,-999)</f>
        <v/>
      </c>
      <c r="M89">
        <f>IF($K89=1,"Counts into Sunday based on natural coverage","No Sunday carryover")</f>
        <v/>
      </c>
    </row>
    <row r="90">
      <c r="A90">
        <f>'Previous week scheduled'!$A$90</f>
        <v/>
      </c>
      <c r="B90">
        <f>'Previous week scheduled'!$B$90</f>
        <v/>
      </c>
      <c r="C90">
        <f>'Previous week scheduled'!$C$90</f>
        <v/>
      </c>
      <c r="D90">
        <f>'Previous week scheduled'!$D$90</f>
        <v/>
      </c>
      <c r="E90">
        <f>IF($J90=1,VALUE(LEFT($D90,2)),"")</f>
        <v/>
      </c>
      <c r="F90">
        <f>IF($J90=1,VALUE(MID($D90,9,2)),"")</f>
        <v/>
      </c>
      <c r="G90">
        <f>IF($J90=1,MOD($F90-$E90,24),0)</f>
        <v/>
      </c>
      <c r="H90">
        <f>IF($J90=1,-24+$E90,"")</f>
        <v/>
      </c>
      <c r="I90">
        <f>IF($J90=1,$H90+$G90,"")</f>
        <v/>
      </c>
      <c r="J90">
        <f>IF(ISNUMBER(SEARCH(" - ",$D90&amp;"")),1,0)</f>
        <v/>
      </c>
      <c r="K90">
        <f>IF(AND($J90=1,$I90&gt;0),1,0)</f>
        <v/>
      </c>
      <c r="L90">
        <f>IF($J90=1,$I90,-999)</f>
        <v/>
      </c>
      <c r="M90">
        <f>IF($K90=1,"Counts into Sunday based on natural coverage","No Sunday carryover")</f>
        <v/>
      </c>
    </row>
    <row r="91">
      <c r="A91">
        <f>'Previous week scheduled'!$A$91</f>
        <v/>
      </c>
      <c r="B91">
        <f>'Previous week scheduled'!$B$91</f>
        <v/>
      </c>
      <c r="C91">
        <f>'Previous week scheduled'!$C$91</f>
        <v/>
      </c>
      <c r="D91">
        <f>'Previous week scheduled'!$D$91</f>
        <v/>
      </c>
      <c r="E91">
        <f>IF($J91=1,VALUE(LEFT($D91,2)),"")</f>
        <v/>
      </c>
      <c r="F91">
        <f>IF($J91=1,VALUE(MID($D91,9,2)),"")</f>
        <v/>
      </c>
      <c r="G91">
        <f>IF($J91=1,MOD($F91-$E91,24),0)</f>
        <v/>
      </c>
      <c r="H91">
        <f>IF($J91=1,-24+$E91,"")</f>
        <v/>
      </c>
      <c r="I91">
        <f>IF($J91=1,$H91+$G91,"")</f>
        <v/>
      </c>
      <c r="J91">
        <f>IF(ISNUMBER(SEARCH(" - ",$D91&amp;"")),1,0)</f>
        <v/>
      </c>
      <c r="K91">
        <f>IF(AND($J91=1,$I91&gt;0),1,0)</f>
        <v/>
      </c>
      <c r="L91">
        <f>IF($J91=1,$I91,-999)</f>
        <v/>
      </c>
      <c r="M91">
        <f>IF($K91=1,"Counts into Sunday based on natural coverage","No Sunday carryover")</f>
        <v/>
      </c>
    </row>
    <row r="92">
      <c r="A92">
        <f>'Previous week scheduled'!$A$92</f>
        <v/>
      </c>
      <c r="B92">
        <f>'Previous week scheduled'!$B$92</f>
        <v/>
      </c>
      <c r="C92">
        <f>'Previous week scheduled'!$C$92</f>
        <v/>
      </c>
      <c r="D92">
        <f>'Previous week scheduled'!$D$92</f>
        <v/>
      </c>
      <c r="E92">
        <f>IF($J92=1,VALUE(LEFT($D92,2)),"")</f>
        <v/>
      </c>
      <c r="F92">
        <f>IF($J92=1,VALUE(MID($D92,9,2)),"")</f>
        <v/>
      </c>
      <c r="G92">
        <f>IF($J92=1,MOD($F92-$E92,24),0)</f>
        <v/>
      </c>
      <c r="H92">
        <f>IF($J92=1,-24+$E92,"")</f>
        <v/>
      </c>
      <c r="I92">
        <f>IF($J92=1,$H92+$G92,"")</f>
        <v/>
      </c>
      <c r="J92">
        <f>IF(ISNUMBER(SEARCH(" - ",$D92&amp;"")),1,0)</f>
        <v/>
      </c>
      <c r="K92">
        <f>IF(AND($J92=1,$I92&gt;0),1,0)</f>
        <v/>
      </c>
      <c r="L92">
        <f>IF($J92=1,$I92,-999)</f>
        <v/>
      </c>
      <c r="M92">
        <f>IF($K92=1,"Counts into Sunday based on natural coverage","No Sunday carryover")</f>
        <v/>
      </c>
    </row>
    <row r="93">
      <c r="A93">
        <f>'Previous week scheduled'!$A$93</f>
        <v/>
      </c>
      <c r="B93">
        <f>'Previous week scheduled'!$B$93</f>
        <v/>
      </c>
      <c r="C93">
        <f>'Previous week scheduled'!$C$93</f>
        <v/>
      </c>
      <c r="D93">
        <f>'Previous week scheduled'!$D$93</f>
        <v/>
      </c>
      <c r="E93">
        <f>IF($J93=1,VALUE(LEFT($D93,2)),"")</f>
        <v/>
      </c>
      <c r="F93">
        <f>IF($J93=1,VALUE(MID($D93,9,2)),"")</f>
        <v/>
      </c>
      <c r="G93">
        <f>IF($J93=1,MOD($F93-$E93,24),0)</f>
        <v/>
      </c>
      <c r="H93">
        <f>IF($J93=1,-24+$E93,"")</f>
        <v/>
      </c>
      <c r="I93">
        <f>IF($J93=1,$H93+$G93,"")</f>
        <v/>
      </c>
      <c r="J93">
        <f>IF(ISNUMBER(SEARCH(" - ",$D93&amp;"")),1,0)</f>
        <v/>
      </c>
      <c r="K93">
        <f>IF(AND($J93=1,$I93&gt;0),1,0)</f>
        <v/>
      </c>
      <c r="L93">
        <f>IF($J93=1,$I93,-999)</f>
        <v/>
      </c>
      <c r="M93">
        <f>IF($K93=1,"Counts into Sunday based on natural coverage","No Sunday carryover")</f>
        <v/>
      </c>
    </row>
    <row r="94">
      <c r="A94">
        <f>'Previous week scheduled'!$A$94</f>
        <v/>
      </c>
      <c r="B94">
        <f>'Previous week scheduled'!$B$94</f>
        <v/>
      </c>
      <c r="C94">
        <f>'Previous week scheduled'!$C$94</f>
        <v/>
      </c>
      <c r="D94">
        <f>'Previous week scheduled'!$D$94</f>
        <v/>
      </c>
      <c r="E94">
        <f>IF($J94=1,VALUE(LEFT($D94,2)),"")</f>
        <v/>
      </c>
      <c r="F94">
        <f>IF($J94=1,VALUE(MID($D94,9,2)),"")</f>
        <v/>
      </c>
      <c r="G94">
        <f>IF($J94=1,MOD($F94-$E94,24),0)</f>
        <v/>
      </c>
      <c r="H94">
        <f>IF($J94=1,-24+$E94,"")</f>
        <v/>
      </c>
      <c r="I94">
        <f>IF($J94=1,$H94+$G94,"")</f>
        <v/>
      </c>
      <c r="J94">
        <f>IF(ISNUMBER(SEARCH(" - ",$D94&amp;"")),1,0)</f>
        <v/>
      </c>
      <c r="K94">
        <f>IF(AND($J94=1,$I94&gt;0),1,0)</f>
        <v/>
      </c>
      <c r="L94">
        <f>IF($J94=1,$I94,-999)</f>
        <v/>
      </c>
      <c r="M94">
        <f>IF($K94=1,"Counts into Sunday based on natural coverage","No Sunday carryover")</f>
        <v/>
      </c>
    </row>
    <row r="95">
      <c r="A95">
        <f>'Previous week scheduled'!$A$95</f>
        <v/>
      </c>
      <c r="B95">
        <f>'Previous week scheduled'!$B$95</f>
        <v/>
      </c>
      <c r="C95">
        <f>'Previous week scheduled'!$C$95</f>
        <v/>
      </c>
      <c r="D95">
        <f>'Previous week scheduled'!$D$95</f>
        <v/>
      </c>
      <c r="E95">
        <f>IF($J95=1,VALUE(LEFT($D95,2)),"")</f>
        <v/>
      </c>
      <c r="F95">
        <f>IF($J95=1,VALUE(MID($D95,9,2)),"")</f>
        <v/>
      </c>
      <c r="G95">
        <f>IF($J95=1,MOD($F95-$E95,24),0)</f>
        <v/>
      </c>
      <c r="H95">
        <f>IF($J95=1,-24+$E95,"")</f>
        <v/>
      </c>
      <c r="I95">
        <f>IF($J95=1,$H95+$G95,"")</f>
        <v/>
      </c>
      <c r="J95">
        <f>IF(ISNUMBER(SEARCH(" - ",$D95&amp;"")),1,0)</f>
        <v/>
      </c>
      <c r="K95">
        <f>IF(AND($J95=1,$I95&gt;0),1,0)</f>
        <v/>
      </c>
      <c r="L95">
        <f>IF($J95=1,$I95,-999)</f>
        <v/>
      </c>
      <c r="M95">
        <f>IF($K95=1,"Counts into Sunday based on natural coverage","No Sunday carryover")</f>
        <v/>
      </c>
    </row>
    <row r="96">
      <c r="A96">
        <f>'Previous week scheduled'!$A$96</f>
        <v/>
      </c>
      <c r="B96">
        <f>'Previous week scheduled'!$B$96</f>
        <v/>
      </c>
      <c r="C96">
        <f>'Previous week scheduled'!$C$96</f>
        <v/>
      </c>
      <c r="D96">
        <f>'Previous week scheduled'!$D$96</f>
        <v/>
      </c>
      <c r="E96">
        <f>IF($J96=1,VALUE(LEFT($D96,2)),"")</f>
        <v/>
      </c>
      <c r="F96">
        <f>IF($J96=1,VALUE(MID($D96,9,2)),"")</f>
        <v/>
      </c>
      <c r="G96">
        <f>IF($J96=1,MOD($F96-$E96,24),0)</f>
        <v/>
      </c>
      <c r="H96">
        <f>IF($J96=1,-24+$E96,"")</f>
        <v/>
      </c>
      <c r="I96">
        <f>IF($J96=1,$H96+$G96,"")</f>
        <v/>
      </c>
      <c r="J96">
        <f>IF(ISNUMBER(SEARCH(" - ",$D96&amp;"")),1,0)</f>
        <v/>
      </c>
      <c r="K96">
        <f>IF(AND($J96=1,$I96&gt;0),1,0)</f>
        <v/>
      </c>
      <c r="L96">
        <f>IF($J96=1,$I96,-999)</f>
        <v/>
      </c>
      <c r="M96">
        <f>IF($K96=1,"Counts into Sunday based on natural coverage","No Sunday carryover")</f>
        <v/>
      </c>
    </row>
    <row r="97">
      <c r="A97">
        <f>'Previous week scheduled'!$A$97</f>
        <v/>
      </c>
      <c r="B97">
        <f>'Previous week scheduled'!$B$97</f>
        <v/>
      </c>
      <c r="C97">
        <f>'Previous week scheduled'!$C$97</f>
        <v/>
      </c>
      <c r="D97">
        <f>'Previous week scheduled'!$D$97</f>
        <v/>
      </c>
      <c r="E97">
        <f>IF($J97=1,VALUE(LEFT($D97,2)),"")</f>
        <v/>
      </c>
      <c r="F97">
        <f>IF($J97=1,VALUE(MID($D97,9,2)),"")</f>
        <v/>
      </c>
      <c r="G97">
        <f>IF($J97=1,MOD($F97-$E97,24),0)</f>
        <v/>
      </c>
      <c r="H97">
        <f>IF($J97=1,-24+$E97,"")</f>
        <v/>
      </c>
      <c r="I97">
        <f>IF($J97=1,$H97+$G97,"")</f>
        <v/>
      </c>
      <c r="J97">
        <f>IF(ISNUMBER(SEARCH(" - ",$D97&amp;"")),1,0)</f>
        <v/>
      </c>
      <c r="K97">
        <f>IF(AND($J97=1,$I97&gt;0),1,0)</f>
        <v/>
      </c>
      <c r="L97">
        <f>IF($J97=1,$I97,-999)</f>
        <v/>
      </c>
      <c r="M97">
        <f>IF($K97=1,"Counts into Sunday based on natural coverage","No Sunday carryover")</f>
        <v/>
      </c>
    </row>
    <row r="98">
      <c r="A98">
        <f>'Previous week scheduled'!$A$98</f>
        <v/>
      </c>
      <c r="B98">
        <f>'Previous week scheduled'!$B$98</f>
        <v/>
      </c>
      <c r="C98">
        <f>'Previous week scheduled'!$C$98</f>
        <v/>
      </c>
      <c r="D98">
        <f>'Previous week scheduled'!$D$98</f>
        <v/>
      </c>
      <c r="E98">
        <f>IF($J98=1,VALUE(LEFT($D98,2)),"")</f>
        <v/>
      </c>
      <c r="F98">
        <f>IF($J98=1,VALUE(MID($D98,9,2)),"")</f>
        <v/>
      </c>
      <c r="G98">
        <f>IF($J98=1,MOD($F98-$E98,24),0)</f>
        <v/>
      </c>
      <c r="H98">
        <f>IF($J98=1,-24+$E98,"")</f>
        <v/>
      </c>
      <c r="I98">
        <f>IF($J98=1,$H98+$G98,"")</f>
        <v/>
      </c>
      <c r="J98">
        <f>IF(ISNUMBER(SEARCH(" - ",$D98&amp;"")),1,0)</f>
        <v/>
      </c>
      <c r="K98">
        <f>IF(AND($J98=1,$I98&gt;0),1,0)</f>
        <v/>
      </c>
      <c r="L98">
        <f>IF($J98=1,$I98,-999)</f>
        <v/>
      </c>
      <c r="M98">
        <f>IF($K98=1,"Counts into Sunday based on natural coverage","No Sunday carryover")</f>
        <v/>
      </c>
    </row>
    <row r="99">
      <c r="A99">
        <f>'Previous week scheduled'!$A$99</f>
        <v/>
      </c>
      <c r="B99">
        <f>'Previous week scheduled'!$B$99</f>
        <v/>
      </c>
      <c r="C99">
        <f>'Previous week scheduled'!$C$99</f>
        <v/>
      </c>
      <c r="D99">
        <f>'Previous week scheduled'!$D$99</f>
        <v/>
      </c>
      <c r="E99">
        <f>IF($J99=1,VALUE(LEFT($D99,2)),"")</f>
        <v/>
      </c>
      <c r="F99">
        <f>IF($J99=1,VALUE(MID($D99,9,2)),"")</f>
        <v/>
      </c>
      <c r="G99">
        <f>IF($J99=1,MOD($F99-$E99,24),0)</f>
        <v/>
      </c>
      <c r="H99">
        <f>IF($J99=1,-24+$E99,"")</f>
        <v/>
      </c>
      <c r="I99">
        <f>IF($J99=1,$H99+$G99,"")</f>
        <v/>
      </c>
      <c r="J99">
        <f>IF(ISNUMBER(SEARCH(" - ",$D99&amp;"")),1,0)</f>
        <v/>
      </c>
      <c r="K99">
        <f>IF(AND($J99=1,$I99&gt;0),1,0)</f>
        <v/>
      </c>
      <c r="L99">
        <f>IF($J99=1,$I99,-999)</f>
        <v/>
      </c>
      <c r="M99">
        <f>IF($K99=1,"Counts into Sunday based on natural coverage","No Sunday carryover")</f>
        <v/>
      </c>
    </row>
    <row r="100">
      <c r="A100">
        <f>'Previous week scheduled'!$A$100</f>
        <v/>
      </c>
      <c r="B100">
        <f>'Previous week scheduled'!$B$100</f>
        <v/>
      </c>
      <c r="C100">
        <f>'Previous week scheduled'!$C$100</f>
        <v/>
      </c>
      <c r="D100">
        <f>'Previous week scheduled'!$D$100</f>
        <v/>
      </c>
      <c r="E100">
        <f>IF($J100=1,VALUE(LEFT($D100,2)),"")</f>
        <v/>
      </c>
      <c r="F100">
        <f>IF($J100=1,VALUE(MID($D100,9,2)),"")</f>
        <v/>
      </c>
      <c r="G100">
        <f>IF($J100=1,MOD($F100-$E100,24),0)</f>
        <v/>
      </c>
      <c r="H100">
        <f>IF($J100=1,-24+$E100,"")</f>
        <v/>
      </c>
      <c r="I100">
        <f>IF($J100=1,$H100+$G100,"")</f>
        <v/>
      </c>
      <c r="J100">
        <f>IF(ISNUMBER(SEARCH(" - ",$D100&amp;"")),1,0)</f>
        <v/>
      </c>
      <c r="K100">
        <f>IF(AND($J100=1,$I100&gt;0),1,0)</f>
        <v/>
      </c>
      <c r="L100">
        <f>IF($J100=1,$I100,-999)</f>
        <v/>
      </c>
      <c r="M100">
        <f>IF($K100=1,"Counts into Sunday based on natural coverage","No Sunday carryover")</f>
        <v/>
      </c>
    </row>
    <row r="101">
      <c r="A101">
        <f>'Previous week scheduled'!$A$101</f>
        <v/>
      </c>
      <c r="B101">
        <f>'Previous week scheduled'!$B$101</f>
        <v/>
      </c>
      <c r="C101">
        <f>'Previous week scheduled'!$C$101</f>
        <v/>
      </c>
      <c r="D101">
        <f>'Previous week scheduled'!$D$101</f>
        <v/>
      </c>
      <c r="E101">
        <f>IF($J101=1,VALUE(LEFT($D101,2)),"")</f>
        <v/>
      </c>
      <c r="F101">
        <f>IF($J101=1,VALUE(MID($D101,9,2)),"")</f>
        <v/>
      </c>
      <c r="G101">
        <f>IF($J101=1,MOD($F101-$E101,24),0)</f>
        <v/>
      </c>
      <c r="H101">
        <f>IF($J101=1,-24+$E101,"")</f>
        <v/>
      </c>
      <c r="I101">
        <f>IF($J101=1,$H101+$G101,"")</f>
        <v/>
      </c>
      <c r="J101">
        <f>IF(ISNUMBER(SEARCH(" - ",$D101&amp;"")),1,0)</f>
        <v/>
      </c>
      <c r="K101">
        <f>IF(AND($J101=1,$I101&gt;0),1,0)</f>
        <v/>
      </c>
      <c r="L101">
        <f>IF($J101=1,$I101,-999)</f>
        <v/>
      </c>
      <c r="M101">
        <f>IF($K101=1,"Counts into Sunday based on natural coverage","No Sunday carryover")</f>
        <v/>
      </c>
    </row>
    <row r="102">
      <c r="A102">
        <f>'Previous week scheduled'!$A$102</f>
        <v/>
      </c>
      <c r="B102">
        <f>'Previous week scheduled'!$B$102</f>
        <v/>
      </c>
      <c r="C102">
        <f>'Previous week scheduled'!$C$102</f>
        <v/>
      </c>
      <c r="D102">
        <f>'Previous week scheduled'!$D$102</f>
        <v/>
      </c>
      <c r="E102">
        <f>IF($J102=1,VALUE(LEFT($D102,2)),"")</f>
        <v/>
      </c>
      <c r="F102">
        <f>IF($J102=1,VALUE(MID($D102,9,2)),"")</f>
        <v/>
      </c>
      <c r="G102">
        <f>IF($J102=1,MOD($F102-$E102,24),0)</f>
        <v/>
      </c>
      <c r="H102">
        <f>IF($J102=1,-24+$E102,"")</f>
        <v/>
      </c>
      <c r="I102">
        <f>IF($J102=1,$H102+$G102,"")</f>
        <v/>
      </c>
      <c r="J102">
        <f>IF(ISNUMBER(SEARCH(" - ",$D102&amp;"")),1,0)</f>
        <v/>
      </c>
      <c r="K102">
        <f>IF(AND($J102=1,$I102&gt;0),1,0)</f>
        <v/>
      </c>
      <c r="L102">
        <f>IF($J102=1,$I102,-999)</f>
        <v/>
      </c>
      <c r="M102">
        <f>IF($K102=1,"Counts into Sunday based on natural coverage","No Sunday carryover")</f>
        <v/>
      </c>
    </row>
    <row r="103">
      <c r="A103">
        <f>'Previous week scheduled'!$A$103</f>
        <v/>
      </c>
      <c r="B103">
        <f>'Previous week scheduled'!$B$103</f>
        <v/>
      </c>
      <c r="C103">
        <f>'Previous week scheduled'!$C$103</f>
        <v/>
      </c>
      <c r="D103">
        <f>'Previous week scheduled'!$D$103</f>
        <v/>
      </c>
      <c r="E103">
        <f>IF($J103=1,VALUE(LEFT($D103,2)),"")</f>
        <v/>
      </c>
      <c r="F103">
        <f>IF($J103=1,VALUE(MID($D103,9,2)),"")</f>
        <v/>
      </c>
      <c r="G103">
        <f>IF($J103=1,MOD($F103-$E103,24),0)</f>
        <v/>
      </c>
      <c r="H103">
        <f>IF($J103=1,-24+$E103,"")</f>
        <v/>
      </c>
      <c r="I103">
        <f>IF($J103=1,$H103+$G103,"")</f>
        <v/>
      </c>
      <c r="J103">
        <f>IF(ISNUMBER(SEARCH(" - ",$D103&amp;"")),1,0)</f>
        <v/>
      </c>
      <c r="K103">
        <f>IF(AND($J103=1,$I103&gt;0),1,0)</f>
        <v/>
      </c>
      <c r="L103">
        <f>IF($J103=1,$I103,-999)</f>
        <v/>
      </c>
      <c r="M103">
        <f>IF($K103=1,"Counts into Sunday based on natural coverage","No Sunday carryover")</f>
        <v/>
      </c>
    </row>
    <row r="104">
      <c r="A104">
        <f>'Previous week scheduled'!$A$104</f>
        <v/>
      </c>
      <c r="B104">
        <f>'Previous week scheduled'!$B$104</f>
        <v/>
      </c>
      <c r="C104">
        <f>'Previous week scheduled'!$C$104</f>
        <v/>
      </c>
      <c r="D104">
        <f>'Previous week scheduled'!$D$104</f>
        <v/>
      </c>
      <c r="E104">
        <f>IF($J104=1,VALUE(LEFT($D104,2)),"")</f>
        <v/>
      </c>
      <c r="F104">
        <f>IF($J104=1,VALUE(MID($D104,9,2)),"")</f>
        <v/>
      </c>
      <c r="G104">
        <f>IF($J104=1,MOD($F104-$E104,24),0)</f>
        <v/>
      </c>
      <c r="H104">
        <f>IF($J104=1,-24+$E104,"")</f>
        <v/>
      </c>
      <c r="I104">
        <f>IF($J104=1,$H104+$G104,"")</f>
        <v/>
      </c>
      <c r="J104">
        <f>IF(ISNUMBER(SEARCH(" - ",$D104&amp;"")),1,0)</f>
        <v/>
      </c>
      <c r="K104">
        <f>IF(AND($J104=1,$I104&gt;0),1,0)</f>
        <v/>
      </c>
      <c r="L104">
        <f>IF($J104=1,$I104,-999)</f>
        <v/>
      </c>
      <c r="M104">
        <f>IF($K104=1,"Counts into Sunday based on natural coverage","No Sunday carryover")</f>
        <v/>
      </c>
    </row>
    <row r="105">
      <c r="A105">
        <f>'Previous week scheduled'!$A$105</f>
        <v/>
      </c>
      <c r="B105">
        <f>'Previous week scheduled'!$B$105</f>
        <v/>
      </c>
      <c r="C105">
        <f>'Previous week scheduled'!$C$105</f>
        <v/>
      </c>
      <c r="D105">
        <f>'Previous week scheduled'!$D$105</f>
        <v/>
      </c>
      <c r="E105">
        <f>IF($J105=1,VALUE(LEFT($D105,2)),"")</f>
        <v/>
      </c>
      <c r="F105">
        <f>IF($J105=1,VALUE(MID($D105,9,2)),"")</f>
        <v/>
      </c>
      <c r="G105">
        <f>IF($J105=1,MOD($F105-$E105,24),0)</f>
        <v/>
      </c>
      <c r="H105">
        <f>IF($J105=1,-24+$E105,"")</f>
        <v/>
      </c>
      <c r="I105">
        <f>IF($J105=1,$H105+$G105,"")</f>
        <v/>
      </c>
      <c r="J105">
        <f>IF(ISNUMBER(SEARCH(" - ",$D105&amp;"")),1,0)</f>
        <v/>
      </c>
      <c r="K105">
        <f>IF(AND($J105=1,$I105&gt;0),1,0)</f>
        <v/>
      </c>
      <c r="L105">
        <f>IF($J105=1,$I105,-999)</f>
        <v/>
      </c>
      <c r="M105">
        <f>IF($K105=1,"Counts into Sunday based on natural coverage","No Sunday carryover")</f>
        <v/>
      </c>
    </row>
    <row r="106">
      <c r="A106">
        <f>'Previous week scheduled'!$A$106</f>
        <v/>
      </c>
      <c r="B106">
        <f>'Previous week scheduled'!$B$106</f>
        <v/>
      </c>
      <c r="C106">
        <f>'Previous week scheduled'!$C$106</f>
        <v/>
      </c>
      <c r="D106">
        <f>'Previous week scheduled'!$D$106</f>
        <v/>
      </c>
      <c r="E106">
        <f>IF($J106=1,VALUE(LEFT($D106,2)),"")</f>
        <v/>
      </c>
      <c r="F106">
        <f>IF($J106=1,VALUE(MID($D106,9,2)),"")</f>
        <v/>
      </c>
      <c r="G106">
        <f>IF($J106=1,MOD($F106-$E106,24),0)</f>
        <v/>
      </c>
      <c r="H106">
        <f>IF($J106=1,-24+$E106,"")</f>
        <v/>
      </c>
      <c r="I106">
        <f>IF($J106=1,$H106+$G106,"")</f>
        <v/>
      </c>
      <c r="J106">
        <f>IF(ISNUMBER(SEARCH(" - ",$D106&amp;"")),1,0)</f>
        <v/>
      </c>
      <c r="K106">
        <f>IF(AND($J106=1,$I106&gt;0),1,0)</f>
        <v/>
      </c>
      <c r="L106">
        <f>IF($J106=1,$I106,-999)</f>
        <v/>
      </c>
      <c r="M106">
        <f>IF($K106=1,"Counts into Sunday based on natural coverage","No Sunday carryover")</f>
        <v/>
      </c>
    </row>
    <row r="107">
      <c r="A107">
        <f>'Previous week scheduled'!$A$107</f>
        <v/>
      </c>
      <c r="B107">
        <f>'Previous week scheduled'!$B$107</f>
        <v/>
      </c>
      <c r="C107">
        <f>'Previous week scheduled'!$C$107</f>
        <v/>
      </c>
      <c r="D107">
        <f>'Previous week scheduled'!$D$107</f>
        <v/>
      </c>
      <c r="E107">
        <f>IF($J107=1,VALUE(LEFT($D107,2)),"")</f>
        <v/>
      </c>
      <c r="F107">
        <f>IF($J107=1,VALUE(MID($D107,9,2)),"")</f>
        <v/>
      </c>
      <c r="G107">
        <f>IF($J107=1,MOD($F107-$E107,24),0)</f>
        <v/>
      </c>
      <c r="H107">
        <f>IF($J107=1,-24+$E107,"")</f>
        <v/>
      </c>
      <c r="I107">
        <f>IF($J107=1,$H107+$G107,"")</f>
        <v/>
      </c>
      <c r="J107">
        <f>IF(ISNUMBER(SEARCH(" - ",$D107&amp;"")),1,0)</f>
        <v/>
      </c>
      <c r="K107">
        <f>IF(AND($J107=1,$I107&gt;0),1,0)</f>
        <v/>
      </c>
      <c r="L107">
        <f>IF($J107=1,$I107,-999)</f>
        <v/>
      </c>
      <c r="M107">
        <f>IF($K107=1,"Counts into Sunday based on natural coverage","No Sunday carryover")</f>
        <v/>
      </c>
    </row>
    <row r="108">
      <c r="A108">
        <f>'Previous week scheduled'!$A$108</f>
        <v/>
      </c>
      <c r="B108">
        <f>'Previous week scheduled'!$B$108</f>
        <v/>
      </c>
      <c r="C108">
        <f>'Previous week scheduled'!$C$108</f>
        <v/>
      </c>
      <c r="D108">
        <f>'Previous week scheduled'!$D$108</f>
        <v/>
      </c>
      <c r="E108">
        <f>IF($J108=1,VALUE(LEFT($D108,2)),"")</f>
        <v/>
      </c>
      <c r="F108">
        <f>IF($J108=1,VALUE(MID($D108,9,2)),"")</f>
        <v/>
      </c>
      <c r="G108">
        <f>IF($J108=1,MOD($F108-$E108,24),0)</f>
        <v/>
      </c>
      <c r="H108">
        <f>IF($J108=1,-24+$E108,"")</f>
        <v/>
      </c>
      <c r="I108">
        <f>IF($J108=1,$H108+$G108,"")</f>
        <v/>
      </c>
      <c r="J108">
        <f>IF(ISNUMBER(SEARCH(" - ",$D108&amp;"")),1,0)</f>
        <v/>
      </c>
      <c r="K108">
        <f>IF(AND($J108=1,$I108&gt;0),1,0)</f>
        <v/>
      </c>
      <c r="L108">
        <f>IF($J108=1,$I108,-999)</f>
        <v/>
      </c>
      <c r="M108">
        <f>IF($K108=1,"Counts into Sunday based on natural coverage","No Sunday carryover")</f>
        <v/>
      </c>
    </row>
    <row r="109">
      <c r="A109">
        <f>'Previous week scheduled'!$A$109</f>
        <v/>
      </c>
      <c r="B109">
        <f>'Previous week scheduled'!$B$109</f>
        <v/>
      </c>
      <c r="C109">
        <f>'Previous week scheduled'!$C$109</f>
        <v/>
      </c>
      <c r="D109">
        <f>'Previous week scheduled'!$D$109</f>
        <v/>
      </c>
      <c r="E109">
        <f>IF($J109=1,VALUE(LEFT($D109,2)),"")</f>
        <v/>
      </c>
      <c r="F109">
        <f>IF($J109=1,VALUE(MID($D109,9,2)),"")</f>
        <v/>
      </c>
      <c r="G109">
        <f>IF($J109=1,MOD($F109-$E109,24),0)</f>
        <v/>
      </c>
      <c r="H109">
        <f>IF($J109=1,-24+$E109,"")</f>
        <v/>
      </c>
      <c r="I109">
        <f>IF($J109=1,$H109+$G109,"")</f>
        <v/>
      </c>
      <c r="J109">
        <f>IF(ISNUMBER(SEARCH(" - ",$D109&amp;"")),1,0)</f>
        <v/>
      </c>
      <c r="K109">
        <f>IF(AND($J109=1,$I109&gt;0),1,0)</f>
        <v/>
      </c>
      <c r="L109">
        <f>IF($J109=1,$I109,-999)</f>
        <v/>
      </c>
      <c r="M109">
        <f>IF($K109=1,"Counts into Sunday based on natural coverage","No Sunday carryover")</f>
        <v/>
      </c>
    </row>
    <row r="110">
      <c r="A110">
        <f>'Previous week scheduled'!$A$110</f>
        <v/>
      </c>
      <c r="B110">
        <f>'Previous week scheduled'!$B$110</f>
        <v/>
      </c>
      <c r="C110">
        <f>'Previous week scheduled'!$C$110</f>
        <v/>
      </c>
      <c r="D110">
        <f>'Previous week scheduled'!$D$110</f>
        <v/>
      </c>
      <c r="E110">
        <f>IF($J110=1,VALUE(LEFT($D110,2)),"")</f>
        <v/>
      </c>
      <c r="F110">
        <f>IF($J110=1,VALUE(MID($D110,9,2)),"")</f>
        <v/>
      </c>
      <c r="G110">
        <f>IF($J110=1,MOD($F110-$E110,24),0)</f>
        <v/>
      </c>
      <c r="H110">
        <f>IF($J110=1,-24+$E110,"")</f>
        <v/>
      </c>
      <c r="I110">
        <f>IF($J110=1,$H110+$G110,"")</f>
        <v/>
      </c>
      <c r="J110">
        <f>IF(ISNUMBER(SEARCH(" - ",$D110&amp;"")),1,0)</f>
        <v/>
      </c>
      <c r="K110">
        <f>IF(AND($J110=1,$I110&gt;0),1,0)</f>
        <v/>
      </c>
      <c r="L110">
        <f>IF($J110=1,$I110,-999)</f>
        <v/>
      </c>
      <c r="M110">
        <f>IF($K110=1,"Counts into Sunday based on natural coverage","No Sunday carryover")</f>
        <v/>
      </c>
    </row>
    <row r="111">
      <c r="A111">
        <f>'Previous week scheduled'!$A$111</f>
        <v/>
      </c>
      <c r="B111">
        <f>'Previous week scheduled'!$B$111</f>
        <v/>
      </c>
      <c r="C111">
        <f>'Previous week scheduled'!$C$111</f>
        <v/>
      </c>
      <c r="D111">
        <f>'Previous week scheduled'!$D$111</f>
        <v/>
      </c>
      <c r="E111">
        <f>IF($J111=1,VALUE(LEFT($D111,2)),"")</f>
        <v/>
      </c>
      <c r="F111">
        <f>IF($J111=1,VALUE(MID($D111,9,2)),"")</f>
        <v/>
      </c>
      <c r="G111">
        <f>IF($J111=1,MOD($F111-$E111,24),0)</f>
        <v/>
      </c>
      <c r="H111">
        <f>IF($J111=1,-24+$E111,"")</f>
        <v/>
      </c>
      <c r="I111">
        <f>IF($J111=1,$H111+$G111,"")</f>
        <v/>
      </c>
      <c r="J111">
        <f>IF(ISNUMBER(SEARCH(" - ",$D111&amp;"")),1,0)</f>
        <v/>
      </c>
      <c r="K111">
        <f>IF(AND($J111=1,$I111&gt;0),1,0)</f>
        <v/>
      </c>
      <c r="L111">
        <f>IF($J111=1,$I111,-999)</f>
        <v/>
      </c>
      <c r="M111">
        <f>IF($K111=1,"Counts into Sunday based on natural coverage","No Sunday carryover")</f>
        <v/>
      </c>
    </row>
    <row r="112">
      <c r="A112">
        <f>'Previous week scheduled'!$A$112</f>
        <v/>
      </c>
      <c r="B112">
        <f>'Previous week scheduled'!$B$112</f>
        <v/>
      </c>
      <c r="C112">
        <f>'Previous week scheduled'!$C$112</f>
        <v/>
      </c>
      <c r="D112">
        <f>'Previous week scheduled'!$D$112</f>
        <v/>
      </c>
      <c r="E112">
        <f>IF($J112=1,VALUE(LEFT($D112,2)),"")</f>
        <v/>
      </c>
      <c r="F112">
        <f>IF($J112=1,VALUE(MID($D112,9,2)),"")</f>
        <v/>
      </c>
      <c r="G112">
        <f>IF($J112=1,MOD($F112-$E112,24),0)</f>
        <v/>
      </c>
      <c r="H112">
        <f>IF($J112=1,-24+$E112,"")</f>
        <v/>
      </c>
      <c r="I112">
        <f>IF($J112=1,$H112+$G112,"")</f>
        <v/>
      </c>
      <c r="J112">
        <f>IF(ISNUMBER(SEARCH(" - ",$D112&amp;"")),1,0)</f>
        <v/>
      </c>
      <c r="K112">
        <f>IF(AND($J112=1,$I112&gt;0),1,0)</f>
        <v/>
      </c>
      <c r="L112">
        <f>IF($J112=1,$I112,-999)</f>
        <v/>
      </c>
      <c r="M112">
        <f>IF($K112=1,"Counts into Sunday based on natural coverage","No Sunday carryover")</f>
        <v/>
      </c>
    </row>
    <row r="113">
      <c r="A113">
        <f>'Previous week scheduled'!$A$113</f>
        <v/>
      </c>
      <c r="B113">
        <f>'Previous week scheduled'!$B$113</f>
        <v/>
      </c>
      <c r="C113">
        <f>'Previous week scheduled'!$C$113</f>
        <v/>
      </c>
      <c r="D113">
        <f>'Previous week scheduled'!$D$113</f>
        <v/>
      </c>
      <c r="E113">
        <f>IF($J113=1,VALUE(LEFT($D113,2)),"")</f>
        <v/>
      </c>
      <c r="F113">
        <f>IF($J113=1,VALUE(MID($D113,9,2)),"")</f>
        <v/>
      </c>
      <c r="G113">
        <f>IF($J113=1,MOD($F113-$E113,24),0)</f>
        <v/>
      </c>
      <c r="H113">
        <f>IF($J113=1,-24+$E113,"")</f>
        <v/>
      </c>
      <c r="I113">
        <f>IF($J113=1,$H113+$G113,"")</f>
        <v/>
      </c>
      <c r="J113">
        <f>IF(ISNUMBER(SEARCH(" - ",$D113&amp;"")),1,0)</f>
        <v/>
      </c>
      <c r="K113">
        <f>IF(AND($J113=1,$I113&gt;0),1,0)</f>
        <v/>
      </c>
      <c r="L113">
        <f>IF($J113=1,$I113,-999)</f>
        <v/>
      </c>
      <c r="M113">
        <f>IF($K113=1,"Counts into Sunday based on natural coverage","No Sunday carryover")</f>
        <v/>
      </c>
    </row>
    <row r="114">
      <c r="A114">
        <f>'Previous week scheduled'!$A$114</f>
        <v/>
      </c>
      <c r="B114">
        <f>'Previous week scheduled'!$B$114</f>
        <v/>
      </c>
      <c r="C114">
        <f>'Previous week scheduled'!$C$114</f>
        <v/>
      </c>
      <c r="D114">
        <f>'Previous week scheduled'!$D$114</f>
        <v/>
      </c>
      <c r="E114">
        <f>IF($J114=1,VALUE(LEFT($D114,2)),"")</f>
        <v/>
      </c>
      <c r="F114">
        <f>IF($J114=1,VALUE(MID($D114,9,2)),"")</f>
        <v/>
      </c>
      <c r="G114">
        <f>IF($J114=1,MOD($F114-$E114,24),0)</f>
        <v/>
      </c>
      <c r="H114">
        <f>IF($J114=1,-24+$E114,"")</f>
        <v/>
      </c>
      <c r="I114">
        <f>IF($J114=1,$H114+$G114,"")</f>
        <v/>
      </c>
      <c r="J114">
        <f>IF(ISNUMBER(SEARCH(" - ",$D114&amp;"")),1,0)</f>
        <v/>
      </c>
      <c r="K114">
        <f>IF(AND($J114=1,$I114&gt;0),1,0)</f>
        <v/>
      </c>
      <c r="L114">
        <f>IF($J114=1,$I114,-999)</f>
        <v/>
      </c>
      <c r="M114">
        <f>IF($K114=1,"Counts into Sunday based on natural coverage","No Sunday carryover")</f>
        <v/>
      </c>
    </row>
    <row r="115">
      <c r="A115">
        <f>'Previous week scheduled'!$A$115</f>
        <v/>
      </c>
      <c r="B115">
        <f>'Previous week scheduled'!$B$115</f>
        <v/>
      </c>
      <c r="C115">
        <f>'Previous week scheduled'!$C$115</f>
        <v/>
      </c>
      <c r="D115">
        <f>'Previous week scheduled'!$D$115</f>
        <v/>
      </c>
      <c r="E115">
        <f>IF($J115=1,VALUE(LEFT($D115,2)),"")</f>
        <v/>
      </c>
      <c r="F115">
        <f>IF($J115=1,VALUE(MID($D115,9,2)),"")</f>
        <v/>
      </c>
      <c r="G115">
        <f>IF($J115=1,MOD($F115-$E115,24),0)</f>
        <v/>
      </c>
      <c r="H115">
        <f>IF($J115=1,-24+$E115,"")</f>
        <v/>
      </c>
      <c r="I115">
        <f>IF($J115=1,$H115+$G115,"")</f>
        <v/>
      </c>
      <c r="J115">
        <f>IF(ISNUMBER(SEARCH(" - ",$D115&amp;"")),1,0)</f>
        <v/>
      </c>
      <c r="K115">
        <f>IF(AND($J115=1,$I115&gt;0),1,0)</f>
        <v/>
      </c>
      <c r="L115">
        <f>IF($J115=1,$I115,-999)</f>
        <v/>
      </c>
      <c r="M115">
        <f>IF($K115=1,"Counts into Sunday based on natural coverage","No Sunday carryover")</f>
        <v/>
      </c>
    </row>
    <row r="116">
      <c r="A116">
        <f>'Previous week scheduled'!$A$116</f>
        <v/>
      </c>
      <c r="B116">
        <f>'Previous week scheduled'!$B$116</f>
        <v/>
      </c>
      <c r="C116">
        <f>'Previous week scheduled'!$C$116</f>
        <v/>
      </c>
      <c r="D116">
        <f>'Previous week scheduled'!$D$116</f>
        <v/>
      </c>
      <c r="E116">
        <f>IF($J116=1,VALUE(LEFT($D116,2)),"")</f>
        <v/>
      </c>
      <c r="F116">
        <f>IF($J116=1,VALUE(MID($D116,9,2)),"")</f>
        <v/>
      </c>
      <c r="G116">
        <f>IF($J116=1,MOD($F116-$E116,24),0)</f>
        <v/>
      </c>
      <c r="H116">
        <f>IF($J116=1,-24+$E116,"")</f>
        <v/>
      </c>
      <c r="I116">
        <f>IF($J116=1,$H116+$G116,"")</f>
        <v/>
      </c>
      <c r="J116">
        <f>IF(ISNUMBER(SEARCH(" - ",$D116&amp;"")),1,0)</f>
        <v/>
      </c>
      <c r="K116">
        <f>IF(AND($J116=1,$I116&gt;0),1,0)</f>
        <v/>
      </c>
      <c r="L116">
        <f>IF($J116=1,$I116,-999)</f>
        <v/>
      </c>
      <c r="M116">
        <f>IF($K116=1,"Counts into Sunday based on natural coverage","No Sunday carryover")</f>
        <v/>
      </c>
    </row>
    <row r="117">
      <c r="A117">
        <f>'Previous week scheduled'!$A$117</f>
        <v/>
      </c>
      <c r="B117">
        <f>'Previous week scheduled'!$B$117</f>
        <v/>
      </c>
      <c r="C117">
        <f>'Previous week scheduled'!$C$117</f>
        <v/>
      </c>
      <c r="D117">
        <f>'Previous week scheduled'!$D$117</f>
        <v/>
      </c>
      <c r="E117">
        <f>IF($J117=1,VALUE(LEFT($D117,2)),"")</f>
        <v/>
      </c>
      <c r="F117">
        <f>IF($J117=1,VALUE(MID($D117,9,2)),"")</f>
        <v/>
      </c>
      <c r="G117">
        <f>IF($J117=1,MOD($F117-$E117,24),0)</f>
        <v/>
      </c>
      <c r="H117">
        <f>IF($J117=1,-24+$E117,"")</f>
        <v/>
      </c>
      <c r="I117">
        <f>IF($J117=1,$H117+$G117,"")</f>
        <v/>
      </c>
      <c r="J117">
        <f>IF(ISNUMBER(SEARCH(" - ",$D117&amp;"")),1,0)</f>
        <v/>
      </c>
      <c r="K117">
        <f>IF(AND($J117=1,$I117&gt;0),1,0)</f>
        <v/>
      </c>
      <c r="L117">
        <f>IF($J117=1,$I117,-999)</f>
        <v/>
      </c>
      <c r="M117">
        <f>IF($K117=1,"Counts into Sunday based on natural coverage","No Sunday carryover")</f>
        <v/>
      </c>
    </row>
    <row r="118">
      <c r="A118">
        <f>'Previous week scheduled'!$A$118</f>
        <v/>
      </c>
      <c r="B118">
        <f>'Previous week scheduled'!$B$118</f>
        <v/>
      </c>
      <c r="C118">
        <f>'Previous week scheduled'!$C$118</f>
        <v/>
      </c>
      <c r="D118">
        <f>'Previous week scheduled'!$D$118</f>
        <v/>
      </c>
      <c r="E118">
        <f>IF($J118=1,VALUE(LEFT($D118,2)),"")</f>
        <v/>
      </c>
      <c r="F118">
        <f>IF($J118=1,VALUE(MID($D118,9,2)),"")</f>
        <v/>
      </c>
      <c r="G118">
        <f>IF($J118=1,MOD($F118-$E118,24),0)</f>
        <v/>
      </c>
      <c r="H118">
        <f>IF($J118=1,-24+$E118,"")</f>
        <v/>
      </c>
      <c r="I118">
        <f>IF($J118=1,$H118+$G118,"")</f>
        <v/>
      </c>
      <c r="J118">
        <f>IF(ISNUMBER(SEARCH(" - ",$D118&amp;"")),1,0)</f>
        <v/>
      </c>
      <c r="K118">
        <f>IF(AND($J118=1,$I118&gt;0),1,0)</f>
        <v/>
      </c>
      <c r="L118">
        <f>IF($J118=1,$I118,-999)</f>
        <v/>
      </c>
      <c r="M118">
        <f>IF($K118=1,"Counts into Sunday based on natural coverage","No Sunday carryover")</f>
        <v/>
      </c>
    </row>
    <row r="119">
      <c r="A119">
        <f>'Previous week scheduled'!$A$119</f>
        <v/>
      </c>
      <c r="B119">
        <f>'Previous week scheduled'!$B$119</f>
        <v/>
      </c>
      <c r="C119">
        <f>'Previous week scheduled'!$C$119</f>
        <v/>
      </c>
      <c r="D119">
        <f>'Previous week scheduled'!$D$119</f>
        <v/>
      </c>
      <c r="E119">
        <f>IF($J119=1,VALUE(LEFT($D119,2)),"")</f>
        <v/>
      </c>
      <c r="F119">
        <f>IF($J119=1,VALUE(MID($D119,9,2)),"")</f>
        <v/>
      </c>
      <c r="G119">
        <f>IF($J119=1,MOD($F119-$E119,24),0)</f>
        <v/>
      </c>
      <c r="H119">
        <f>IF($J119=1,-24+$E119,"")</f>
        <v/>
      </c>
      <c r="I119">
        <f>IF($J119=1,$H119+$G119,"")</f>
        <v/>
      </c>
      <c r="J119">
        <f>IF(ISNUMBER(SEARCH(" - ",$D119&amp;"")),1,0)</f>
        <v/>
      </c>
      <c r="K119">
        <f>IF(AND($J119=1,$I119&gt;0),1,0)</f>
        <v/>
      </c>
      <c r="L119">
        <f>IF($J119=1,$I119,-999)</f>
        <v/>
      </c>
      <c r="M119">
        <f>IF($K119=1,"Counts into Sunday based on natural coverage","No Sunday carryover")</f>
        <v/>
      </c>
    </row>
    <row r="120">
      <c r="A120">
        <f>'Previous week scheduled'!$A$120</f>
        <v/>
      </c>
      <c r="B120">
        <f>'Previous week scheduled'!$B$120</f>
        <v/>
      </c>
      <c r="C120">
        <f>'Previous week scheduled'!$C$120</f>
        <v/>
      </c>
      <c r="D120">
        <f>'Previous week scheduled'!$D$120</f>
        <v/>
      </c>
      <c r="E120">
        <f>IF($J120=1,VALUE(LEFT($D120,2)),"")</f>
        <v/>
      </c>
      <c r="F120">
        <f>IF($J120=1,VALUE(MID($D120,9,2)),"")</f>
        <v/>
      </c>
      <c r="G120">
        <f>IF($J120=1,MOD($F120-$E120,24),0)</f>
        <v/>
      </c>
      <c r="H120">
        <f>IF($J120=1,-24+$E120,"")</f>
        <v/>
      </c>
      <c r="I120">
        <f>IF($J120=1,$H120+$G120,"")</f>
        <v/>
      </c>
      <c r="J120">
        <f>IF(ISNUMBER(SEARCH(" - ",$D120&amp;"")),1,0)</f>
        <v/>
      </c>
      <c r="K120">
        <f>IF(AND($J120=1,$I120&gt;0),1,0)</f>
        <v/>
      </c>
      <c r="L120">
        <f>IF($J120=1,$I120,-999)</f>
        <v/>
      </c>
      <c r="M120">
        <f>IF($K120=1,"Counts into Sunday based on natural coverage","No Sunday carryover")</f>
        <v/>
      </c>
    </row>
    <row r="121">
      <c r="A121">
        <f>'Previous week scheduled'!$A$121</f>
        <v/>
      </c>
      <c r="B121">
        <f>'Previous week scheduled'!$B$121</f>
        <v/>
      </c>
      <c r="C121">
        <f>'Previous week scheduled'!$C$121</f>
        <v/>
      </c>
      <c r="D121">
        <f>'Previous week scheduled'!$D$121</f>
        <v/>
      </c>
      <c r="E121">
        <f>IF($J121=1,VALUE(LEFT($D121,2)),"")</f>
        <v/>
      </c>
      <c r="F121">
        <f>IF($J121=1,VALUE(MID($D121,9,2)),"")</f>
        <v/>
      </c>
      <c r="G121">
        <f>IF($J121=1,MOD($F121-$E121,24),0)</f>
        <v/>
      </c>
      <c r="H121">
        <f>IF($J121=1,-24+$E121,"")</f>
        <v/>
      </c>
      <c r="I121">
        <f>IF($J121=1,$H121+$G121,"")</f>
        <v/>
      </c>
      <c r="J121">
        <f>IF(ISNUMBER(SEARCH(" - ",$D121&amp;"")),1,0)</f>
        <v/>
      </c>
      <c r="K121">
        <f>IF(AND($J121=1,$I121&gt;0),1,0)</f>
        <v/>
      </c>
      <c r="L121">
        <f>IF($J121=1,$I121,-999)</f>
        <v/>
      </c>
      <c r="M121">
        <f>IF($K121=1,"Counts into Sunday based on natural coverage","No Sunday carryover")</f>
        <v/>
      </c>
    </row>
    <row r="122">
      <c r="A122">
        <f>'Previous week scheduled'!$A$122</f>
        <v/>
      </c>
      <c r="B122">
        <f>'Previous week scheduled'!$B$122</f>
        <v/>
      </c>
      <c r="C122">
        <f>'Previous week scheduled'!$C$122</f>
        <v/>
      </c>
      <c r="D122">
        <f>'Previous week scheduled'!$D$122</f>
        <v/>
      </c>
      <c r="E122">
        <f>IF($J122=1,VALUE(LEFT($D122,2)),"")</f>
        <v/>
      </c>
      <c r="F122">
        <f>IF($J122=1,VALUE(MID($D122,9,2)),"")</f>
        <v/>
      </c>
      <c r="G122">
        <f>IF($J122=1,MOD($F122-$E122,24),0)</f>
        <v/>
      </c>
      <c r="H122">
        <f>IF($J122=1,-24+$E122,"")</f>
        <v/>
      </c>
      <c r="I122">
        <f>IF($J122=1,$H122+$G122,"")</f>
        <v/>
      </c>
      <c r="J122">
        <f>IF(ISNUMBER(SEARCH(" - ",$D122&amp;"")),1,0)</f>
        <v/>
      </c>
      <c r="K122">
        <f>IF(AND($J122=1,$I122&gt;0),1,0)</f>
        <v/>
      </c>
      <c r="L122">
        <f>IF($J122=1,$I122,-999)</f>
        <v/>
      </c>
      <c r="M122">
        <f>IF($K122=1,"Counts into Sunday based on natural coverage","No Sunday carryover")</f>
        <v/>
      </c>
    </row>
    <row r="123">
      <c r="A123">
        <f>'Previous week scheduled'!$A$123</f>
        <v/>
      </c>
      <c r="B123">
        <f>'Previous week scheduled'!$B$123</f>
        <v/>
      </c>
      <c r="C123">
        <f>'Previous week scheduled'!$C$123</f>
        <v/>
      </c>
      <c r="D123">
        <f>'Previous week scheduled'!$D$123</f>
        <v/>
      </c>
      <c r="E123">
        <f>IF($J123=1,VALUE(LEFT($D123,2)),"")</f>
        <v/>
      </c>
      <c r="F123">
        <f>IF($J123=1,VALUE(MID($D123,9,2)),"")</f>
        <v/>
      </c>
      <c r="G123">
        <f>IF($J123=1,MOD($F123-$E123,24),0)</f>
        <v/>
      </c>
      <c r="H123">
        <f>IF($J123=1,-24+$E123,"")</f>
        <v/>
      </c>
      <c r="I123">
        <f>IF($J123=1,$H123+$G123,"")</f>
        <v/>
      </c>
      <c r="J123">
        <f>IF(ISNUMBER(SEARCH(" - ",$D123&amp;"")),1,0)</f>
        <v/>
      </c>
      <c r="K123">
        <f>IF(AND($J123=1,$I123&gt;0),1,0)</f>
        <v/>
      </c>
      <c r="L123">
        <f>IF($J123=1,$I123,-999)</f>
        <v/>
      </c>
      <c r="M123">
        <f>IF($K123=1,"Counts into Sunday based on natural coverage","No Sunday carryover")</f>
        <v/>
      </c>
    </row>
    <row r="124">
      <c r="A124">
        <f>'Previous week scheduled'!$A$124</f>
        <v/>
      </c>
      <c r="B124">
        <f>'Previous week scheduled'!$B$124</f>
        <v/>
      </c>
      <c r="C124">
        <f>'Previous week scheduled'!$C$124</f>
        <v/>
      </c>
      <c r="D124">
        <f>'Previous week scheduled'!$D$124</f>
        <v/>
      </c>
      <c r="E124">
        <f>IF($J124=1,VALUE(LEFT($D124,2)),"")</f>
        <v/>
      </c>
      <c r="F124">
        <f>IF($J124=1,VALUE(MID($D124,9,2)),"")</f>
        <v/>
      </c>
      <c r="G124">
        <f>IF($J124=1,MOD($F124-$E124,24),0)</f>
        <v/>
      </c>
      <c r="H124">
        <f>IF($J124=1,-24+$E124,"")</f>
        <v/>
      </c>
      <c r="I124">
        <f>IF($J124=1,$H124+$G124,"")</f>
        <v/>
      </c>
      <c r="J124">
        <f>IF(ISNUMBER(SEARCH(" - ",$D124&amp;"")),1,0)</f>
        <v/>
      </c>
      <c r="K124">
        <f>IF(AND($J124=1,$I124&gt;0),1,0)</f>
        <v/>
      </c>
      <c r="L124">
        <f>IF($J124=1,$I124,-999)</f>
        <v/>
      </c>
      <c r="M124">
        <f>IF($K124=1,"Counts into Sunday based on natural coverage","No Sunday carryover")</f>
        <v/>
      </c>
    </row>
    <row r="125">
      <c r="A125">
        <f>'Previous week scheduled'!$A$125</f>
        <v/>
      </c>
      <c r="B125">
        <f>'Previous week scheduled'!$B$125</f>
        <v/>
      </c>
      <c r="C125">
        <f>'Previous week scheduled'!$C$125</f>
        <v/>
      </c>
      <c r="D125">
        <f>'Previous week scheduled'!$D$125</f>
        <v/>
      </c>
      <c r="E125">
        <f>IF($J125=1,VALUE(LEFT($D125,2)),"")</f>
        <v/>
      </c>
      <c r="F125">
        <f>IF($J125=1,VALUE(MID($D125,9,2)),"")</f>
        <v/>
      </c>
      <c r="G125">
        <f>IF($J125=1,MOD($F125-$E125,24),0)</f>
        <v/>
      </c>
      <c r="H125">
        <f>IF($J125=1,-24+$E125,"")</f>
        <v/>
      </c>
      <c r="I125">
        <f>IF($J125=1,$H125+$G125,"")</f>
        <v/>
      </c>
      <c r="J125">
        <f>IF(ISNUMBER(SEARCH(" - ",$D125&amp;"")),1,0)</f>
        <v/>
      </c>
      <c r="K125">
        <f>IF(AND($J125=1,$I125&gt;0),1,0)</f>
        <v/>
      </c>
      <c r="L125">
        <f>IF($J125=1,$I125,-999)</f>
        <v/>
      </c>
      <c r="M125">
        <f>IF($K125=1,"Counts into Sunday based on natural coverage","No Sunday carryover")</f>
        <v/>
      </c>
    </row>
    <row r="126">
      <c r="A126">
        <f>'Previous week scheduled'!$A$126</f>
        <v/>
      </c>
      <c r="B126">
        <f>'Previous week scheduled'!$B$126</f>
        <v/>
      </c>
      <c r="C126">
        <f>'Previous week scheduled'!$C$126</f>
        <v/>
      </c>
      <c r="D126">
        <f>'Previous week scheduled'!$D$126</f>
        <v/>
      </c>
      <c r="E126">
        <f>IF($J126=1,VALUE(LEFT($D126,2)),"")</f>
        <v/>
      </c>
      <c r="F126">
        <f>IF($J126=1,VALUE(MID($D126,9,2)),"")</f>
        <v/>
      </c>
      <c r="G126">
        <f>IF($J126=1,MOD($F126-$E126,24),0)</f>
        <v/>
      </c>
      <c r="H126">
        <f>IF($J126=1,-24+$E126,"")</f>
        <v/>
      </c>
      <c r="I126">
        <f>IF($J126=1,$H126+$G126,"")</f>
        <v/>
      </c>
      <c r="J126">
        <f>IF(ISNUMBER(SEARCH(" - ",$D126&amp;"")),1,0)</f>
        <v/>
      </c>
      <c r="K126">
        <f>IF(AND($J126=1,$I126&gt;0),1,0)</f>
        <v/>
      </c>
      <c r="L126">
        <f>IF($J126=1,$I126,-999)</f>
        <v/>
      </c>
      <c r="M126">
        <f>IF($K126=1,"Counts into Sunday based on natural coverage","No Sunday carryover")</f>
        <v/>
      </c>
    </row>
    <row r="127">
      <c r="A127">
        <f>'Previous week scheduled'!$A$127</f>
        <v/>
      </c>
      <c r="B127">
        <f>'Previous week scheduled'!$B$127</f>
        <v/>
      </c>
      <c r="C127">
        <f>'Previous week scheduled'!$C$127</f>
        <v/>
      </c>
      <c r="D127">
        <f>'Previous week scheduled'!$D$127</f>
        <v/>
      </c>
      <c r="E127">
        <f>IF($J127=1,VALUE(LEFT($D127,2)),"")</f>
        <v/>
      </c>
      <c r="F127">
        <f>IF($J127=1,VALUE(MID($D127,9,2)),"")</f>
        <v/>
      </c>
      <c r="G127">
        <f>IF($J127=1,MOD($F127-$E127,24),0)</f>
        <v/>
      </c>
      <c r="H127">
        <f>IF($J127=1,-24+$E127,"")</f>
        <v/>
      </c>
      <c r="I127">
        <f>IF($J127=1,$H127+$G127,"")</f>
        <v/>
      </c>
      <c r="J127">
        <f>IF(ISNUMBER(SEARCH(" - ",$D127&amp;"")),1,0)</f>
        <v/>
      </c>
      <c r="K127">
        <f>IF(AND($J127=1,$I127&gt;0),1,0)</f>
        <v/>
      </c>
      <c r="L127">
        <f>IF($J127=1,$I127,-999)</f>
        <v/>
      </c>
      <c r="M127">
        <f>IF($K127=1,"Counts into Sunday based on natural coverage","No Sunday carryover")</f>
        <v/>
      </c>
    </row>
    <row r="128">
      <c r="A128">
        <f>'Previous week scheduled'!$A$128</f>
        <v/>
      </c>
      <c r="B128">
        <f>'Previous week scheduled'!$B$128</f>
        <v/>
      </c>
      <c r="C128">
        <f>'Previous week scheduled'!$C$128</f>
        <v/>
      </c>
      <c r="D128">
        <f>'Previous week scheduled'!$D$128</f>
        <v/>
      </c>
      <c r="E128">
        <f>IF($J128=1,VALUE(LEFT($D128,2)),"")</f>
        <v/>
      </c>
      <c r="F128">
        <f>IF($J128=1,VALUE(MID($D128,9,2)),"")</f>
        <v/>
      </c>
      <c r="G128">
        <f>IF($J128=1,MOD($F128-$E128,24),0)</f>
        <v/>
      </c>
      <c r="H128">
        <f>IF($J128=1,-24+$E128,"")</f>
        <v/>
      </c>
      <c r="I128">
        <f>IF($J128=1,$H128+$G128,"")</f>
        <v/>
      </c>
      <c r="J128">
        <f>IF(ISNUMBER(SEARCH(" - ",$D128&amp;"")),1,0)</f>
        <v/>
      </c>
      <c r="K128">
        <f>IF(AND($J128=1,$I128&gt;0),1,0)</f>
        <v/>
      </c>
      <c r="L128">
        <f>IF($J128=1,$I128,-999)</f>
        <v/>
      </c>
      <c r="M128">
        <f>IF($K128=1,"Counts into Sunday based on natural coverage","No Sunday carryover")</f>
        <v/>
      </c>
    </row>
    <row r="129">
      <c r="A129">
        <f>'Previous week scheduled'!$A$129</f>
        <v/>
      </c>
      <c r="B129">
        <f>'Previous week scheduled'!$B$129</f>
        <v/>
      </c>
      <c r="C129">
        <f>'Previous week scheduled'!$C$129</f>
        <v/>
      </c>
      <c r="D129">
        <f>'Previous week scheduled'!$D$129</f>
        <v/>
      </c>
      <c r="E129">
        <f>IF($J129=1,VALUE(LEFT($D129,2)),"")</f>
        <v/>
      </c>
      <c r="F129">
        <f>IF($J129=1,VALUE(MID($D129,9,2)),"")</f>
        <v/>
      </c>
      <c r="G129">
        <f>IF($J129=1,MOD($F129-$E129,24),0)</f>
        <v/>
      </c>
      <c r="H129">
        <f>IF($J129=1,-24+$E129,"")</f>
        <v/>
      </c>
      <c r="I129">
        <f>IF($J129=1,$H129+$G129,"")</f>
        <v/>
      </c>
      <c r="J129">
        <f>IF(ISNUMBER(SEARCH(" - ",$D129&amp;"")),1,0)</f>
        <v/>
      </c>
      <c r="K129">
        <f>IF(AND($J129=1,$I129&gt;0),1,0)</f>
        <v/>
      </c>
      <c r="L129">
        <f>IF($J129=1,$I129,-999)</f>
        <v/>
      </c>
      <c r="M129">
        <f>IF($K129=1,"Counts into Sunday based on natural coverage","No Sunday carryover")</f>
        <v/>
      </c>
    </row>
    <row r="130">
      <c r="A130">
        <f>'Previous week scheduled'!$A$130</f>
        <v/>
      </c>
      <c r="B130">
        <f>'Previous week scheduled'!$B$130</f>
        <v/>
      </c>
      <c r="C130">
        <f>'Previous week scheduled'!$C$130</f>
        <v/>
      </c>
      <c r="D130">
        <f>'Previous week scheduled'!$D$130</f>
        <v/>
      </c>
      <c r="E130">
        <f>IF($J130=1,VALUE(LEFT($D130,2)),"")</f>
        <v/>
      </c>
      <c r="F130">
        <f>IF($J130=1,VALUE(MID($D130,9,2)),"")</f>
        <v/>
      </c>
      <c r="G130">
        <f>IF($J130=1,MOD($F130-$E130,24),0)</f>
        <v/>
      </c>
      <c r="H130">
        <f>IF($J130=1,-24+$E130,"")</f>
        <v/>
      </c>
      <c r="I130">
        <f>IF($J130=1,$H130+$G130,"")</f>
        <v/>
      </c>
      <c r="J130">
        <f>IF(ISNUMBER(SEARCH(" - ",$D130&amp;"")),1,0)</f>
        <v/>
      </c>
      <c r="K130">
        <f>IF(AND($J130=1,$I130&gt;0),1,0)</f>
        <v/>
      </c>
      <c r="L130">
        <f>IF($J130=1,$I130,-999)</f>
        <v/>
      </c>
      <c r="M130">
        <f>IF($K130=1,"Counts into Sunday based on natural coverage","No Sunday carryover")</f>
        <v/>
      </c>
    </row>
    <row r="131">
      <c r="A131">
        <f>'Previous week scheduled'!$A$131</f>
        <v/>
      </c>
      <c r="B131">
        <f>'Previous week scheduled'!$B$131</f>
        <v/>
      </c>
      <c r="C131">
        <f>'Previous week scheduled'!$C$131</f>
        <v/>
      </c>
      <c r="D131">
        <f>'Previous week scheduled'!$D$131</f>
        <v/>
      </c>
      <c r="E131">
        <f>IF($J131=1,VALUE(LEFT($D131,2)),"")</f>
        <v/>
      </c>
      <c r="F131">
        <f>IF($J131=1,VALUE(MID($D131,9,2)),"")</f>
        <v/>
      </c>
      <c r="G131">
        <f>IF($J131=1,MOD($F131-$E131,24),0)</f>
        <v/>
      </c>
      <c r="H131">
        <f>IF($J131=1,-24+$E131,"")</f>
        <v/>
      </c>
      <c r="I131">
        <f>IF($J131=1,$H131+$G131,"")</f>
        <v/>
      </c>
      <c r="J131">
        <f>IF(ISNUMBER(SEARCH(" - ",$D131&amp;"")),1,0)</f>
        <v/>
      </c>
      <c r="K131">
        <f>IF(AND($J131=1,$I131&gt;0),1,0)</f>
        <v/>
      </c>
      <c r="L131">
        <f>IF($J131=1,$I131,-999)</f>
        <v/>
      </c>
      <c r="M131">
        <f>IF($K131=1,"Counts into Sunday based on natural coverage","No Sunday carryover")</f>
        <v/>
      </c>
    </row>
    <row r="132">
      <c r="A132">
        <f>'Previous week scheduled'!$A$132</f>
        <v/>
      </c>
      <c r="B132">
        <f>'Previous week scheduled'!$B$132</f>
        <v/>
      </c>
      <c r="C132">
        <f>'Previous week scheduled'!$C$132</f>
        <v/>
      </c>
      <c r="D132">
        <f>'Previous week scheduled'!$D$132</f>
        <v/>
      </c>
      <c r="E132">
        <f>IF($J132=1,VALUE(LEFT($D132,2)),"")</f>
        <v/>
      </c>
      <c r="F132">
        <f>IF($J132=1,VALUE(MID($D132,9,2)),"")</f>
        <v/>
      </c>
      <c r="G132">
        <f>IF($J132=1,MOD($F132-$E132,24),0)</f>
        <v/>
      </c>
      <c r="H132">
        <f>IF($J132=1,-24+$E132,"")</f>
        <v/>
      </c>
      <c r="I132">
        <f>IF($J132=1,$H132+$G132,"")</f>
        <v/>
      </c>
      <c r="J132">
        <f>IF(ISNUMBER(SEARCH(" - ",$D132&amp;"")),1,0)</f>
        <v/>
      </c>
      <c r="K132">
        <f>IF(AND($J132=1,$I132&gt;0),1,0)</f>
        <v/>
      </c>
      <c r="L132">
        <f>IF($J132=1,$I132,-999)</f>
        <v/>
      </c>
      <c r="M132">
        <f>IF($K132=1,"Counts into Sunday based on natural coverage","No Sunday carryover")</f>
        <v/>
      </c>
    </row>
    <row r="133">
      <c r="A133">
        <f>'Previous week scheduled'!$A$133</f>
        <v/>
      </c>
      <c r="B133">
        <f>'Previous week scheduled'!$B$133</f>
        <v/>
      </c>
      <c r="C133">
        <f>'Previous week scheduled'!$C$133</f>
        <v/>
      </c>
      <c r="D133">
        <f>'Previous week scheduled'!$D$133</f>
        <v/>
      </c>
      <c r="E133">
        <f>IF($J133=1,VALUE(LEFT($D133,2)),"")</f>
        <v/>
      </c>
      <c r="F133">
        <f>IF($J133=1,VALUE(MID($D133,9,2)),"")</f>
        <v/>
      </c>
      <c r="G133">
        <f>IF($J133=1,MOD($F133-$E133,24),0)</f>
        <v/>
      </c>
      <c r="H133">
        <f>IF($J133=1,-24+$E133,"")</f>
        <v/>
      </c>
      <c r="I133">
        <f>IF($J133=1,$H133+$G133,"")</f>
        <v/>
      </c>
      <c r="J133">
        <f>IF(ISNUMBER(SEARCH(" - ",$D133&amp;"")),1,0)</f>
        <v/>
      </c>
      <c r="K133">
        <f>IF(AND($J133=1,$I133&gt;0),1,0)</f>
        <v/>
      </c>
      <c r="L133">
        <f>IF($J133=1,$I133,-999)</f>
        <v/>
      </c>
      <c r="M133">
        <f>IF($K133=1,"Counts into Sunday based on natural coverage","No Sunday carryover")</f>
        <v/>
      </c>
    </row>
    <row r="134">
      <c r="A134">
        <f>'Previous week scheduled'!$A$134</f>
        <v/>
      </c>
      <c r="B134">
        <f>'Previous week scheduled'!$B$134</f>
        <v/>
      </c>
      <c r="C134">
        <f>'Previous week scheduled'!$C$134</f>
        <v/>
      </c>
      <c r="D134">
        <f>'Previous week scheduled'!$D$134</f>
        <v/>
      </c>
      <c r="E134">
        <f>IF($J134=1,VALUE(LEFT($D134,2)),"")</f>
        <v/>
      </c>
      <c r="F134">
        <f>IF($J134=1,VALUE(MID($D134,9,2)),"")</f>
        <v/>
      </c>
      <c r="G134">
        <f>IF($J134=1,MOD($F134-$E134,24),0)</f>
        <v/>
      </c>
      <c r="H134">
        <f>IF($J134=1,-24+$E134,"")</f>
        <v/>
      </c>
      <c r="I134">
        <f>IF($J134=1,$H134+$G134,"")</f>
        <v/>
      </c>
      <c r="J134">
        <f>IF(ISNUMBER(SEARCH(" - ",$D134&amp;"")),1,0)</f>
        <v/>
      </c>
      <c r="K134">
        <f>IF(AND($J134=1,$I134&gt;0),1,0)</f>
        <v/>
      </c>
      <c r="L134">
        <f>IF($J134=1,$I134,-999)</f>
        <v/>
      </c>
      <c r="M134">
        <f>IF($K134=1,"Counts into Sunday based on natural coverage","No Sunday carryover")</f>
        <v/>
      </c>
    </row>
    <row r="135">
      <c r="A135">
        <f>'Previous week scheduled'!$A$135</f>
        <v/>
      </c>
      <c r="B135">
        <f>'Previous week scheduled'!$B$135</f>
        <v/>
      </c>
      <c r="C135">
        <f>'Previous week scheduled'!$C$135</f>
        <v/>
      </c>
      <c r="D135">
        <f>'Previous week scheduled'!$D$135</f>
        <v/>
      </c>
      <c r="E135">
        <f>IF($J135=1,VALUE(LEFT($D135,2)),"")</f>
        <v/>
      </c>
      <c r="F135">
        <f>IF($J135=1,VALUE(MID($D135,9,2)),"")</f>
        <v/>
      </c>
      <c r="G135">
        <f>IF($J135=1,MOD($F135-$E135,24),0)</f>
        <v/>
      </c>
      <c r="H135">
        <f>IF($J135=1,-24+$E135,"")</f>
        <v/>
      </c>
      <c r="I135">
        <f>IF($J135=1,$H135+$G135,"")</f>
        <v/>
      </c>
      <c r="J135">
        <f>IF(ISNUMBER(SEARCH(" - ",$D135&amp;"")),1,0)</f>
        <v/>
      </c>
      <c r="K135">
        <f>IF(AND($J135=1,$I135&gt;0),1,0)</f>
        <v/>
      </c>
      <c r="L135">
        <f>IF($J135=1,$I135,-999)</f>
        <v/>
      </c>
      <c r="M135">
        <f>IF($K135=1,"Counts into Sunday based on natural coverage","No Sunday carryover")</f>
        <v/>
      </c>
    </row>
    <row r="136">
      <c r="A136">
        <f>'Previous week scheduled'!$A$136</f>
        <v/>
      </c>
      <c r="B136">
        <f>'Previous week scheduled'!$B$136</f>
        <v/>
      </c>
      <c r="C136">
        <f>'Previous week scheduled'!$C$136</f>
        <v/>
      </c>
      <c r="D136">
        <f>'Previous week scheduled'!$D$136</f>
        <v/>
      </c>
      <c r="E136">
        <f>IF($J136=1,VALUE(LEFT($D136,2)),"")</f>
        <v/>
      </c>
      <c r="F136">
        <f>IF($J136=1,VALUE(MID($D136,9,2)),"")</f>
        <v/>
      </c>
      <c r="G136">
        <f>IF($J136=1,MOD($F136-$E136,24),0)</f>
        <v/>
      </c>
      <c r="H136">
        <f>IF($J136=1,-24+$E136,"")</f>
        <v/>
      </c>
      <c r="I136">
        <f>IF($J136=1,$H136+$G136,"")</f>
        <v/>
      </c>
      <c r="J136">
        <f>IF(ISNUMBER(SEARCH(" - ",$D136&amp;"")),1,0)</f>
        <v/>
      </c>
      <c r="K136">
        <f>IF(AND($J136=1,$I136&gt;0),1,0)</f>
        <v/>
      </c>
      <c r="L136">
        <f>IF($J136=1,$I136,-999)</f>
        <v/>
      </c>
      <c r="M136">
        <f>IF($K136=1,"Counts into Sunday based on natural coverage","No Sunday carryover")</f>
        <v/>
      </c>
    </row>
    <row r="137">
      <c r="A137">
        <f>'Previous week scheduled'!$A$137</f>
        <v/>
      </c>
      <c r="B137">
        <f>'Previous week scheduled'!$B$137</f>
        <v/>
      </c>
      <c r="C137">
        <f>'Previous week scheduled'!$C$137</f>
        <v/>
      </c>
      <c r="D137">
        <f>'Previous week scheduled'!$D$137</f>
        <v/>
      </c>
      <c r="E137">
        <f>IF($J137=1,VALUE(LEFT($D137,2)),"")</f>
        <v/>
      </c>
      <c r="F137">
        <f>IF($J137=1,VALUE(MID($D137,9,2)),"")</f>
        <v/>
      </c>
      <c r="G137">
        <f>IF($J137=1,MOD($F137-$E137,24),0)</f>
        <v/>
      </c>
      <c r="H137">
        <f>IF($J137=1,-24+$E137,"")</f>
        <v/>
      </c>
      <c r="I137">
        <f>IF($J137=1,$H137+$G137,"")</f>
        <v/>
      </c>
      <c r="J137">
        <f>IF(ISNUMBER(SEARCH(" - ",$D137&amp;"")),1,0)</f>
        <v/>
      </c>
      <c r="K137">
        <f>IF(AND($J137=1,$I137&gt;0),1,0)</f>
        <v/>
      </c>
      <c r="L137">
        <f>IF($J137=1,$I137,-999)</f>
        <v/>
      </c>
      <c r="M137">
        <f>IF($K137=1,"Counts into Sunday based on natural coverage","No Sunday carryover")</f>
        <v/>
      </c>
    </row>
    <row r="138">
      <c r="A138">
        <f>'Previous week scheduled'!$A$138</f>
        <v/>
      </c>
      <c r="B138">
        <f>'Previous week scheduled'!$B$138</f>
        <v/>
      </c>
      <c r="C138">
        <f>'Previous week scheduled'!$C$138</f>
        <v/>
      </c>
      <c r="D138">
        <f>'Previous week scheduled'!$D$138</f>
        <v/>
      </c>
      <c r="E138">
        <f>IF($J138=1,VALUE(LEFT($D138,2)),"")</f>
        <v/>
      </c>
      <c r="F138">
        <f>IF($J138=1,VALUE(MID($D138,9,2)),"")</f>
        <v/>
      </c>
      <c r="G138">
        <f>IF($J138=1,MOD($F138-$E138,24),0)</f>
        <v/>
      </c>
      <c r="H138">
        <f>IF($J138=1,-24+$E138,"")</f>
        <v/>
      </c>
      <c r="I138">
        <f>IF($J138=1,$H138+$G138,"")</f>
        <v/>
      </c>
      <c r="J138">
        <f>IF(ISNUMBER(SEARCH(" - ",$D138&amp;"")),1,0)</f>
        <v/>
      </c>
      <c r="K138">
        <f>IF(AND($J138=1,$I138&gt;0),1,0)</f>
        <v/>
      </c>
      <c r="L138">
        <f>IF($J138=1,$I138,-999)</f>
        <v/>
      </c>
      <c r="M138">
        <f>IF($K138=1,"Counts into Sunday based on natural coverage","No Sunday carryover")</f>
        <v/>
      </c>
    </row>
    <row r="139">
      <c r="A139">
        <f>'Previous week scheduled'!$A$139</f>
        <v/>
      </c>
      <c r="B139">
        <f>'Previous week scheduled'!$B$139</f>
        <v/>
      </c>
      <c r="C139">
        <f>'Previous week scheduled'!$C$139</f>
        <v/>
      </c>
      <c r="D139">
        <f>'Previous week scheduled'!$D$139</f>
        <v/>
      </c>
      <c r="E139">
        <f>IF($J139=1,VALUE(LEFT($D139,2)),"")</f>
        <v/>
      </c>
      <c r="F139">
        <f>IF($J139=1,VALUE(MID($D139,9,2)),"")</f>
        <v/>
      </c>
      <c r="G139">
        <f>IF($J139=1,MOD($F139-$E139,24),0)</f>
        <v/>
      </c>
      <c r="H139">
        <f>IF($J139=1,-24+$E139,"")</f>
        <v/>
      </c>
      <c r="I139">
        <f>IF($J139=1,$H139+$G139,"")</f>
        <v/>
      </c>
      <c r="J139">
        <f>IF(ISNUMBER(SEARCH(" - ",$D139&amp;"")),1,0)</f>
        <v/>
      </c>
      <c r="K139">
        <f>IF(AND($J139=1,$I139&gt;0),1,0)</f>
        <v/>
      </c>
      <c r="L139">
        <f>IF($J139=1,$I139,-999)</f>
        <v/>
      </c>
      <c r="M139">
        <f>IF($K139=1,"Counts into Sunday based on natural coverage","No Sunday carryover")</f>
        <v/>
      </c>
    </row>
    <row r="140">
      <c r="A140">
        <f>'Previous week scheduled'!$A$140</f>
        <v/>
      </c>
      <c r="B140">
        <f>'Previous week scheduled'!$B$140</f>
        <v/>
      </c>
      <c r="C140">
        <f>'Previous week scheduled'!$C$140</f>
        <v/>
      </c>
      <c r="D140">
        <f>'Previous week scheduled'!$D$140</f>
        <v/>
      </c>
      <c r="E140">
        <f>IF($J140=1,VALUE(LEFT($D140,2)),"")</f>
        <v/>
      </c>
      <c r="F140">
        <f>IF($J140=1,VALUE(MID($D140,9,2)),"")</f>
        <v/>
      </c>
      <c r="G140">
        <f>IF($J140=1,MOD($F140-$E140,24),0)</f>
        <v/>
      </c>
      <c r="H140">
        <f>IF($J140=1,-24+$E140,"")</f>
        <v/>
      </c>
      <c r="I140">
        <f>IF($J140=1,$H140+$G140,"")</f>
        <v/>
      </c>
      <c r="J140">
        <f>IF(ISNUMBER(SEARCH(" - ",$D140&amp;"")),1,0)</f>
        <v/>
      </c>
      <c r="K140">
        <f>IF(AND($J140=1,$I140&gt;0),1,0)</f>
        <v/>
      </c>
      <c r="L140">
        <f>IF($J140=1,$I140,-999)</f>
        <v/>
      </c>
      <c r="M140">
        <f>IF($K140=1,"Counts into Sunday based on natural coverage","No Sunday carryover")</f>
        <v/>
      </c>
    </row>
    <row r="141">
      <c r="A141">
        <f>'Previous week scheduled'!$A$141</f>
        <v/>
      </c>
      <c r="B141">
        <f>'Previous week scheduled'!$B$141</f>
        <v/>
      </c>
      <c r="C141">
        <f>'Previous week scheduled'!$C$141</f>
        <v/>
      </c>
      <c r="D141">
        <f>'Previous week scheduled'!$D$141</f>
        <v/>
      </c>
      <c r="E141">
        <f>IF($J141=1,VALUE(LEFT($D141,2)),"")</f>
        <v/>
      </c>
      <c r="F141">
        <f>IF($J141=1,VALUE(MID($D141,9,2)),"")</f>
        <v/>
      </c>
      <c r="G141">
        <f>IF($J141=1,MOD($F141-$E141,24),0)</f>
        <v/>
      </c>
      <c r="H141">
        <f>IF($J141=1,-24+$E141,"")</f>
        <v/>
      </c>
      <c r="I141">
        <f>IF($J141=1,$H141+$G141,"")</f>
        <v/>
      </c>
      <c r="J141">
        <f>IF(ISNUMBER(SEARCH(" - ",$D141&amp;"")),1,0)</f>
        <v/>
      </c>
      <c r="K141">
        <f>IF(AND($J141=1,$I141&gt;0),1,0)</f>
        <v/>
      </c>
      <c r="L141">
        <f>IF($J141=1,$I141,-999)</f>
        <v/>
      </c>
      <c r="M141">
        <f>IF($K141=1,"Counts into Sunday based on natural coverage","No Sunday carryover")</f>
        <v/>
      </c>
    </row>
    <row r="142">
      <c r="A142">
        <f>'Previous week scheduled'!$A$142</f>
        <v/>
      </c>
      <c r="B142">
        <f>'Previous week scheduled'!$B$142</f>
        <v/>
      </c>
      <c r="C142">
        <f>'Previous week scheduled'!$C$142</f>
        <v/>
      </c>
      <c r="D142">
        <f>'Previous week scheduled'!$D$142</f>
        <v/>
      </c>
      <c r="E142">
        <f>IF($J142=1,VALUE(LEFT($D142,2)),"")</f>
        <v/>
      </c>
      <c r="F142">
        <f>IF($J142=1,VALUE(MID($D142,9,2)),"")</f>
        <v/>
      </c>
      <c r="G142">
        <f>IF($J142=1,MOD($F142-$E142,24),0)</f>
        <v/>
      </c>
      <c r="H142">
        <f>IF($J142=1,-24+$E142,"")</f>
        <v/>
      </c>
      <c r="I142">
        <f>IF($J142=1,$H142+$G142,"")</f>
        <v/>
      </c>
      <c r="J142">
        <f>IF(ISNUMBER(SEARCH(" - ",$D142&amp;"")),1,0)</f>
        <v/>
      </c>
      <c r="K142">
        <f>IF(AND($J142=1,$I142&gt;0),1,0)</f>
        <v/>
      </c>
      <c r="L142">
        <f>IF($J142=1,$I142,-999)</f>
        <v/>
      </c>
      <c r="M142">
        <f>IF($K142=1,"Counts into Sunday based on natural coverage","No Sunday carryover")</f>
        <v/>
      </c>
    </row>
    <row r="143">
      <c r="A143">
        <f>'Previous week scheduled'!$A$143</f>
        <v/>
      </c>
      <c r="B143">
        <f>'Previous week scheduled'!$B$143</f>
        <v/>
      </c>
      <c r="C143">
        <f>'Previous week scheduled'!$C$143</f>
        <v/>
      </c>
      <c r="D143">
        <f>'Previous week scheduled'!$D$143</f>
        <v/>
      </c>
      <c r="E143">
        <f>IF($J143=1,VALUE(LEFT($D143,2)),"")</f>
        <v/>
      </c>
      <c r="F143">
        <f>IF($J143=1,VALUE(MID($D143,9,2)),"")</f>
        <v/>
      </c>
      <c r="G143">
        <f>IF($J143=1,MOD($F143-$E143,24),0)</f>
        <v/>
      </c>
      <c r="H143">
        <f>IF($J143=1,-24+$E143,"")</f>
        <v/>
      </c>
      <c r="I143">
        <f>IF($J143=1,$H143+$G143,"")</f>
        <v/>
      </c>
      <c r="J143">
        <f>IF(ISNUMBER(SEARCH(" - ",$D143&amp;"")),1,0)</f>
        <v/>
      </c>
      <c r="K143">
        <f>IF(AND($J143=1,$I143&gt;0),1,0)</f>
        <v/>
      </c>
      <c r="L143">
        <f>IF($J143=1,$I143,-999)</f>
        <v/>
      </c>
      <c r="M143">
        <f>IF($K143=1,"Counts into Sunday based on natural coverage","No Sunday carryover")</f>
        <v/>
      </c>
    </row>
    <row r="144">
      <c r="A144">
        <f>'Previous week scheduled'!$A$144</f>
        <v/>
      </c>
      <c r="B144">
        <f>'Previous week scheduled'!$B$144</f>
        <v/>
      </c>
      <c r="C144">
        <f>'Previous week scheduled'!$C$144</f>
        <v/>
      </c>
      <c r="D144">
        <f>'Previous week scheduled'!$D$144</f>
        <v/>
      </c>
      <c r="E144">
        <f>IF($J144=1,VALUE(LEFT($D144,2)),"")</f>
        <v/>
      </c>
      <c r="F144">
        <f>IF($J144=1,VALUE(MID($D144,9,2)),"")</f>
        <v/>
      </c>
      <c r="G144">
        <f>IF($J144=1,MOD($F144-$E144,24),0)</f>
        <v/>
      </c>
      <c r="H144">
        <f>IF($J144=1,-24+$E144,"")</f>
        <v/>
      </c>
      <c r="I144">
        <f>IF($J144=1,$H144+$G144,"")</f>
        <v/>
      </c>
      <c r="J144">
        <f>IF(ISNUMBER(SEARCH(" - ",$D144&amp;"")),1,0)</f>
        <v/>
      </c>
      <c r="K144">
        <f>IF(AND($J144=1,$I144&gt;0),1,0)</f>
        <v/>
      </c>
      <c r="L144">
        <f>IF($J144=1,$I144,-999)</f>
        <v/>
      </c>
      <c r="M144">
        <f>IF($K144=1,"Counts into Sunday based on natural coverage","No Sunday carryover")</f>
        <v/>
      </c>
    </row>
    <row r="145">
      <c r="A145">
        <f>'Previous week scheduled'!$A$145</f>
        <v/>
      </c>
      <c r="B145">
        <f>'Previous week scheduled'!$B$145</f>
        <v/>
      </c>
      <c r="C145">
        <f>'Previous week scheduled'!$C$145</f>
        <v/>
      </c>
      <c r="D145">
        <f>'Previous week scheduled'!$D$145</f>
        <v/>
      </c>
      <c r="E145">
        <f>IF($J145=1,VALUE(LEFT($D145,2)),"")</f>
        <v/>
      </c>
      <c r="F145">
        <f>IF($J145=1,VALUE(MID($D145,9,2)),"")</f>
        <v/>
      </c>
      <c r="G145">
        <f>IF($J145=1,MOD($F145-$E145,24),0)</f>
        <v/>
      </c>
      <c r="H145">
        <f>IF($J145=1,-24+$E145,"")</f>
        <v/>
      </c>
      <c r="I145">
        <f>IF($J145=1,$H145+$G145,"")</f>
        <v/>
      </c>
      <c r="J145">
        <f>IF(ISNUMBER(SEARCH(" - ",$D145&amp;"")),1,0)</f>
        <v/>
      </c>
      <c r="K145">
        <f>IF(AND($J145=1,$I145&gt;0),1,0)</f>
        <v/>
      </c>
      <c r="L145">
        <f>IF($J145=1,$I145,-999)</f>
        <v/>
      </c>
      <c r="M145">
        <f>IF($K145=1,"Counts into Sunday based on natural coverage","No Sunday carryover")</f>
        <v/>
      </c>
    </row>
    <row r="146">
      <c r="A146">
        <f>'Previous week scheduled'!$A$146</f>
        <v/>
      </c>
      <c r="B146">
        <f>'Previous week scheduled'!$B$146</f>
        <v/>
      </c>
      <c r="C146">
        <f>'Previous week scheduled'!$C$146</f>
        <v/>
      </c>
      <c r="D146">
        <f>'Previous week scheduled'!$D$146</f>
        <v/>
      </c>
      <c r="E146">
        <f>IF($J146=1,VALUE(LEFT($D146,2)),"")</f>
        <v/>
      </c>
      <c r="F146">
        <f>IF($J146=1,VALUE(MID($D146,9,2)),"")</f>
        <v/>
      </c>
      <c r="G146">
        <f>IF($J146=1,MOD($F146-$E146,24),0)</f>
        <v/>
      </c>
      <c r="H146">
        <f>IF($J146=1,-24+$E146,"")</f>
        <v/>
      </c>
      <c r="I146">
        <f>IF($J146=1,$H146+$G146,"")</f>
        <v/>
      </c>
      <c r="J146">
        <f>IF(ISNUMBER(SEARCH(" - ",$D146&amp;"")),1,0)</f>
        <v/>
      </c>
      <c r="K146">
        <f>IF(AND($J146=1,$I146&gt;0),1,0)</f>
        <v/>
      </c>
      <c r="L146">
        <f>IF($J146=1,$I146,-999)</f>
        <v/>
      </c>
      <c r="M146">
        <f>IF($K146=1,"Counts into Sunday based on natural coverage","No Sunday carryover")</f>
        <v/>
      </c>
    </row>
    <row r="147">
      <c r="A147">
        <f>'Previous week scheduled'!$A$147</f>
        <v/>
      </c>
      <c r="B147">
        <f>'Previous week scheduled'!$B$147</f>
        <v/>
      </c>
      <c r="C147">
        <f>'Previous week scheduled'!$C$147</f>
        <v/>
      </c>
      <c r="D147">
        <f>'Previous week scheduled'!$D$147</f>
        <v/>
      </c>
      <c r="E147">
        <f>IF($J147=1,VALUE(LEFT($D147,2)),"")</f>
        <v/>
      </c>
      <c r="F147">
        <f>IF($J147=1,VALUE(MID($D147,9,2)),"")</f>
        <v/>
      </c>
      <c r="G147">
        <f>IF($J147=1,MOD($F147-$E147,24),0)</f>
        <v/>
      </c>
      <c r="H147">
        <f>IF($J147=1,-24+$E147,"")</f>
        <v/>
      </c>
      <c r="I147">
        <f>IF($J147=1,$H147+$G147,"")</f>
        <v/>
      </c>
      <c r="J147">
        <f>IF(ISNUMBER(SEARCH(" - ",$D147&amp;"")),1,0)</f>
        <v/>
      </c>
      <c r="K147">
        <f>IF(AND($J147=1,$I147&gt;0),1,0)</f>
        <v/>
      </c>
      <c r="L147">
        <f>IF($J147=1,$I147,-999)</f>
        <v/>
      </c>
      <c r="M147">
        <f>IF($K147=1,"Counts into Sunday based on natural coverage","No Sunday carryover")</f>
        <v/>
      </c>
    </row>
    <row r="148">
      <c r="A148">
        <f>'Previous week scheduled'!$A$148</f>
        <v/>
      </c>
      <c r="B148">
        <f>'Previous week scheduled'!$B$148</f>
        <v/>
      </c>
      <c r="C148">
        <f>'Previous week scheduled'!$C$148</f>
        <v/>
      </c>
      <c r="D148">
        <f>'Previous week scheduled'!$D$148</f>
        <v/>
      </c>
      <c r="E148">
        <f>IF($J148=1,VALUE(LEFT($D148,2)),"")</f>
        <v/>
      </c>
      <c r="F148">
        <f>IF($J148=1,VALUE(MID($D148,9,2)),"")</f>
        <v/>
      </c>
      <c r="G148">
        <f>IF($J148=1,MOD($F148-$E148,24),0)</f>
        <v/>
      </c>
      <c r="H148">
        <f>IF($J148=1,-24+$E148,"")</f>
        <v/>
      </c>
      <c r="I148">
        <f>IF($J148=1,$H148+$G148,"")</f>
        <v/>
      </c>
      <c r="J148">
        <f>IF(ISNUMBER(SEARCH(" - ",$D148&amp;"")),1,0)</f>
        <v/>
      </c>
      <c r="K148">
        <f>IF(AND($J148=1,$I148&gt;0),1,0)</f>
        <v/>
      </c>
      <c r="L148">
        <f>IF($J148=1,$I148,-999)</f>
        <v/>
      </c>
      <c r="M148">
        <f>IF($K148=1,"Counts into Sunday based on natural coverage","No Sunday carryover")</f>
        <v/>
      </c>
    </row>
    <row r="149">
      <c r="A149">
        <f>'Previous week scheduled'!$A$149</f>
        <v/>
      </c>
      <c r="B149">
        <f>'Previous week scheduled'!$B$149</f>
        <v/>
      </c>
      <c r="C149">
        <f>'Previous week scheduled'!$C$149</f>
        <v/>
      </c>
      <c r="D149">
        <f>'Previous week scheduled'!$D$149</f>
        <v/>
      </c>
      <c r="E149">
        <f>IF($J149=1,VALUE(LEFT($D149,2)),"")</f>
        <v/>
      </c>
      <c r="F149">
        <f>IF($J149=1,VALUE(MID($D149,9,2)),"")</f>
        <v/>
      </c>
      <c r="G149">
        <f>IF($J149=1,MOD($F149-$E149,24),0)</f>
        <v/>
      </c>
      <c r="H149">
        <f>IF($J149=1,-24+$E149,"")</f>
        <v/>
      </c>
      <c r="I149">
        <f>IF($J149=1,$H149+$G149,"")</f>
        <v/>
      </c>
      <c r="J149">
        <f>IF(ISNUMBER(SEARCH(" - ",$D149&amp;"")),1,0)</f>
        <v/>
      </c>
      <c r="K149">
        <f>IF(AND($J149=1,$I149&gt;0),1,0)</f>
        <v/>
      </c>
      <c r="L149">
        <f>IF($J149=1,$I149,-999)</f>
        <v/>
      </c>
      <c r="M149">
        <f>IF($K149=1,"Counts into Sunday based on natural coverage","No Sunday carryover")</f>
        <v/>
      </c>
    </row>
    <row r="150">
      <c r="A150">
        <f>'Previous week scheduled'!$A$150</f>
        <v/>
      </c>
      <c r="B150">
        <f>'Previous week scheduled'!$B$150</f>
        <v/>
      </c>
      <c r="C150">
        <f>'Previous week scheduled'!$C$150</f>
        <v/>
      </c>
      <c r="D150">
        <f>'Previous week scheduled'!$D$150</f>
        <v/>
      </c>
      <c r="E150">
        <f>IF($J150=1,VALUE(LEFT($D150,2)),"")</f>
        <v/>
      </c>
      <c r="F150">
        <f>IF($J150=1,VALUE(MID($D150,9,2)),"")</f>
        <v/>
      </c>
      <c r="G150">
        <f>IF($J150=1,MOD($F150-$E150,24),0)</f>
        <v/>
      </c>
      <c r="H150">
        <f>IF($J150=1,-24+$E150,"")</f>
        <v/>
      </c>
      <c r="I150">
        <f>IF($J150=1,$H150+$G150,"")</f>
        <v/>
      </c>
      <c r="J150">
        <f>IF(ISNUMBER(SEARCH(" - ",$D150&amp;"")),1,0)</f>
        <v/>
      </c>
      <c r="K150">
        <f>IF(AND($J150=1,$I150&gt;0),1,0)</f>
        <v/>
      </c>
      <c r="L150">
        <f>IF($J150=1,$I150,-999)</f>
        <v/>
      </c>
      <c r="M150">
        <f>IF($K150=1,"Counts into Sunday based on natural coverage","No Sunday carryover")</f>
        <v/>
      </c>
    </row>
    <row r="151">
      <c r="A151">
        <f>'Previous week scheduled'!$A$151</f>
        <v/>
      </c>
      <c r="B151">
        <f>'Previous week scheduled'!$B$151</f>
        <v/>
      </c>
      <c r="C151">
        <f>'Previous week scheduled'!$C$151</f>
        <v/>
      </c>
      <c r="D151">
        <f>'Previous week scheduled'!$D$151</f>
        <v/>
      </c>
      <c r="E151">
        <f>IF($J151=1,VALUE(LEFT($D151,2)),"")</f>
        <v/>
      </c>
      <c r="F151">
        <f>IF($J151=1,VALUE(MID($D151,9,2)),"")</f>
        <v/>
      </c>
      <c r="G151">
        <f>IF($J151=1,MOD($F151-$E151,24),0)</f>
        <v/>
      </c>
      <c r="H151">
        <f>IF($J151=1,-24+$E151,"")</f>
        <v/>
      </c>
      <c r="I151">
        <f>IF($J151=1,$H151+$G151,"")</f>
        <v/>
      </c>
      <c r="J151">
        <f>IF(ISNUMBER(SEARCH(" - ",$D151&amp;"")),1,0)</f>
        <v/>
      </c>
      <c r="K151">
        <f>IF(AND($J151=1,$I151&gt;0),1,0)</f>
        <v/>
      </c>
      <c r="L151">
        <f>IF($J151=1,$I151,-999)</f>
        <v/>
      </c>
      <c r="M151">
        <f>IF($K151=1,"Counts into Sunday based on natural coverage","No Sunday carryover")</f>
        <v/>
      </c>
    </row>
    <row r="152">
      <c r="A152">
        <f>'Previous week scheduled'!$A$152</f>
        <v/>
      </c>
      <c r="B152">
        <f>'Previous week scheduled'!$B$152</f>
        <v/>
      </c>
      <c r="C152">
        <f>'Previous week scheduled'!$C$152</f>
        <v/>
      </c>
      <c r="D152">
        <f>'Previous week scheduled'!$D$152</f>
        <v/>
      </c>
      <c r="E152">
        <f>IF($J152=1,VALUE(LEFT($D152,2)),"")</f>
        <v/>
      </c>
      <c r="F152">
        <f>IF($J152=1,VALUE(MID($D152,9,2)),"")</f>
        <v/>
      </c>
      <c r="G152">
        <f>IF($J152=1,MOD($F152-$E152,24),0)</f>
        <v/>
      </c>
      <c r="H152">
        <f>IF($J152=1,-24+$E152,"")</f>
        <v/>
      </c>
      <c r="I152">
        <f>IF($J152=1,$H152+$G152,"")</f>
        <v/>
      </c>
      <c r="J152">
        <f>IF(ISNUMBER(SEARCH(" - ",$D152&amp;"")),1,0)</f>
        <v/>
      </c>
      <c r="K152">
        <f>IF(AND($J152=1,$I152&gt;0),1,0)</f>
        <v/>
      </c>
      <c r="L152">
        <f>IF($J152=1,$I152,-999)</f>
        <v/>
      </c>
      <c r="M152">
        <f>IF($K152=1,"Counts into Sunday based on natural coverage","No Sunday carryover")</f>
        <v/>
      </c>
    </row>
    <row r="153">
      <c r="A153">
        <f>'Previous week scheduled'!$A$153</f>
        <v/>
      </c>
      <c r="B153">
        <f>'Previous week scheduled'!$B$153</f>
        <v/>
      </c>
      <c r="C153">
        <f>'Previous week scheduled'!$C$153</f>
        <v/>
      </c>
      <c r="D153">
        <f>'Previous week scheduled'!$D$153</f>
        <v/>
      </c>
      <c r="E153">
        <f>IF($J153=1,VALUE(LEFT($D153,2)),"")</f>
        <v/>
      </c>
      <c r="F153">
        <f>IF($J153=1,VALUE(MID($D153,9,2)),"")</f>
        <v/>
      </c>
      <c r="G153">
        <f>IF($J153=1,MOD($F153-$E153,24),0)</f>
        <v/>
      </c>
      <c r="H153">
        <f>IF($J153=1,-24+$E153,"")</f>
        <v/>
      </c>
      <c r="I153">
        <f>IF($J153=1,$H153+$G153,"")</f>
        <v/>
      </c>
      <c r="J153">
        <f>IF(ISNUMBER(SEARCH(" - ",$D153&amp;"")),1,0)</f>
        <v/>
      </c>
      <c r="K153">
        <f>IF(AND($J153=1,$I153&gt;0),1,0)</f>
        <v/>
      </c>
      <c r="L153">
        <f>IF($J153=1,$I153,-999)</f>
        <v/>
      </c>
      <c r="M153">
        <f>IF($K153=1,"Counts into Sunday based on natural coverage","No Sunday carryover")</f>
        <v/>
      </c>
    </row>
    <row r="154">
      <c r="A154">
        <f>'Previous week scheduled'!$A$154</f>
        <v/>
      </c>
      <c r="B154">
        <f>'Previous week scheduled'!$B$154</f>
        <v/>
      </c>
      <c r="C154">
        <f>'Previous week scheduled'!$C$154</f>
        <v/>
      </c>
      <c r="D154">
        <f>'Previous week scheduled'!$D$154</f>
        <v/>
      </c>
      <c r="E154">
        <f>IF($J154=1,VALUE(LEFT($D154,2)),"")</f>
        <v/>
      </c>
      <c r="F154">
        <f>IF($J154=1,VALUE(MID($D154,9,2)),"")</f>
        <v/>
      </c>
      <c r="G154">
        <f>IF($J154=1,MOD($F154-$E154,24),0)</f>
        <v/>
      </c>
      <c r="H154">
        <f>IF($J154=1,-24+$E154,"")</f>
        <v/>
      </c>
      <c r="I154">
        <f>IF($J154=1,$H154+$G154,"")</f>
        <v/>
      </c>
      <c r="J154">
        <f>IF(ISNUMBER(SEARCH(" - ",$D154&amp;"")),1,0)</f>
        <v/>
      </c>
      <c r="K154">
        <f>IF(AND($J154=1,$I154&gt;0),1,0)</f>
        <v/>
      </c>
      <c r="L154">
        <f>IF($J154=1,$I154,-999)</f>
        <v/>
      </c>
      <c r="M154">
        <f>IF($K154=1,"Counts into Sunday based on natural coverage","No Sunday carryover")</f>
        <v/>
      </c>
    </row>
    <row r="155">
      <c r="A155">
        <f>'Previous week scheduled'!$A$155</f>
        <v/>
      </c>
      <c r="B155">
        <f>'Previous week scheduled'!$B$155</f>
        <v/>
      </c>
      <c r="C155">
        <f>'Previous week scheduled'!$C$155</f>
        <v/>
      </c>
      <c r="D155">
        <f>'Previous week scheduled'!$D$155</f>
        <v/>
      </c>
      <c r="E155">
        <f>IF($J155=1,VALUE(LEFT($D155,2)),"")</f>
        <v/>
      </c>
      <c r="F155">
        <f>IF($J155=1,VALUE(MID($D155,9,2)),"")</f>
        <v/>
      </c>
      <c r="G155">
        <f>IF($J155=1,MOD($F155-$E155,24),0)</f>
        <v/>
      </c>
      <c r="H155">
        <f>IF($J155=1,-24+$E155,"")</f>
        <v/>
      </c>
      <c r="I155">
        <f>IF($J155=1,$H155+$G155,"")</f>
        <v/>
      </c>
      <c r="J155">
        <f>IF(ISNUMBER(SEARCH(" - ",$D155&amp;"")),1,0)</f>
        <v/>
      </c>
      <c r="K155">
        <f>IF(AND($J155=1,$I155&gt;0),1,0)</f>
        <v/>
      </c>
      <c r="L155">
        <f>IF($J155=1,$I155,-999)</f>
        <v/>
      </c>
      <c r="M155">
        <f>IF($K155=1,"Counts into Sunday based on natural coverage","No Sunday carryover")</f>
        <v/>
      </c>
    </row>
    <row r="156">
      <c r="A156">
        <f>'Previous week scheduled'!$A$156</f>
        <v/>
      </c>
      <c r="B156">
        <f>'Previous week scheduled'!$B$156</f>
        <v/>
      </c>
      <c r="C156">
        <f>'Previous week scheduled'!$C$156</f>
        <v/>
      </c>
      <c r="D156">
        <f>'Previous week scheduled'!$D$156</f>
        <v/>
      </c>
      <c r="E156">
        <f>IF($J156=1,VALUE(LEFT($D156,2)),"")</f>
        <v/>
      </c>
      <c r="F156">
        <f>IF($J156=1,VALUE(MID($D156,9,2)),"")</f>
        <v/>
      </c>
      <c r="G156">
        <f>IF($J156=1,MOD($F156-$E156,24),0)</f>
        <v/>
      </c>
      <c r="H156">
        <f>IF($J156=1,-24+$E156,"")</f>
        <v/>
      </c>
      <c r="I156">
        <f>IF($J156=1,$H156+$G156,"")</f>
        <v/>
      </c>
      <c r="J156">
        <f>IF(ISNUMBER(SEARCH(" - ",$D156&amp;"")),1,0)</f>
        <v/>
      </c>
      <c r="K156">
        <f>IF(AND($J156=1,$I156&gt;0),1,0)</f>
        <v/>
      </c>
      <c r="L156">
        <f>IF($J156=1,$I156,-999)</f>
        <v/>
      </c>
      <c r="M156">
        <f>IF($K156=1,"Counts into Sunday based on natural coverage","No Sunday carryover")</f>
        <v/>
      </c>
    </row>
    <row r="157">
      <c r="A157">
        <f>'Previous week scheduled'!$A$157</f>
        <v/>
      </c>
      <c r="B157">
        <f>'Previous week scheduled'!$B$157</f>
        <v/>
      </c>
      <c r="C157">
        <f>'Previous week scheduled'!$C$157</f>
        <v/>
      </c>
      <c r="D157">
        <f>'Previous week scheduled'!$D$157</f>
        <v/>
      </c>
      <c r="E157">
        <f>IF($J157=1,VALUE(LEFT($D157,2)),"")</f>
        <v/>
      </c>
      <c r="F157">
        <f>IF($J157=1,VALUE(MID($D157,9,2)),"")</f>
        <v/>
      </c>
      <c r="G157">
        <f>IF($J157=1,MOD($F157-$E157,24),0)</f>
        <v/>
      </c>
      <c r="H157">
        <f>IF($J157=1,-24+$E157,"")</f>
        <v/>
      </c>
      <c r="I157">
        <f>IF($J157=1,$H157+$G157,"")</f>
        <v/>
      </c>
      <c r="J157">
        <f>IF(ISNUMBER(SEARCH(" - ",$D157&amp;"")),1,0)</f>
        <v/>
      </c>
      <c r="K157">
        <f>IF(AND($J157=1,$I157&gt;0),1,0)</f>
        <v/>
      </c>
      <c r="L157">
        <f>IF($J157=1,$I157,-999)</f>
        <v/>
      </c>
      <c r="M157">
        <f>IF($K157=1,"Counts into Sunday based on natural coverage","No Sunday carryover")</f>
        <v/>
      </c>
    </row>
    <row r="158">
      <c r="A158">
        <f>'Previous week scheduled'!$A$158</f>
        <v/>
      </c>
      <c r="B158">
        <f>'Previous week scheduled'!$B$158</f>
        <v/>
      </c>
      <c r="C158">
        <f>'Previous week scheduled'!$C$158</f>
        <v/>
      </c>
      <c r="D158">
        <f>'Previous week scheduled'!$D$158</f>
        <v/>
      </c>
      <c r="E158">
        <f>IF($J158=1,VALUE(LEFT($D158,2)),"")</f>
        <v/>
      </c>
      <c r="F158">
        <f>IF($J158=1,VALUE(MID($D158,9,2)),"")</f>
        <v/>
      </c>
      <c r="G158">
        <f>IF($J158=1,MOD($F158-$E158,24),0)</f>
        <v/>
      </c>
      <c r="H158">
        <f>IF($J158=1,-24+$E158,"")</f>
        <v/>
      </c>
      <c r="I158">
        <f>IF($J158=1,$H158+$G158,"")</f>
        <v/>
      </c>
      <c r="J158">
        <f>IF(ISNUMBER(SEARCH(" - ",$D158&amp;"")),1,0)</f>
        <v/>
      </c>
      <c r="K158">
        <f>IF(AND($J158=1,$I158&gt;0),1,0)</f>
        <v/>
      </c>
      <c r="L158">
        <f>IF($J158=1,$I158,-999)</f>
        <v/>
      </c>
      <c r="M158">
        <f>IF($K158=1,"Counts into Sunday based on natural coverage","No Sunday carryover")</f>
        <v/>
      </c>
    </row>
    <row r="159">
      <c r="A159">
        <f>'Previous week scheduled'!$A$159</f>
        <v/>
      </c>
      <c r="B159">
        <f>'Previous week scheduled'!$B$159</f>
        <v/>
      </c>
      <c r="C159">
        <f>'Previous week scheduled'!$C$159</f>
        <v/>
      </c>
      <c r="D159">
        <f>'Previous week scheduled'!$D$159</f>
        <v/>
      </c>
      <c r="E159">
        <f>IF($J159=1,VALUE(LEFT($D159,2)),"")</f>
        <v/>
      </c>
      <c r="F159">
        <f>IF($J159=1,VALUE(MID($D159,9,2)),"")</f>
        <v/>
      </c>
      <c r="G159">
        <f>IF($J159=1,MOD($F159-$E159,24),0)</f>
        <v/>
      </c>
      <c r="H159">
        <f>IF($J159=1,-24+$E159,"")</f>
        <v/>
      </c>
      <c r="I159">
        <f>IF($J159=1,$H159+$G159,"")</f>
        <v/>
      </c>
      <c r="J159">
        <f>IF(ISNUMBER(SEARCH(" - ",$D159&amp;"")),1,0)</f>
        <v/>
      </c>
      <c r="K159">
        <f>IF(AND($J159=1,$I159&gt;0),1,0)</f>
        <v/>
      </c>
      <c r="L159">
        <f>IF($J159=1,$I159,-999)</f>
        <v/>
      </c>
      <c r="M159">
        <f>IF($K159=1,"Counts into Sunday based on natural coverage","No Sunday carryover")</f>
        <v/>
      </c>
    </row>
    <row r="160">
      <c r="A160">
        <f>'Previous week scheduled'!$A$160</f>
        <v/>
      </c>
      <c r="B160">
        <f>'Previous week scheduled'!$B$160</f>
        <v/>
      </c>
      <c r="C160">
        <f>'Previous week scheduled'!$C$160</f>
        <v/>
      </c>
      <c r="D160">
        <f>'Previous week scheduled'!$D$160</f>
        <v/>
      </c>
      <c r="E160">
        <f>IF($J160=1,VALUE(LEFT($D160,2)),"")</f>
        <v/>
      </c>
      <c r="F160">
        <f>IF($J160=1,VALUE(MID($D160,9,2)),"")</f>
        <v/>
      </c>
      <c r="G160">
        <f>IF($J160=1,MOD($F160-$E160,24),0)</f>
        <v/>
      </c>
      <c r="H160">
        <f>IF($J160=1,-24+$E160,"")</f>
        <v/>
      </c>
      <c r="I160">
        <f>IF($J160=1,$H160+$G160,"")</f>
        <v/>
      </c>
      <c r="J160">
        <f>IF(ISNUMBER(SEARCH(" - ",$D160&amp;"")),1,0)</f>
        <v/>
      </c>
      <c r="K160">
        <f>IF(AND($J160=1,$I160&gt;0),1,0)</f>
        <v/>
      </c>
      <c r="L160">
        <f>IF($J160=1,$I160,-999)</f>
        <v/>
      </c>
      <c r="M160">
        <f>IF($K160=1,"Counts into Sunday based on natural coverage","No Sunday carryover")</f>
        <v/>
      </c>
    </row>
    <row r="161">
      <c r="A161">
        <f>'Previous week scheduled'!$A$161</f>
        <v/>
      </c>
      <c r="B161">
        <f>'Previous week scheduled'!$B$161</f>
        <v/>
      </c>
      <c r="C161">
        <f>'Previous week scheduled'!$C$161</f>
        <v/>
      </c>
      <c r="D161">
        <f>'Previous week scheduled'!$D$161</f>
        <v/>
      </c>
      <c r="E161">
        <f>IF($J161=1,VALUE(LEFT($D161,2)),"")</f>
        <v/>
      </c>
      <c r="F161">
        <f>IF($J161=1,VALUE(MID($D161,9,2)),"")</f>
        <v/>
      </c>
      <c r="G161">
        <f>IF($J161=1,MOD($F161-$E161,24),0)</f>
        <v/>
      </c>
      <c r="H161">
        <f>IF($J161=1,-24+$E161,"")</f>
        <v/>
      </c>
      <c r="I161">
        <f>IF($J161=1,$H161+$G161,"")</f>
        <v/>
      </c>
      <c r="J161">
        <f>IF(ISNUMBER(SEARCH(" - ",$D161&amp;"")),1,0)</f>
        <v/>
      </c>
      <c r="K161">
        <f>IF(AND($J161=1,$I161&gt;0),1,0)</f>
        <v/>
      </c>
      <c r="L161">
        <f>IF($J161=1,$I161,-999)</f>
        <v/>
      </c>
      <c r="M161">
        <f>IF($K161=1,"Counts into Sunday based on natural coverage","No Sunday carryover")</f>
        <v/>
      </c>
    </row>
    <row r="162">
      <c r="A162">
        <f>'Previous week scheduled'!$A$162</f>
        <v/>
      </c>
      <c r="B162">
        <f>'Previous week scheduled'!$B$162</f>
        <v/>
      </c>
      <c r="C162">
        <f>'Previous week scheduled'!$C$162</f>
        <v/>
      </c>
      <c r="D162">
        <f>'Previous week scheduled'!$D$162</f>
        <v/>
      </c>
      <c r="E162">
        <f>IF($J162=1,VALUE(LEFT($D162,2)),"")</f>
        <v/>
      </c>
      <c r="F162">
        <f>IF($J162=1,VALUE(MID($D162,9,2)),"")</f>
        <v/>
      </c>
      <c r="G162">
        <f>IF($J162=1,MOD($F162-$E162,24),0)</f>
        <v/>
      </c>
      <c r="H162">
        <f>IF($J162=1,-24+$E162,"")</f>
        <v/>
      </c>
      <c r="I162">
        <f>IF($J162=1,$H162+$G162,"")</f>
        <v/>
      </c>
      <c r="J162">
        <f>IF(ISNUMBER(SEARCH(" - ",$D162&amp;"")),1,0)</f>
        <v/>
      </c>
      <c r="K162">
        <f>IF(AND($J162=1,$I162&gt;0),1,0)</f>
        <v/>
      </c>
      <c r="L162">
        <f>IF($J162=1,$I162,-999)</f>
        <v/>
      </c>
      <c r="M162">
        <f>IF($K162=1,"Counts into Sunday based on natural coverage","No Sunday carryover")</f>
        <v/>
      </c>
    </row>
    <row r="163">
      <c r="A163">
        <f>'Previous week scheduled'!$A$163</f>
        <v/>
      </c>
      <c r="B163">
        <f>'Previous week scheduled'!$B$163</f>
        <v/>
      </c>
      <c r="C163">
        <f>'Previous week scheduled'!$C$163</f>
        <v/>
      </c>
      <c r="D163">
        <f>'Previous week scheduled'!$D$163</f>
        <v/>
      </c>
      <c r="E163">
        <f>IF($J163=1,VALUE(LEFT($D163,2)),"")</f>
        <v/>
      </c>
      <c r="F163">
        <f>IF($J163=1,VALUE(MID($D163,9,2)),"")</f>
        <v/>
      </c>
      <c r="G163">
        <f>IF($J163=1,MOD($F163-$E163,24),0)</f>
        <v/>
      </c>
      <c r="H163">
        <f>IF($J163=1,-24+$E163,"")</f>
        <v/>
      </c>
      <c r="I163">
        <f>IF($J163=1,$H163+$G163,"")</f>
        <v/>
      </c>
      <c r="J163">
        <f>IF(ISNUMBER(SEARCH(" - ",$D163&amp;"")),1,0)</f>
        <v/>
      </c>
      <c r="K163">
        <f>IF(AND($J163=1,$I163&gt;0),1,0)</f>
        <v/>
      </c>
      <c r="L163">
        <f>IF($J163=1,$I163,-999)</f>
        <v/>
      </c>
      <c r="M163">
        <f>IF($K163=1,"Counts into Sunday based on natural coverage","No Sunday carryover")</f>
        <v/>
      </c>
    </row>
    <row r="164">
      <c r="A164">
        <f>'Previous week scheduled'!$A$164</f>
        <v/>
      </c>
      <c r="B164">
        <f>'Previous week scheduled'!$B$164</f>
        <v/>
      </c>
      <c r="C164">
        <f>'Previous week scheduled'!$C$164</f>
        <v/>
      </c>
      <c r="D164">
        <f>'Previous week scheduled'!$D$164</f>
        <v/>
      </c>
      <c r="E164">
        <f>IF($J164=1,VALUE(LEFT($D164,2)),"")</f>
        <v/>
      </c>
      <c r="F164">
        <f>IF($J164=1,VALUE(MID($D164,9,2)),"")</f>
        <v/>
      </c>
      <c r="G164">
        <f>IF($J164=1,MOD($F164-$E164,24),0)</f>
        <v/>
      </c>
      <c r="H164">
        <f>IF($J164=1,-24+$E164,"")</f>
        <v/>
      </c>
      <c r="I164">
        <f>IF($J164=1,$H164+$G164,"")</f>
        <v/>
      </c>
      <c r="J164">
        <f>IF(ISNUMBER(SEARCH(" - ",$D164&amp;"")),1,0)</f>
        <v/>
      </c>
      <c r="K164">
        <f>IF(AND($J164=1,$I164&gt;0),1,0)</f>
        <v/>
      </c>
      <c r="L164">
        <f>IF($J164=1,$I164,-999)</f>
        <v/>
      </c>
      <c r="M164">
        <f>IF($K164=1,"Counts into Sunday based on natural coverage","No Sunday carryover")</f>
        <v/>
      </c>
    </row>
    <row r="165">
      <c r="A165">
        <f>'Previous week scheduled'!$A$165</f>
        <v/>
      </c>
      <c r="B165">
        <f>'Previous week scheduled'!$B$165</f>
        <v/>
      </c>
      <c r="C165">
        <f>'Previous week scheduled'!$C$165</f>
        <v/>
      </c>
      <c r="D165">
        <f>'Previous week scheduled'!$D$165</f>
        <v/>
      </c>
      <c r="E165">
        <f>IF($J165=1,VALUE(LEFT($D165,2)),"")</f>
        <v/>
      </c>
      <c r="F165">
        <f>IF($J165=1,VALUE(MID($D165,9,2)),"")</f>
        <v/>
      </c>
      <c r="G165">
        <f>IF($J165=1,MOD($F165-$E165,24),0)</f>
        <v/>
      </c>
      <c r="H165">
        <f>IF($J165=1,-24+$E165,"")</f>
        <v/>
      </c>
      <c r="I165">
        <f>IF($J165=1,$H165+$G165,"")</f>
        <v/>
      </c>
      <c r="J165">
        <f>IF(ISNUMBER(SEARCH(" - ",$D165&amp;"")),1,0)</f>
        <v/>
      </c>
      <c r="K165">
        <f>IF(AND($J165=1,$I165&gt;0),1,0)</f>
        <v/>
      </c>
      <c r="L165">
        <f>IF($J165=1,$I165,-999)</f>
        <v/>
      </c>
      <c r="M165">
        <f>IF($K165=1,"Counts into Sunday based on natural coverage","No Sunday carryover")</f>
        <v/>
      </c>
    </row>
    <row r="166">
      <c r="A166">
        <f>'Previous week scheduled'!$A$166</f>
        <v/>
      </c>
      <c r="B166">
        <f>'Previous week scheduled'!$B$166</f>
        <v/>
      </c>
      <c r="C166">
        <f>'Previous week scheduled'!$C$166</f>
        <v/>
      </c>
      <c r="D166">
        <f>'Previous week scheduled'!$D$166</f>
        <v/>
      </c>
      <c r="E166">
        <f>IF($J166=1,VALUE(LEFT($D166,2)),"")</f>
        <v/>
      </c>
      <c r="F166">
        <f>IF($J166=1,VALUE(MID($D166,9,2)),"")</f>
        <v/>
      </c>
      <c r="G166">
        <f>IF($J166=1,MOD($F166-$E166,24),0)</f>
        <v/>
      </c>
      <c r="H166">
        <f>IF($J166=1,-24+$E166,"")</f>
        <v/>
      </c>
      <c r="I166">
        <f>IF($J166=1,$H166+$G166,"")</f>
        <v/>
      </c>
      <c r="J166">
        <f>IF(ISNUMBER(SEARCH(" - ",$D166&amp;"")),1,0)</f>
        <v/>
      </c>
      <c r="K166">
        <f>IF(AND($J166=1,$I166&gt;0),1,0)</f>
        <v/>
      </c>
      <c r="L166">
        <f>IF($J166=1,$I166,-999)</f>
        <v/>
      </c>
      <c r="M166">
        <f>IF($K166=1,"Counts into Sunday based on natural coverage","No Sunday carryover")</f>
        <v/>
      </c>
    </row>
    <row r="167">
      <c r="A167">
        <f>'Previous week scheduled'!$A$167</f>
        <v/>
      </c>
      <c r="B167">
        <f>'Previous week scheduled'!$B$167</f>
        <v/>
      </c>
      <c r="C167">
        <f>'Previous week scheduled'!$C$167</f>
        <v/>
      </c>
      <c r="D167">
        <f>'Previous week scheduled'!$D$167</f>
        <v/>
      </c>
      <c r="E167">
        <f>IF($J167=1,VALUE(LEFT($D167,2)),"")</f>
        <v/>
      </c>
      <c r="F167">
        <f>IF($J167=1,VALUE(MID($D167,9,2)),"")</f>
        <v/>
      </c>
      <c r="G167">
        <f>IF($J167=1,MOD($F167-$E167,24),0)</f>
        <v/>
      </c>
      <c r="H167">
        <f>IF($J167=1,-24+$E167,"")</f>
        <v/>
      </c>
      <c r="I167">
        <f>IF($J167=1,$H167+$G167,"")</f>
        <v/>
      </c>
      <c r="J167">
        <f>IF(ISNUMBER(SEARCH(" - ",$D167&amp;"")),1,0)</f>
        <v/>
      </c>
      <c r="K167">
        <f>IF(AND($J167=1,$I167&gt;0),1,0)</f>
        <v/>
      </c>
      <c r="L167">
        <f>IF($J167=1,$I167,-999)</f>
        <v/>
      </c>
      <c r="M167">
        <f>IF($K167=1,"Counts into Sunday based on natural coverage","No Sunday carryover")</f>
        <v/>
      </c>
    </row>
    <row r="168">
      <c r="A168">
        <f>'Previous week scheduled'!$A$168</f>
        <v/>
      </c>
      <c r="B168">
        <f>'Previous week scheduled'!$B$168</f>
        <v/>
      </c>
      <c r="C168">
        <f>'Previous week scheduled'!$C$168</f>
        <v/>
      </c>
      <c r="D168">
        <f>'Previous week scheduled'!$D$168</f>
        <v/>
      </c>
      <c r="E168">
        <f>IF($J168=1,VALUE(LEFT($D168,2)),"")</f>
        <v/>
      </c>
      <c r="F168">
        <f>IF($J168=1,VALUE(MID($D168,9,2)),"")</f>
        <v/>
      </c>
      <c r="G168">
        <f>IF($J168=1,MOD($F168-$E168,24),0)</f>
        <v/>
      </c>
      <c r="H168">
        <f>IF($J168=1,-24+$E168,"")</f>
        <v/>
      </c>
      <c r="I168">
        <f>IF($J168=1,$H168+$G168,"")</f>
        <v/>
      </c>
      <c r="J168">
        <f>IF(ISNUMBER(SEARCH(" - ",$D168&amp;"")),1,0)</f>
        <v/>
      </c>
      <c r="K168">
        <f>IF(AND($J168=1,$I168&gt;0),1,0)</f>
        <v/>
      </c>
      <c r="L168">
        <f>IF($J168=1,$I168,-999)</f>
        <v/>
      </c>
      <c r="M168">
        <f>IF($K168=1,"Counts into Sunday based on natural coverage","No Sunday carryover")</f>
        <v/>
      </c>
    </row>
    <row r="169">
      <c r="A169">
        <f>'Previous week scheduled'!$A$169</f>
        <v/>
      </c>
      <c r="B169">
        <f>'Previous week scheduled'!$B$169</f>
        <v/>
      </c>
      <c r="C169">
        <f>'Previous week scheduled'!$C$169</f>
        <v/>
      </c>
      <c r="D169">
        <f>'Previous week scheduled'!$D$169</f>
        <v/>
      </c>
      <c r="E169">
        <f>IF($J169=1,VALUE(LEFT($D169,2)),"")</f>
        <v/>
      </c>
      <c r="F169">
        <f>IF($J169=1,VALUE(MID($D169,9,2)),"")</f>
        <v/>
      </c>
      <c r="G169">
        <f>IF($J169=1,MOD($F169-$E169,24),0)</f>
        <v/>
      </c>
      <c r="H169">
        <f>IF($J169=1,-24+$E169,"")</f>
        <v/>
      </c>
      <c r="I169">
        <f>IF($J169=1,$H169+$G169,"")</f>
        <v/>
      </c>
      <c r="J169">
        <f>IF(ISNUMBER(SEARCH(" - ",$D169&amp;"")),1,0)</f>
        <v/>
      </c>
      <c r="K169">
        <f>IF(AND($J169=1,$I169&gt;0),1,0)</f>
        <v/>
      </c>
      <c r="L169">
        <f>IF($J169=1,$I169,-999)</f>
        <v/>
      </c>
      <c r="M169">
        <f>IF($K169=1,"Counts into Sunday based on natural coverage","No Sunday carryover")</f>
        <v/>
      </c>
    </row>
    <row r="170">
      <c r="A170">
        <f>'Previous week scheduled'!$A$170</f>
        <v/>
      </c>
      <c r="B170">
        <f>'Previous week scheduled'!$B$170</f>
        <v/>
      </c>
      <c r="C170">
        <f>'Previous week scheduled'!$C$170</f>
        <v/>
      </c>
      <c r="D170">
        <f>'Previous week scheduled'!$D$170</f>
        <v/>
      </c>
      <c r="E170">
        <f>IF($J170=1,VALUE(LEFT($D170,2)),"")</f>
        <v/>
      </c>
      <c r="F170">
        <f>IF($J170=1,VALUE(MID($D170,9,2)),"")</f>
        <v/>
      </c>
      <c r="G170">
        <f>IF($J170=1,MOD($F170-$E170,24),0)</f>
        <v/>
      </c>
      <c r="H170">
        <f>IF($J170=1,-24+$E170,"")</f>
        <v/>
      </c>
      <c r="I170">
        <f>IF($J170=1,$H170+$G170,"")</f>
        <v/>
      </c>
      <c r="J170">
        <f>IF(ISNUMBER(SEARCH(" - ",$D170&amp;"")),1,0)</f>
        <v/>
      </c>
      <c r="K170">
        <f>IF(AND($J170=1,$I170&gt;0),1,0)</f>
        <v/>
      </c>
      <c r="L170">
        <f>IF($J170=1,$I170,-999)</f>
        <v/>
      </c>
      <c r="M170">
        <f>IF($K170=1,"Counts into Sunday based on natural coverage","No Sunday carryover")</f>
        <v/>
      </c>
    </row>
    <row r="171">
      <c r="A171">
        <f>'Previous week scheduled'!$A$171</f>
        <v/>
      </c>
      <c r="B171">
        <f>'Previous week scheduled'!$B$171</f>
        <v/>
      </c>
      <c r="C171">
        <f>'Previous week scheduled'!$C$171</f>
        <v/>
      </c>
      <c r="D171">
        <f>'Previous week scheduled'!$D$171</f>
        <v/>
      </c>
      <c r="E171">
        <f>IF($J171=1,VALUE(LEFT($D171,2)),"")</f>
        <v/>
      </c>
      <c r="F171">
        <f>IF($J171=1,VALUE(MID($D171,9,2)),"")</f>
        <v/>
      </c>
      <c r="G171">
        <f>IF($J171=1,MOD($F171-$E171,24),0)</f>
        <v/>
      </c>
      <c r="H171">
        <f>IF($J171=1,-24+$E171,"")</f>
        <v/>
      </c>
      <c r="I171">
        <f>IF($J171=1,$H171+$G171,"")</f>
        <v/>
      </c>
      <c r="J171">
        <f>IF(ISNUMBER(SEARCH(" - ",$D171&amp;"")),1,0)</f>
        <v/>
      </c>
      <c r="K171">
        <f>IF(AND($J171=1,$I171&gt;0),1,0)</f>
        <v/>
      </c>
      <c r="L171">
        <f>IF($J171=1,$I171,-999)</f>
        <v/>
      </c>
      <c r="M171">
        <f>IF($K171=1,"Counts into Sunday based on natural coverage","No Sunday carryover")</f>
        <v/>
      </c>
    </row>
    <row r="172">
      <c r="A172">
        <f>'Previous week scheduled'!$A$172</f>
        <v/>
      </c>
      <c r="B172">
        <f>'Previous week scheduled'!$B$172</f>
        <v/>
      </c>
      <c r="C172">
        <f>'Previous week scheduled'!$C$172</f>
        <v/>
      </c>
      <c r="D172">
        <f>'Previous week scheduled'!$D$172</f>
        <v/>
      </c>
      <c r="E172">
        <f>IF($J172=1,VALUE(LEFT($D172,2)),"")</f>
        <v/>
      </c>
      <c r="F172">
        <f>IF($J172=1,VALUE(MID($D172,9,2)),"")</f>
        <v/>
      </c>
      <c r="G172">
        <f>IF($J172=1,MOD($F172-$E172,24),0)</f>
        <v/>
      </c>
      <c r="H172">
        <f>IF($J172=1,-24+$E172,"")</f>
        <v/>
      </c>
      <c r="I172">
        <f>IF($J172=1,$H172+$G172,"")</f>
        <v/>
      </c>
      <c r="J172">
        <f>IF(ISNUMBER(SEARCH(" - ",$D172&amp;"")),1,0)</f>
        <v/>
      </c>
      <c r="K172">
        <f>IF(AND($J172=1,$I172&gt;0),1,0)</f>
        <v/>
      </c>
      <c r="L172">
        <f>IF($J172=1,$I172,-999)</f>
        <v/>
      </c>
      <c r="M172">
        <f>IF($K172=1,"Counts into Sunday based on natural coverage","No Sunday carryover")</f>
        <v/>
      </c>
    </row>
    <row r="173">
      <c r="A173">
        <f>'Previous week scheduled'!$A$173</f>
        <v/>
      </c>
      <c r="B173">
        <f>'Previous week scheduled'!$B$173</f>
        <v/>
      </c>
      <c r="C173">
        <f>'Previous week scheduled'!$C$173</f>
        <v/>
      </c>
      <c r="D173">
        <f>'Previous week scheduled'!$D$173</f>
        <v/>
      </c>
      <c r="E173">
        <f>IF($J173=1,VALUE(LEFT($D173,2)),"")</f>
        <v/>
      </c>
      <c r="F173">
        <f>IF($J173=1,VALUE(MID($D173,9,2)),"")</f>
        <v/>
      </c>
      <c r="G173">
        <f>IF($J173=1,MOD($F173-$E173,24),0)</f>
        <v/>
      </c>
      <c r="H173">
        <f>IF($J173=1,-24+$E173,"")</f>
        <v/>
      </c>
      <c r="I173">
        <f>IF($J173=1,$H173+$G173,"")</f>
        <v/>
      </c>
      <c r="J173">
        <f>IF(ISNUMBER(SEARCH(" - ",$D173&amp;"")),1,0)</f>
        <v/>
      </c>
      <c r="K173">
        <f>IF(AND($J173=1,$I173&gt;0),1,0)</f>
        <v/>
      </c>
      <c r="L173">
        <f>IF($J173=1,$I173,-999)</f>
        <v/>
      </c>
      <c r="M173">
        <f>IF($K173=1,"Counts into Sunday based on natural coverage","No Sunday carryover")</f>
        <v/>
      </c>
    </row>
    <row r="174">
      <c r="A174">
        <f>'Previous week scheduled'!$A$174</f>
        <v/>
      </c>
      <c r="B174">
        <f>'Previous week scheduled'!$B$174</f>
        <v/>
      </c>
      <c r="C174">
        <f>'Previous week scheduled'!$C$174</f>
        <v/>
      </c>
      <c r="D174">
        <f>'Previous week scheduled'!$D$174</f>
        <v/>
      </c>
      <c r="E174">
        <f>IF($J174=1,VALUE(LEFT($D174,2)),"")</f>
        <v/>
      </c>
      <c r="F174">
        <f>IF($J174=1,VALUE(MID($D174,9,2)),"")</f>
        <v/>
      </c>
      <c r="G174">
        <f>IF($J174=1,MOD($F174-$E174,24),0)</f>
        <v/>
      </c>
      <c r="H174">
        <f>IF($J174=1,-24+$E174,"")</f>
        <v/>
      </c>
      <c r="I174">
        <f>IF($J174=1,$H174+$G174,"")</f>
        <v/>
      </c>
      <c r="J174">
        <f>IF(ISNUMBER(SEARCH(" - ",$D174&amp;"")),1,0)</f>
        <v/>
      </c>
      <c r="K174">
        <f>IF(AND($J174=1,$I174&gt;0),1,0)</f>
        <v/>
      </c>
      <c r="L174">
        <f>IF($J174=1,$I174,-999)</f>
        <v/>
      </c>
      <c r="M174">
        <f>IF($K174=1,"Counts into Sunday based on natural coverage","No Sunday carryover")</f>
        <v/>
      </c>
    </row>
    <row r="175">
      <c r="A175">
        <f>'Previous week scheduled'!$A$175</f>
        <v/>
      </c>
      <c r="B175">
        <f>'Previous week scheduled'!$B$175</f>
        <v/>
      </c>
      <c r="C175">
        <f>'Previous week scheduled'!$C$175</f>
        <v/>
      </c>
      <c r="D175">
        <f>'Previous week scheduled'!$D$175</f>
        <v/>
      </c>
      <c r="E175">
        <f>IF($J175=1,VALUE(LEFT($D175,2)),"")</f>
        <v/>
      </c>
      <c r="F175">
        <f>IF($J175=1,VALUE(MID($D175,9,2)),"")</f>
        <v/>
      </c>
      <c r="G175">
        <f>IF($J175=1,MOD($F175-$E175,24),0)</f>
        <v/>
      </c>
      <c r="H175">
        <f>IF($J175=1,-24+$E175,"")</f>
        <v/>
      </c>
      <c r="I175">
        <f>IF($J175=1,$H175+$G175,"")</f>
        <v/>
      </c>
      <c r="J175">
        <f>IF(ISNUMBER(SEARCH(" - ",$D175&amp;"")),1,0)</f>
        <v/>
      </c>
      <c r="K175">
        <f>IF(AND($J175=1,$I175&gt;0),1,0)</f>
        <v/>
      </c>
      <c r="L175">
        <f>IF($J175=1,$I175,-999)</f>
        <v/>
      </c>
      <c r="M175">
        <f>IF($K175=1,"Counts into Sunday based on natural coverage","No Sunday carryover")</f>
        <v/>
      </c>
    </row>
    <row r="176">
      <c r="A176">
        <f>'Previous week scheduled'!$A$176</f>
        <v/>
      </c>
      <c r="B176">
        <f>'Previous week scheduled'!$B$176</f>
        <v/>
      </c>
      <c r="C176">
        <f>'Previous week scheduled'!$C$176</f>
        <v/>
      </c>
      <c r="D176">
        <f>'Previous week scheduled'!$D$176</f>
        <v/>
      </c>
      <c r="E176">
        <f>IF($J176=1,VALUE(LEFT($D176,2)),"")</f>
        <v/>
      </c>
      <c r="F176">
        <f>IF($J176=1,VALUE(MID($D176,9,2)),"")</f>
        <v/>
      </c>
      <c r="G176">
        <f>IF($J176=1,MOD($F176-$E176,24),0)</f>
        <v/>
      </c>
      <c r="H176">
        <f>IF($J176=1,-24+$E176,"")</f>
        <v/>
      </c>
      <c r="I176">
        <f>IF($J176=1,$H176+$G176,"")</f>
        <v/>
      </c>
      <c r="J176">
        <f>IF(ISNUMBER(SEARCH(" - ",$D176&amp;"")),1,0)</f>
        <v/>
      </c>
      <c r="K176">
        <f>IF(AND($J176=1,$I176&gt;0),1,0)</f>
        <v/>
      </c>
      <c r="L176">
        <f>IF($J176=1,$I176,-999)</f>
        <v/>
      </c>
      <c r="M176">
        <f>IF($K176=1,"Counts into Sunday based on natural coverage","No Sunday carryover")</f>
        <v/>
      </c>
    </row>
    <row r="177">
      <c r="A177">
        <f>'Previous week scheduled'!$A$177</f>
        <v/>
      </c>
      <c r="B177">
        <f>'Previous week scheduled'!$B$177</f>
        <v/>
      </c>
      <c r="C177">
        <f>'Previous week scheduled'!$C$177</f>
        <v/>
      </c>
      <c r="D177">
        <f>'Previous week scheduled'!$D$177</f>
        <v/>
      </c>
      <c r="E177">
        <f>IF($J177=1,VALUE(LEFT($D177,2)),"")</f>
        <v/>
      </c>
      <c r="F177">
        <f>IF($J177=1,VALUE(MID($D177,9,2)),"")</f>
        <v/>
      </c>
      <c r="G177">
        <f>IF($J177=1,MOD($F177-$E177,24),0)</f>
        <v/>
      </c>
      <c r="H177">
        <f>IF($J177=1,-24+$E177,"")</f>
        <v/>
      </c>
      <c r="I177">
        <f>IF($J177=1,$H177+$G177,"")</f>
        <v/>
      </c>
      <c r="J177">
        <f>IF(ISNUMBER(SEARCH(" - ",$D177&amp;"")),1,0)</f>
        <v/>
      </c>
      <c r="K177">
        <f>IF(AND($J177=1,$I177&gt;0),1,0)</f>
        <v/>
      </c>
      <c r="L177">
        <f>IF($J177=1,$I177,-999)</f>
        <v/>
      </c>
      <c r="M177">
        <f>IF($K177=1,"Counts into Sunday based on natural coverage","No Sunday carryover")</f>
        <v/>
      </c>
    </row>
    <row r="178">
      <c r="A178">
        <f>'Previous week scheduled'!$A$178</f>
        <v/>
      </c>
      <c r="B178">
        <f>'Previous week scheduled'!$B$178</f>
        <v/>
      </c>
      <c r="C178">
        <f>'Previous week scheduled'!$C$178</f>
        <v/>
      </c>
      <c r="D178">
        <f>'Previous week scheduled'!$D$178</f>
        <v/>
      </c>
      <c r="E178">
        <f>IF($J178=1,VALUE(LEFT($D178,2)),"")</f>
        <v/>
      </c>
      <c r="F178">
        <f>IF($J178=1,VALUE(MID($D178,9,2)),"")</f>
        <v/>
      </c>
      <c r="G178">
        <f>IF($J178=1,MOD($F178-$E178,24),0)</f>
        <v/>
      </c>
      <c r="H178">
        <f>IF($J178=1,-24+$E178,"")</f>
        <v/>
      </c>
      <c r="I178">
        <f>IF($J178=1,$H178+$G178,"")</f>
        <v/>
      </c>
      <c r="J178">
        <f>IF(ISNUMBER(SEARCH(" - ",$D178&amp;"")),1,0)</f>
        <v/>
      </c>
      <c r="K178">
        <f>IF(AND($J178=1,$I178&gt;0),1,0)</f>
        <v/>
      </c>
      <c r="L178">
        <f>IF($J178=1,$I178,-999)</f>
        <v/>
      </c>
      <c r="M178">
        <f>IF($K178=1,"Counts into Sunday based on natural coverage","No Sunday carryover")</f>
        <v/>
      </c>
    </row>
    <row r="179">
      <c r="A179">
        <f>'Previous week scheduled'!$A$179</f>
        <v/>
      </c>
      <c r="B179">
        <f>'Previous week scheduled'!$B$179</f>
        <v/>
      </c>
      <c r="C179">
        <f>'Previous week scheduled'!$C$179</f>
        <v/>
      </c>
      <c r="D179">
        <f>'Previous week scheduled'!$D$179</f>
        <v/>
      </c>
      <c r="E179">
        <f>IF($J179=1,VALUE(LEFT($D179,2)),"")</f>
        <v/>
      </c>
      <c r="F179">
        <f>IF($J179=1,VALUE(MID($D179,9,2)),"")</f>
        <v/>
      </c>
      <c r="G179">
        <f>IF($J179=1,MOD($F179-$E179,24),0)</f>
        <v/>
      </c>
      <c r="H179">
        <f>IF($J179=1,-24+$E179,"")</f>
        <v/>
      </c>
      <c r="I179">
        <f>IF($J179=1,$H179+$G179,"")</f>
        <v/>
      </c>
      <c r="J179">
        <f>IF(ISNUMBER(SEARCH(" - ",$D179&amp;"")),1,0)</f>
        <v/>
      </c>
      <c r="K179">
        <f>IF(AND($J179=1,$I179&gt;0),1,0)</f>
        <v/>
      </c>
      <c r="L179">
        <f>IF($J179=1,$I179,-999)</f>
        <v/>
      </c>
      <c r="M179">
        <f>IF($K179=1,"Counts into Sunday based on natural coverage","No Sunday carryover")</f>
        <v/>
      </c>
    </row>
    <row r="180">
      <c r="A180">
        <f>'Previous week scheduled'!$A$180</f>
        <v/>
      </c>
      <c r="B180">
        <f>'Previous week scheduled'!$B$180</f>
        <v/>
      </c>
      <c r="C180">
        <f>'Previous week scheduled'!$C$180</f>
        <v/>
      </c>
      <c r="D180">
        <f>'Previous week scheduled'!$D$180</f>
        <v/>
      </c>
      <c r="E180">
        <f>IF($J180=1,VALUE(LEFT($D180,2)),"")</f>
        <v/>
      </c>
      <c r="F180">
        <f>IF($J180=1,VALUE(MID($D180,9,2)),"")</f>
        <v/>
      </c>
      <c r="G180">
        <f>IF($J180=1,MOD($F180-$E180,24),0)</f>
        <v/>
      </c>
      <c r="H180">
        <f>IF($J180=1,-24+$E180,"")</f>
        <v/>
      </c>
      <c r="I180">
        <f>IF($J180=1,$H180+$G180,"")</f>
        <v/>
      </c>
      <c r="J180">
        <f>IF(ISNUMBER(SEARCH(" - ",$D180&amp;"")),1,0)</f>
        <v/>
      </c>
      <c r="K180">
        <f>IF(AND($J180=1,$I180&gt;0),1,0)</f>
        <v/>
      </c>
      <c r="L180">
        <f>IF($J180=1,$I180,-999)</f>
        <v/>
      </c>
      <c r="M180">
        <f>IF($K180=1,"Counts into Sunday based on natural coverage","No Sunday carryover")</f>
        <v/>
      </c>
    </row>
    <row r="181">
      <c r="A181">
        <f>'Previous week scheduled'!$A$181</f>
        <v/>
      </c>
      <c r="B181">
        <f>'Previous week scheduled'!$B$181</f>
        <v/>
      </c>
      <c r="C181">
        <f>'Previous week scheduled'!$C$181</f>
        <v/>
      </c>
      <c r="D181">
        <f>'Previous week scheduled'!$D$181</f>
        <v/>
      </c>
      <c r="E181">
        <f>IF($J181=1,VALUE(LEFT($D181,2)),"")</f>
        <v/>
      </c>
      <c r="F181">
        <f>IF($J181=1,VALUE(MID($D181,9,2)),"")</f>
        <v/>
      </c>
      <c r="G181">
        <f>IF($J181=1,MOD($F181-$E181,24),0)</f>
        <v/>
      </c>
      <c r="H181">
        <f>IF($J181=1,-24+$E181,"")</f>
        <v/>
      </c>
      <c r="I181">
        <f>IF($J181=1,$H181+$G181,"")</f>
        <v/>
      </c>
      <c r="J181">
        <f>IF(ISNUMBER(SEARCH(" - ",$D181&amp;"")),1,0)</f>
        <v/>
      </c>
      <c r="K181">
        <f>IF(AND($J181=1,$I181&gt;0),1,0)</f>
        <v/>
      </c>
      <c r="L181">
        <f>IF($J181=1,$I181,-999)</f>
        <v/>
      </c>
      <c r="M181">
        <f>IF($K181=1,"Counts into Sunday based on natural coverage","No Sunday carryover")</f>
        <v/>
      </c>
    </row>
    <row r="182">
      <c r="A182">
        <f>'Previous week scheduled'!$A$182</f>
        <v/>
      </c>
      <c r="B182">
        <f>'Previous week scheduled'!$B$182</f>
        <v/>
      </c>
      <c r="C182">
        <f>'Previous week scheduled'!$C$182</f>
        <v/>
      </c>
      <c r="D182">
        <f>'Previous week scheduled'!$D$182</f>
        <v/>
      </c>
      <c r="E182">
        <f>IF($J182=1,VALUE(LEFT($D182,2)),"")</f>
        <v/>
      </c>
      <c r="F182">
        <f>IF($J182=1,VALUE(MID($D182,9,2)),"")</f>
        <v/>
      </c>
      <c r="G182">
        <f>IF($J182=1,MOD($F182-$E182,24),0)</f>
        <v/>
      </c>
      <c r="H182">
        <f>IF($J182=1,-24+$E182,"")</f>
        <v/>
      </c>
      <c r="I182">
        <f>IF($J182=1,$H182+$G182,"")</f>
        <v/>
      </c>
      <c r="J182">
        <f>IF(ISNUMBER(SEARCH(" - ",$D182&amp;"")),1,0)</f>
        <v/>
      </c>
      <c r="K182">
        <f>IF(AND($J182=1,$I182&gt;0),1,0)</f>
        <v/>
      </c>
      <c r="L182">
        <f>IF($J182=1,$I182,-999)</f>
        <v/>
      </c>
      <c r="M182">
        <f>IF($K182=1,"Counts into Sunday based on natural coverage","No Sunday carryover")</f>
        <v/>
      </c>
    </row>
    <row r="183">
      <c r="A183">
        <f>'Previous week scheduled'!$A$183</f>
        <v/>
      </c>
      <c r="B183">
        <f>'Previous week scheduled'!$B$183</f>
        <v/>
      </c>
      <c r="C183">
        <f>'Previous week scheduled'!$C$183</f>
        <v/>
      </c>
      <c r="D183">
        <f>'Previous week scheduled'!$D$183</f>
        <v/>
      </c>
      <c r="E183">
        <f>IF($J183=1,VALUE(LEFT($D183,2)),"")</f>
        <v/>
      </c>
      <c r="F183">
        <f>IF($J183=1,VALUE(MID($D183,9,2)),"")</f>
        <v/>
      </c>
      <c r="G183">
        <f>IF($J183=1,MOD($F183-$E183,24),0)</f>
        <v/>
      </c>
      <c r="H183">
        <f>IF($J183=1,-24+$E183,"")</f>
        <v/>
      </c>
      <c r="I183">
        <f>IF($J183=1,$H183+$G183,"")</f>
        <v/>
      </c>
      <c r="J183">
        <f>IF(ISNUMBER(SEARCH(" - ",$D183&amp;"")),1,0)</f>
        <v/>
      </c>
      <c r="K183">
        <f>IF(AND($J183=1,$I183&gt;0),1,0)</f>
        <v/>
      </c>
      <c r="L183">
        <f>IF($J183=1,$I183,-999)</f>
        <v/>
      </c>
      <c r="M183">
        <f>IF($K183=1,"Counts into Sunday based on natural coverage","No Sunday carryover")</f>
        <v/>
      </c>
    </row>
    <row r="184">
      <c r="A184">
        <f>'Previous week scheduled'!$A$184</f>
        <v/>
      </c>
      <c r="B184">
        <f>'Previous week scheduled'!$B$184</f>
        <v/>
      </c>
      <c r="C184">
        <f>'Previous week scheduled'!$C$184</f>
        <v/>
      </c>
      <c r="D184">
        <f>'Previous week scheduled'!$D$184</f>
        <v/>
      </c>
      <c r="E184">
        <f>IF($J184=1,VALUE(LEFT($D184,2)),"")</f>
        <v/>
      </c>
      <c r="F184">
        <f>IF($J184=1,VALUE(MID($D184,9,2)),"")</f>
        <v/>
      </c>
      <c r="G184">
        <f>IF($J184=1,MOD($F184-$E184,24),0)</f>
        <v/>
      </c>
      <c r="H184">
        <f>IF($J184=1,-24+$E184,"")</f>
        <v/>
      </c>
      <c r="I184">
        <f>IF($J184=1,$H184+$G184,"")</f>
        <v/>
      </c>
      <c r="J184">
        <f>IF(ISNUMBER(SEARCH(" - ",$D184&amp;"")),1,0)</f>
        <v/>
      </c>
      <c r="K184">
        <f>IF(AND($J184=1,$I184&gt;0),1,0)</f>
        <v/>
      </c>
      <c r="L184">
        <f>IF($J184=1,$I184,-999)</f>
        <v/>
      </c>
      <c r="M184">
        <f>IF($K184=1,"Counts into Sunday based on natural coverage","No Sunday carryover")</f>
        <v/>
      </c>
    </row>
    <row r="185">
      <c r="A185">
        <f>'Previous week scheduled'!$A$185</f>
        <v/>
      </c>
      <c r="B185">
        <f>'Previous week scheduled'!$B$185</f>
        <v/>
      </c>
      <c r="C185">
        <f>'Previous week scheduled'!$C$185</f>
        <v/>
      </c>
      <c r="D185">
        <f>'Previous week scheduled'!$D$185</f>
        <v/>
      </c>
      <c r="E185">
        <f>IF($J185=1,VALUE(LEFT($D185,2)),"")</f>
        <v/>
      </c>
      <c r="F185">
        <f>IF($J185=1,VALUE(MID($D185,9,2)),"")</f>
        <v/>
      </c>
      <c r="G185">
        <f>IF($J185=1,MOD($F185-$E185,24),0)</f>
        <v/>
      </c>
      <c r="H185">
        <f>IF($J185=1,-24+$E185,"")</f>
        <v/>
      </c>
      <c r="I185">
        <f>IF($J185=1,$H185+$G185,"")</f>
        <v/>
      </c>
      <c r="J185">
        <f>IF(ISNUMBER(SEARCH(" - ",$D185&amp;"")),1,0)</f>
        <v/>
      </c>
      <c r="K185">
        <f>IF(AND($J185=1,$I185&gt;0),1,0)</f>
        <v/>
      </c>
      <c r="L185">
        <f>IF($J185=1,$I185,-999)</f>
        <v/>
      </c>
      <c r="M185">
        <f>IF($K185=1,"Counts into Sunday based on natural coverage","No Sunday carryover")</f>
        <v/>
      </c>
    </row>
    <row r="186">
      <c r="A186">
        <f>'Previous week scheduled'!$A$186</f>
        <v/>
      </c>
      <c r="B186">
        <f>'Previous week scheduled'!$B$186</f>
        <v/>
      </c>
      <c r="C186">
        <f>'Previous week scheduled'!$C$186</f>
        <v/>
      </c>
      <c r="D186">
        <f>'Previous week scheduled'!$D$186</f>
        <v/>
      </c>
      <c r="E186">
        <f>IF($J186=1,VALUE(LEFT($D186,2)),"")</f>
        <v/>
      </c>
      <c r="F186">
        <f>IF($J186=1,VALUE(MID($D186,9,2)),"")</f>
        <v/>
      </c>
      <c r="G186">
        <f>IF($J186=1,MOD($F186-$E186,24),0)</f>
        <v/>
      </c>
      <c r="H186">
        <f>IF($J186=1,-24+$E186,"")</f>
        <v/>
      </c>
      <c r="I186">
        <f>IF($J186=1,$H186+$G186,"")</f>
        <v/>
      </c>
      <c r="J186">
        <f>IF(ISNUMBER(SEARCH(" - ",$D186&amp;"")),1,0)</f>
        <v/>
      </c>
      <c r="K186">
        <f>IF(AND($J186=1,$I186&gt;0),1,0)</f>
        <v/>
      </c>
      <c r="L186">
        <f>IF($J186=1,$I186,-999)</f>
        <v/>
      </c>
      <c r="M186">
        <f>IF($K186=1,"Counts into Sunday based on natural coverage","No Sunday carryover")</f>
        <v/>
      </c>
    </row>
    <row r="187">
      <c r="A187">
        <f>'Previous week scheduled'!$A$187</f>
        <v/>
      </c>
      <c r="B187">
        <f>'Previous week scheduled'!$B$187</f>
        <v/>
      </c>
      <c r="C187">
        <f>'Previous week scheduled'!$C$187</f>
        <v/>
      </c>
      <c r="D187">
        <f>'Previous week scheduled'!$D$187</f>
        <v/>
      </c>
      <c r="E187">
        <f>IF($J187=1,VALUE(LEFT($D187,2)),"")</f>
        <v/>
      </c>
      <c r="F187">
        <f>IF($J187=1,VALUE(MID($D187,9,2)),"")</f>
        <v/>
      </c>
      <c r="G187">
        <f>IF($J187=1,MOD($F187-$E187,24),0)</f>
        <v/>
      </c>
      <c r="H187">
        <f>IF($J187=1,-24+$E187,"")</f>
        <v/>
      </c>
      <c r="I187">
        <f>IF($J187=1,$H187+$G187,"")</f>
        <v/>
      </c>
      <c r="J187">
        <f>IF(ISNUMBER(SEARCH(" - ",$D187&amp;"")),1,0)</f>
        <v/>
      </c>
      <c r="K187">
        <f>IF(AND($J187=1,$I187&gt;0),1,0)</f>
        <v/>
      </c>
      <c r="L187">
        <f>IF($J187=1,$I187,-999)</f>
        <v/>
      </c>
      <c r="M187">
        <f>IF($K187=1,"Counts into Sunday based on natural coverage","No Sunday carryover")</f>
        <v/>
      </c>
    </row>
    <row r="188">
      <c r="A188">
        <f>'Previous week scheduled'!$A$188</f>
        <v/>
      </c>
      <c r="B188">
        <f>'Previous week scheduled'!$B$188</f>
        <v/>
      </c>
      <c r="C188">
        <f>'Previous week scheduled'!$C$188</f>
        <v/>
      </c>
      <c r="D188">
        <f>'Previous week scheduled'!$D$188</f>
        <v/>
      </c>
      <c r="E188">
        <f>IF($J188=1,VALUE(LEFT($D188,2)),"")</f>
        <v/>
      </c>
      <c r="F188">
        <f>IF($J188=1,VALUE(MID($D188,9,2)),"")</f>
        <v/>
      </c>
      <c r="G188">
        <f>IF($J188=1,MOD($F188-$E188,24),0)</f>
        <v/>
      </c>
      <c r="H188">
        <f>IF($J188=1,-24+$E188,"")</f>
        <v/>
      </c>
      <c r="I188">
        <f>IF($J188=1,$H188+$G188,"")</f>
        <v/>
      </c>
      <c r="J188">
        <f>IF(ISNUMBER(SEARCH(" - ",$D188&amp;"")),1,0)</f>
        <v/>
      </c>
      <c r="K188">
        <f>IF(AND($J188=1,$I188&gt;0),1,0)</f>
        <v/>
      </c>
      <c r="L188">
        <f>IF($J188=1,$I188,-999)</f>
        <v/>
      </c>
      <c r="M188">
        <f>IF($K188=1,"Counts into Sunday based on natural coverage","No Sunday carryover")</f>
        <v/>
      </c>
    </row>
    <row r="189">
      <c r="A189">
        <f>'Previous week scheduled'!$A$189</f>
        <v/>
      </c>
      <c r="B189">
        <f>'Previous week scheduled'!$B$189</f>
        <v/>
      </c>
      <c r="C189">
        <f>'Previous week scheduled'!$C$189</f>
        <v/>
      </c>
      <c r="D189">
        <f>'Previous week scheduled'!$D$189</f>
        <v/>
      </c>
      <c r="E189">
        <f>IF($J189=1,VALUE(LEFT($D189,2)),"")</f>
        <v/>
      </c>
      <c r="F189">
        <f>IF($J189=1,VALUE(MID($D189,9,2)),"")</f>
        <v/>
      </c>
      <c r="G189">
        <f>IF($J189=1,MOD($F189-$E189,24),0)</f>
        <v/>
      </c>
      <c r="H189">
        <f>IF($J189=1,-24+$E189,"")</f>
        <v/>
      </c>
      <c r="I189">
        <f>IF($J189=1,$H189+$G189,"")</f>
        <v/>
      </c>
      <c r="J189">
        <f>IF(ISNUMBER(SEARCH(" - ",$D189&amp;"")),1,0)</f>
        <v/>
      </c>
      <c r="K189">
        <f>IF(AND($J189=1,$I189&gt;0),1,0)</f>
        <v/>
      </c>
      <c r="L189">
        <f>IF($J189=1,$I189,-999)</f>
        <v/>
      </c>
      <c r="M189">
        <f>IF($K189=1,"Counts into Sunday based on natural coverage","No Sunday carryover")</f>
        <v/>
      </c>
    </row>
    <row r="190">
      <c r="A190">
        <f>'Previous week scheduled'!$A$190</f>
        <v/>
      </c>
      <c r="B190">
        <f>'Previous week scheduled'!$B$190</f>
        <v/>
      </c>
      <c r="C190">
        <f>'Previous week scheduled'!$C$190</f>
        <v/>
      </c>
      <c r="D190">
        <f>'Previous week scheduled'!$D$190</f>
        <v/>
      </c>
      <c r="E190">
        <f>IF($J190=1,VALUE(LEFT($D190,2)),"")</f>
        <v/>
      </c>
      <c r="F190">
        <f>IF($J190=1,VALUE(MID($D190,9,2)),"")</f>
        <v/>
      </c>
      <c r="G190">
        <f>IF($J190=1,MOD($F190-$E190,24),0)</f>
        <v/>
      </c>
      <c r="H190">
        <f>IF($J190=1,-24+$E190,"")</f>
        <v/>
      </c>
      <c r="I190">
        <f>IF($J190=1,$H190+$G190,"")</f>
        <v/>
      </c>
      <c r="J190">
        <f>IF(ISNUMBER(SEARCH(" - ",$D190&amp;"")),1,0)</f>
        <v/>
      </c>
      <c r="K190">
        <f>IF(AND($J190=1,$I190&gt;0),1,0)</f>
        <v/>
      </c>
      <c r="L190">
        <f>IF($J190=1,$I190,-999)</f>
        <v/>
      </c>
      <c r="M190">
        <f>IF($K190=1,"Counts into Sunday based on natural coverage","No Sunday carryover")</f>
        <v/>
      </c>
    </row>
    <row r="191">
      <c r="A191">
        <f>'Previous week scheduled'!$A$191</f>
        <v/>
      </c>
      <c r="B191">
        <f>'Previous week scheduled'!$B$191</f>
        <v/>
      </c>
      <c r="C191">
        <f>'Previous week scheduled'!$C$191</f>
        <v/>
      </c>
      <c r="D191">
        <f>'Previous week scheduled'!$D$191</f>
        <v/>
      </c>
      <c r="E191">
        <f>IF($J191=1,VALUE(LEFT($D191,2)),"")</f>
        <v/>
      </c>
      <c r="F191">
        <f>IF($J191=1,VALUE(MID($D191,9,2)),"")</f>
        <v/>
      </c>
      <c r="G191">
        <f>IF($J191=1,MOD($F191-$E191,24),0)</f>
        <v/>
      </c>
      <c r="H191">
        <f>IF($J191=1,-24+$E191,"")</f>
        <v/>
      </c>
      <c r="I191">
        <f>IF($J191=1,$H191+$G191,"")</f>
        <v/>
      </c>
      <c r="J191">
        <f>IF(ISNUMBER(SEARCH(" - ",$D191&amp;"")),1,0)</f>
        <v/>
      </c>
      <c r="K191">
        <f>IF(AND($J191=1,$I191&gt;0),1,0)</f>
        <v/>
      </c>
      <c r="L191">
        <f>IF($J191=1,$I191,-999)</f>
        <v/>
      </c>
      <c r="M191">
        <f>IF($K191=1,"Counts into Sunday based on natural coverage","No Sunday carryover")</f>
        <v/>
      </c>
    </row>
    <row r="192">
      <c r="A192">
        <f>'Previous week scheduled'!$A$192</f>
        <v/>
      </c>
      <c r="B192">
        <f>'Previous week scheduled'!$B$192</f>
        <v/>
      </c>
      <c r="C192">
        <f>'Previous week scheduled'!$C$192</f>
        <v/>
      </c>
      <c r="D192">
        <f>'Previous week scheduled'!$D$192</f>
        <v/>
      </c>
      <c r="E192">
        <f>IF($J192=1,VALUE(LEFT($D192,2)),"")</f>
        <v/>
      </c>
      <c r="F192">
        <f>IF($J192=1,VALUE(MID($D192,9,2)),"")</f>
        <v/>
      </c>
      <c r="G192">
        <f>IF($J192=1,MOD($F192-$E192,24),0)</f>
        <v/>
      </c>
      <c r="H192">
        <f>IF($J192=1,-24+$E192,"")</f>
        <v/>
      </c>
      <c r="I192">
        <f>IF($J192=1,$H192+$G192,"")</f>
        <v/>
      </c>
      <c r="J192">
        <f>IF(ISNUMBER(SEARCH(" - ",$D192&amp;"")),1,0)</f>
        <v/>
      </c>
      <c r="K192">
        <f>IF(AND($J192=1,$I192&gt;0),1,0)</f>
        <v/>
      </c>
      <c r="L192">
        <f>IF($J192=1,$I192,-999)</f>
        <v/>
      </c>
      <c r="M192">
        <f>IF($K192=1,"Counts into Sunday based on natural coverage","No Sunday carryover")</f>
        <v/>
      </c>
    </row>
    <row r="193">
      <c r="A193">
        <f>'Previous week scheduled'!$A$193</f>
        <v/>
      </c>
      <c r="B193">
        <f>'Previous week scheduled'!$B$193</f>
        <v/>
      </c>
      <c r="C193">
        <f>'Previous week scheduled'!$C$193</f>
        <v/>
      </c>
      <c r="D193">
        <f>'Previous week scheduled'!$D$193</f>
        <v/>
      </c>
      <c r="E193">
        <f>IF($J193=1,VALUE(LEFT($D193,2)),"")</f>
        <v/>
      </c>
      <c r="F193">
        <f>IF($J193=1,VALUE(MID($D193,9,2)),"")</f>
        <v/>
      </c>
      <c r="G193">
        <f>IF($J193=1,MOD($F193-$E193,24),0)</f>
        <v/>
      </c>
      <c r="H193">
        <f>IF($J193=1,-24+$E193,"")</f>
        <v/>
      </c>
      <c r="I193">
        <f>IF($J193=1,$H193+$G193,"")</f>
        <v/>
      </c>
      <c r="J193">
        <f>IF(ISNUMBER(SEARCH(" - ",$D193&amp;"")),1,0)</f>
        <v/>
      </c>
      <c r="K193">
        <f>IF(AND($J193=1,$I193&gt;0),1,0)</f>
        <v/>
      </c>
      <c r="L193">
        <f>IF($J193=1,$I193,-999)</f>
        <v/>
      </c>
      <c r="M193">
        <f>IF($K193=1,"Counts into Sunday based on natural coverage","No Sunday carryover")</f>
        <v/>
      </c>
    </row>
    <row r="194">
      <c r="A194">
        <f>'Previous week scheduled'!$A$194</f>
        <v/>
      </c>
      <c r="B194">
        <f>'Previous week scheduled'!$B$194</f>
        <v/>
      </c>
      <c r="C194">
        <f>'Previous week scheduled'!$C$194</f>
        <v/>
      </c>
      <c r="D194">
        <f>'Previous week scheduled'!$D$194</f>
        <v/>
      </c>
      <c r="E194">
        <f>IF($J194=1,VALUE(LEFT($D194,2)),"")</f>
        <v/>
      </c>
      <c r="F194">
        <f>IF($J194=1,VALUE(MID($D194,9,2)),"")</f>
        <v/>
      </c>
      <c r="G194">
        <f>IF($J194=1,MOD($F194-$E194,24),0)</f>
        <v/>
      </c>
      <c r="H194">
        <f>IF($J194=1,-24+$E194,"")</f>
        <v/>
      </c>
      <c r="I194">
        <f>IF($J194=1,$H194+$G194,"")</f>
        <v/>
      </c>
      <c r="J194">
        <f>IF(ISNUMBER(SEARCH(" - ",$D194&amp;"")),1,0)</f>
        <v/>
      </c>
      <c r="K194">
        <f>IF(AND($J194=1,$I194&gt;0),1,0)</f>
        <v/>
      </c>
      <c r="L194">
        <f>IF($J194=1,$I194,-999)</f>
        <v/>
      </c>
      <c r="M194">
        <f>IF($K194=1,"Counts into Sunday based on natural coverage","No Sunday carryover")</f>
        <v/>
      </c>
    </row>
    <row r="195">
      <c r="A195">
        <f>'Previous week scheduled'!$A$195</f>
        <v/>
      </c>
      <c r="B195">
        <f>'Previous week scheduled'!$B$195</f>
        <v/>
      </c>
      <c r="C195">
        <f>'Previous week scheduled'!$C$195</f>
        <v/>
      </c>
      <c r="D195">
        <f>'Previous week scheduled'!$D$195</f>
        <v/>
      </c>
      <c r="E195">
        <f>IF($J195=1,VALUE(LEFT($D195,2)),"")</f>
        <v/>
      </c>
      <c r="F195">
        <f>IF($J195=1,VALUE(MID($D195,9,2)),"")</f>
        <v/>
      </c>
      <c r="G195">
        <f>IF($J195=1,MOD($F195-$E195,24),0)</f>
        <v/>
      </c>
      <c r="H195">
        <f>IF($J195=1,-24+$E195,"")</f>
        <v/>
      </c>
      <c r="I195">
        <f>IF($J195=1,$H195+$G195,"")</f>
        <v/>
      </c>
      <c r="J195">
        <f>IF(ISNUMBER(SEARCH(" - ",$D195&amp;"")),1,0)</f>
        <v/>
      </c>
      <c r="K195">
        <f>IF(AND($J195=1,$I195&gt;0),1,0)</f>
        <v/>
      </c>
      <c r="L195">
        <f>IF($J195=1,$I195,-999)</f>
        <v/>
      </c>
      <c r="M195">
        <f>IF($K195=1,"Counts into Sunday based on natural coverage","No Sunday carryover")</f>
        <v/>
      </c>
    </row>
    <row r="196">
      <c r="A196">
        <f>'Previous week scheduled'!$A$196</f>
        <v/>
      </c>
      <c r="B196">
        <f>'Previous week scheduled'!$B$196</f>
        <v/>
      </c>
      <c r="C196">
        <f>'Previous week scheduled'!$C$196</f>
        <v/>
      </c>
      <c r="D196">
        <f>'Previous week scheduled'!$D$196</f>
        <v/>
      </c>
      <c r="E196">
        <f>IF($J196=1,VALUE(LEFT($D196,2)),"")</f>
        <v/>
      </c>
      <c r="F196">
        <f>IF($J196=1,VALUE(MID($D196,9,2)),"")</f>
        <v/>
      </c>
      <c r="G196">
        <f>IF($J196=1,MOD($F196-$E196,24),0)</f>
        <v/>
      </c>
      <c r="H196">
        <f>IF($J196=1,-24+$E196,"")</f>
        <v/>
      </c>
      <c r="I196">
        <f>IF($J196=1,$H196+$G196,"")</f>
        <v/>
      </c>
      <c r="J196">
        <f>IF(ISNUMBER(SEARCH(" - ",$D196&amp;"")),1,0)</f>
        <v/>
      </c>
      <c r="K196">
        <f>IF(AND($J196=1,$I196&gt;0),1,0)</f>
        <v/>
      </c>
      <c r="L196">
        <f>IF($J196=1,$I196,-999)</f>
        <v/>
      </c>
      <c r="M196">
        <f>IF($K196=1,"Counts into Sunday based on natural coverage","No Sunday carryover")</f>
        <v/>
      </c>
    </row>
    <row r="197">
      <c r="A197">
        <f>'Previous week scheduled'!$A$197</f>
        <v/>
      </c>
      <c r="B197">
        <f>'Previous week scheduled'!$B$197</f>
        <v/>
      </c>
      <c r="C197">
        <f>'Previous week scheduled'!$C$197</f>
        <v/>
      </c>
      <c r="D197">
        <f>'Previous week scheduled'!$D$197</f>
        <v/>
      </c>
      <c r="E197">
        <f>IF($J197=1,VALUE(LEFT($D197,2)),"")</f>
        <v/>
      </c>
      <c r="F197">
        <f>IF($J197=1,VALUE(MID($D197,9,2)),"")</f>
        <v/>
      </c>
      <c r="G197">
        <f>IF($J197=1,MOD($F197-$E197,24),0)</f>
        <v/>
      </c>
      <c r="H197">
        <f>IF($J197=1,-24+$E197,"")</f>
        <v/>
      </c>
      <c r="I197">
        <f>IF($J197=1,$H197+$G197,"")</f>
        <v/>
      </c>
      <c r="J197">
        <f>IF(ISNUMBER(SEARCH(" - ",$D197&amp;"")),1,0)</f>
        <v/>
      </c>
      <c r="K197">
        <f>IF(AND($J197=1,$I197&gt;0),1,0)</f>
        <v/>
      </c>
      <c r="L197">
        <f>IF($J197=1,$I197,-999)</f>
        <v/>
      </c>
      <c r="M197">
        <f>IF($K197=1,"Counts into Sunday based on natural coverage","No Sunday carryover")</f>
        <v/>
      </c>
    </row>
    <row r="198">
      <c r="A198">
        <f>'Previous week scheduled'!$A$198</f>
        <v/>
      </c>
      <c r="B198">
        <f>'Previous week scheduled'!$B$198</f>
        <v/>
      </c>
      <c r="C198">
        <f>'Previous week scheduled'!$C$198</f>
        <v/>
      </c>
      <c r="D198">
        <f>'Previous week scheduled'!$D$198</f>
        <v/>
      </c>
      <c r="E198">
        <f>IF($J198=1,VALUE(LEFT($D198,2)),"")</f>
        <v/>
      </c>
      <c r="F198">
        <f>IF($J198=1,VALUE(MID($D198,9,2)),"")</f>
        <v/>
      </c>
      <c r="G198">
        <f>IF($J198=1,MOD($F198-$E198,24),0)</f>
        <v/>
      </c>
      <c r="H198">
        <f>IF($J198=1,-24+$E198,"")</f>
        <v/>
      </c>
      <c r="I198">
        <f>IF($J198=1,$H198+$G198,"")</f>
        <v/>
      </c>
      <c r="J198">
        <f>IF(ISNUMBER(SEARCH(" - ",$D198&amp;"")),1,0)</f>
        <v/>
      </c>
      <c r="K198">
        <f>IF(AND($J198=1,$I198&gt;0),1,0)</f>
        <v/>
      </c>
      <c r="L198">
        <f>IF($J198=1,$I198,-999)</f>
        <v/>
      </c>
      <c r="M198">
        <f>IF($K198=1,"Counts into Sunday based on natural coverage","No Sunday carryover")</f>
        <v/>
      </c>
    </row>
    <row r="199">
      <c r="A199">
        <f>'Previous week scheduled'!$A$199</f>
        <v/>
      </c>
      <c r="B199">
        <f>'Previous week scheduled'!$B$199</f>
        <v/>
      </c>
      <c r="C199">
        <f>'Previous week scheduled'!$C$199</f>
        <v/>
      </c>
      <c r="D199">
        <f>'Previous week scheduled'!$D$199</f>
        <v/>
      </c>
      <c r="E199">
        <f>IF($J199=1,VALUE(LEFT($D199,2)),"")</f>
        <v/>
      </c>
      <c r="F199">
        <f>IF($J199=1,VALUE(MID($D199,9,2)),"")</f>
        <v/>
      </c>
      <c r="G199">
        <f>IF($J199=1,MOD($F199-$E199,24),0)</f>
        <v/>
      </c>
      <c r="H199">
        <f>IF($J199=1,-24+$E199,"")</f>
        <v/>
      </c>
      <c r="I199">
        <f>IF($J199=1,$H199+$G199,"")</f>
        <v/>
      </c>
      <c r="J199">
        <f>IF(ISNUMBER(SEARCH(" - ",$D199&amp;"")),1,0)</f>
        <v/>
      </c>
      <c r="K199">
        <f>IF(AND($J199=1,$I199&gt;0),1,0)</f>
        <v/>
      </c>
      <c r="L199">
        <f>IF($J199=1,$I199,-999)</f>
        <v/>
      </c>
      <c r="M199">
        <f>IF($K199=1,"Counts into Sunday based on natural coverage","No Sunday carryover")</f>
        <v/>
      </c>
    </row>
    <row r="200">
      <c r="A200">
        <f>'Previous week scheduled'!$A$200</f>
        <v/>
      </c>
      <c r="B200">
        <f>'Previous week scheduled'!$B$200</f>
        <v/>
      </c>
      <c r="C200">
        <f>'Previous week scheduled'!$C$200</f>
        <v/>
      </c>
      <c r="D200">
        <f>'Previous week scheduled'!$D$200</f>
        <v/>
      </c>
      <c r="E200">
        <f>IF($J200=1,VALUE(LEFT($D200,2)),"")</f>
        <v/>
      </c>
      <c r="F200">
        <f>IF($J200=1,VALUE(MID($D200,9,2)),"")</f>
        <v/>
      </c>
      <c r="G200">
        <f>IF($J200=1,MOD($F200-$E200,24),0)</f>
        <v/>
      </c>
      <c r="H200">
        <f>IF($J200=1,-24+$E200,"")</f>
        <v/>
      </c>
      <c r="I200">
        <f>IF($J200=1,$H200+$G200,"")</f>
        <v/>
      </c>
      <c r="J200">
        <f>IF(ISNUMBER(SEARCH(" - ",$D200&amp;"")),1,0)</f>
        <v/>
      </c>
      <c r="K200">
        <f>IF(AND($J200=1,$I200&gt;0),1,0)</f>
        <v/>
      </c>
      <c r="L200">
        <f>IF($J200=1,$I200,-999)</f>
        <v/>
      </c>
      <c r="M200">
        <f>IF($K200=1,"Counts into Sunday based on natural coverage","No Sunday carryover")</f>
        <v/>
      </c>
    </row>
    <row r="201">
      <c r="A201">
        <f>'Previous week scheduled'!$A$201</f>
        <v/>
      </c>
      <c r="B201">
        <f>'Previous week scheduled'!$B$201</f>
        <v/>
      </c>
      <c r="C201">
        <f>'Previous week scheduled'!$C$201</f>
        <v/>
      </c>
      <c r="D201">
        <f>'Previous week scheduled'!$D$201</f>
        <v/>
      </c>
      <c r="E201">
        <f>IF($J201=1,VALUE(LEFT($D201,2)),"")</f>
        <v/>
      </c>
      <c r="F201">
        <f>IF($J201=1,VALUE(MID($D201,9,2)),"")</f>
        <v/>
      </c>
      <c r="G201">
        <f>IF($J201=1,MOD($F201-$E201,24),0)</f>
        <v/>
      </c>
      <c r="H201">
        <f>IF($J201=1,-24+$E201,"")</f>
        <v/>
      </c>
      <c r="I201">
        <f>IF($J201=1,$H201+$G201,"")</f>
        <v/>
      </c>
      <c r="J201">
        <f>IF(ISNUMBER(SEARCH(" - ",$D201&amp;"")),1,0)</f>
        <v/>
      </c>
      <c r="K201">
        <f>IF(AND($J201=1,$I201&gt;0),1,0)</f>
        <v/>
      </c>
      <c r="L201">
        <f>IF($J201=1,$I201,-999)</f>
        <v/>
      </c>
      <c r="M201">
        <f>IF($K201=1,"Counts into Sunday based on natural coverage","No Sunday carryover")</f>
        <v/>
      </c>
    </row>
    <row r="202">
      <c r="A202">
        <f>'Previous week scheduled'!$A$202</f>
        <v/>
      </c>
      <c r="B202">
        <f>'Previous week scheduled'!$B$202</f>
        <v/>
      </c>
      <c r="C202">
        <f>'Previous week scheduled'!$C$202</f>
        <v/>
      </c>
      <c r="D202">
        <f>'Previous week scheduled'!$D$202</f>
        <v/>
      </c>
      <c r="E202">
        <f>IF($J202=1,VALUE(LEFT($D202,2)),"")</f>
        <v/>
      </c>
      <c r="F202">
        <f>IF($J202=1,VALUE(MID($D202,9,2)),"")</f>
        <v/>
      </c>
      <c r="G202">
        <f>IF($J202=1,MOD($F202-$E202,24),0)</f>
        <v/>
      </c>
      <c r="H202">
        <f>IF($J202=1,-24+$E202,"")</f>
        <v/>
      </c>
      <c r="I202">
        <f>IF($J202=1,$H202+$G202,"")</f>
        <v/>
      </c>
      <c r="J202">
        <f>IF(ISNUMBER(SEARCH(" - ",$D202&amp;"")),1,0)</f>
        <v/>
      </c>
      <c r="K202">
        <f>IF(AND($J202=1,$I202&gt;0),1,0)</f>
        <v/>
      </c>
      <c r="L202">
        <f>IF($J202=1,$I202,-999)</f>
        <v/>
      </c>
      <c r="M202">
        <f>IF($K202=1,"Counts into Sunday based on natural coverage","No Sunday carryover")</f>
        <v/>
      </c>
    </row>
    <row r="203">
      <c r="A203">
        <f>'Previous week scheduled'!$A$203</f>
        <v/>
      </c>
      <c r="B203">
        <f>'Previous week scheduled'!$B$203</f>
        <v/>
      </c>
      <c r="C203">
        <f>'Previous week scheduled'!$C$203</f>
        <v/>
      </c>
      <c r="D203">
        <f>'Previous week scheduled'!$D$203</f>
        <v/>
      </c>
      <c r="E203">
        <f>IF($J203=1,VALUE(LEFT($D203,2)),"")</f>
        <v/>
      </c>
      <c r="F203">
        <f>IF($J203=1,VALUE(MID($D203,9,2)),"")</f>
        <v/>
      </c>
      <c r="G203">
        <f>IF($J203=1,MOD($F203-$E203,24),0)</f>
        <v/>
      </c>
      <c r="H203">
        <f>IF($J203=1,-24+$E203,"")</f>
        <v/>
      </c>
      <c r="I203">
        <f>IF($J203=1,$H203+$G203,"")</f>
        <v/>
      </c>
      <c r="J203">
        <f>IF(ISNUMBER(SEARCH(" - ",$D203&amp;"")),1,0)</f>
        <v/>
      </c>
      <c r="K203">
        <f>IF(AND($J203=1,$I203&gt;0),1,0)</f>
        <v/>
      </c>
      <c r="L203">
        <f>IF($J203=1,$I203,-999)</f>
        <v/>
      </c>
      <c r="M203">
        <f>IF($K203=1,"Counts into Sunday based on natural coverage","No Sunday carryover")</f>
        <v/>
      </c>
    </row>
    <row r="204">
      <c r="A204">
        <f>'Previous week scheduled'!$A$204</f>
        <v/>
      </c>
      <c r="B204">
        <f>'Previous week scheduled'!$B$204</f>
        <v/>
      </c>
      <c r="C204">
        <f>'Previous week scheduled'!$C$204</f>
        <v/>
      </c>
      <c r="D204">
        <f>'Previous week scheduled'!$D$204</f>
        <v/>
      </c>
      <c r="E204">
        <f>IF($J204=1,VALUE(LEFT($D204,2)),"")</f>
        <v/>
      </c>
      <c r="F204">
        <f>IF($J204=1,VALUE(MID($D204,9,2)),"")</f>
        <v/>
      </c>
      <c r="G204">
        <f>IF($J204=1,MOD($F204-$E204,24),0)</f>
        <v/>
      </c>
      <c r="H204">
        <f>IF($J204=1,-24+$E204,"")</f>
        <v/>
      </c>
      <c r="I204">
        <f>IF($J204=1,$H204+$G204,"")</f>
        <v/>
      </c>
      <c r="J204">
        <f>IF(ISNUMBER(SEARCH(" - ",$D204&amp;"")),1,0)</f>
        <v/>
      </c>
      <c r="K204">
        <f>IF(AND($J204=1,$I204&gt;0),1,0)</f>
        <v/>
      </c>
      <c r="L204">
        <f>IF($J204=1,$I204,-999)</f>
        <v/>
      </c>
      <c r="M204">
        <f>IF($K204=1,"Counts into Sunday based on natural coverage","No Sunday carryover")</f>
        <v/>
      </c>
    </row>
    <row r="205">
      <c r="A205">
        <f>'Previous week scheduled'!$A$205</f>
        <v/>
      </c>
      <c r="B205">
        <f>'Previous week scheduled'!$B$205</f>
        <v/>
      </c>
      <c r="C205">
        <f>'Previous week scheduled'!$C$205</f>
        <v/>
      </c>
      <c r="D205">
        <f>'Previous week scheduled'!$D$205</f>
        <v/>
      </c>
      <c r="E205">
        <f>IF($J205=1,VALUE(LEFT($D205,2)),"")</f>
        <v/>
      </c>
      <c r="F205">
        <f>IF($J205=1,VALUE(MID($D205,9,2)),"")</f>
        <v/>
      </c>
      <c r="G205">
        <f>IF($J205=1,MOD($F205-$E205,24),0)</f>
        <v/>
      </c>
      <c r="H205">
        <f>IF($J205=1,-24+$E205,"")</f>
        <v/>
      </c>
      <c r="I205">
        <f>IF($J205=1,$H205+$G205,"")</f>
        <v/>
      </c>
      <c r="J205">
        <f>IF(ISNUMBER(SEARCH(" - ",$D205&amp;"")),1,0)</f>
        <v/>
      </c>
      <c r="K205">
        <f>IF(AND($J205=1,$I205&gt;0),1,0)</f>
        <v/>
      </c>
      <c r="L205">
        <f>IF($J205=1,$I205,-999)</f>
        <v/>
      </c>
      <c r="M205">
        <f>IF($K205=1,"Counts into Sunday based on natural coverage","No Sunday carryover")</f>
        <v/>
      </c>
    </row>
    <row r="206">
      <c r="A206">
        <f>'Previous week scheduled'!$A$206</f>
        <v/>
      </c>
      <c r="B206">
        <f>'Previous week scheduled'!$B$206</f>
        <v/>
      </c>
      <c r="C206">
        <f>'Previous week scheduled'!$C$206</f>
        <v/>
      </c>
      <c r="D206">
        <f>'Previous week scheduled'!$D$206</f>
        <v/>
      </c>
      <c r="E206">
        <f>IF($J206=1,VALUE(LEFT($D206,2)),"")</f>
        <v/>
      </c>
      <c r="F206">
        <f>IF($J206=1,VALUE(MID($D206,9,2)),"")</f>
        <v/>
      </c>
      <c r="G206">
        <f>IF($J206=1,MOD($F206-$E206,24),0)</f>
        <v/>
      </c>
      <c r="H206">
        <f>IF($J206=1,-24+$E206,"")</f>
        <v/>
      </c>
      <c r="I206">
        <f>IF($J206=1,$H206+$G206,"")</f>
        <v/>
      </c>
      <c r="J206">
        <f>IF(ISNUMBER(SEARCH(" - ",$D206&amp;"")),1,0)</f>
        <v/>
      </c>
      <c r="K206">
        <f>IF(AND($J206=1,$I206&gt;0),1,0)</f>
        <v/>
      </c>
      <c r="L206">
        <f>IF($J206=1,$I206,-999)</f>
        <v/>
      </c>
      <c r="M206">
        <f>IF($K206=1,"Counts into Sunday based on natural coverage","No Sunday carryover")</f>
        <v/>
      </c>
    </row>
    <row r="207">
      <c r="A207">
        <f>'Previous week scheduled'!$A$207</f>
        <v/>
      </c>
      <c r="B207">
        <f>'Previous week scheduled'!$B$207</f>
        <v/>
      </c>
      <c r="C207">
        <f>'Previous week scheduled'!$C$207</f>
        <v/>
      </c>
      <c r="D207">
        <f>'Previous week scheduled'!$D$207</f>
        <v/>
      </c>
      <c r="E207">
        <f>IF($J207=1,VALUE(LEFT($D207,2)),"")</f>
        <v/>
      </c>
      <c r="F207">
        <f>IF($J207=1,VALUE(MID($D207,9,2)),"")</f>
        <v/>
      </c>
      <c r="G207">
        <f>IF($J207=1,MOD($F207-$E207,24),0)</f>
        <v/>
      </c>
      <c r="H207">
        <f>IF($J207=1,-24+$E207,"")</f>
        <v/>
      </c>
      <c r="I207">
        <f>IF($J207=1,$H207+$G207,"")</f>
        <v/>
      </c>
      <c r="J207">
        <f>IF(ISNUMBER(SEARCH(" - ",$D207&amp;"")),1,0)</f>
        <v/>
      </c>
      <c r="K207">
        <f>IF(AND($J207=1,$I207&gt;0),1,0)</f>
        <v/>
      </c>
      <c r="L207">
        <f>IF($J207=1,$I207,-999)</f>
        <v/>
      </c>
      <c r="M207">
        <f>IF($K207=1,"Counts into Sunday based on natural coverage","No Sunday carryover")</f>
        <v/>
      </c>
    </row>
    <row r="208">
      <c r="A208">
        <f>'Previous week scheduled'!$A$208</f>
        <v/>
      </c>
      <c r="B208">
        <f>'Previous week scheduled'!$B$208</f>
        <v/>
      </c>
      <c r="C208">
        <f>'Previous week scheduled'!$C$208</f>
        <v/>
      </c>
      <c r="D208">
        <f>'Previous week scheduled'!$D$208</f>
        <v/>
      </c>
      <c r="E208">
        <f>IF($J208=1,VALUE(LEFT($D208,2)),"")</f>
        <v/>
      </c>
      <c r="F208">
        <f>IF($J208=1,VALUE(MID($D208,9,2)),"")</f>
        <v/>
      </c>
      <c r="G208">
        <f>IF($J208=1,MOD($F208-$E208,24),0)</f>
        <v/>
      </c>
      <c r="H208">
        <f>IF($J208=1,-24+$E208,"")</f>
        <v/>
      </c>
      <c r="I208">
        <f>IF($J208=1,$H208+$G208,"")</f>
        <v/>
      </c>
      <c r="J208">
        <f>IF(ISNUMBER(SEARCH(" - ",$D208&amp;"")),1,0)</f>
        <v/>
      </c>
      <c r="K208">
        <f>IF(AND($J208=1,$I208&gt;0),1,0)</f>
        <v/>
      </c>
      <c r="L208">
        <f>IF($J208=1,$I208,-999)</f>
        <v/>
      </c>
      <c r="M208">
        <f>IF($K208=1,"Counts into Sunday based on natural coverage","No Sunday carryover")</f>
        <v/>
      </c>
    </row>
    <row r="209">
      <c r="A209">
        <f>'Previous week scheduled'!$A$209</f>
        <v/>
      </c>
      <c r="B209">
        <f>'Previous week scheduled'!$B$209</f>
        <v/>
      </c>
      <c r="C209">
        <f>'Previous week scheduled'!$C$209</f>
        <v/>
      </c>
      <c r="D209">
        <f>'Previous week scheduled'!$D$209</f>
        <v/>
      </c>
      <c r="E209">
        <f>IF($J209=1,VALUE(LEFT($D209,2)),"")</f>
        <v/>
      </c>
      <c r="F209">
        <f>IF($J209=1,VALUE(MID($D209,9,2)),"")</f>
        <v/>
      </c>
      <c r="G209">
        <f>IF($J209=1,MOD($F209-$E209,24),0)</f>
        <v/>
      </c>
      <c r="H209">
        <f>IF($J209=1,-24+$E209,"")</f>
        <v/>
      </c>
      <c r="I209">
        <f>IF($J209=1,$H209+$G209,"")</f>
        <v/>
      </c>
      <c r="J209">
        <f>IF(ISNUMBER(SEARCH(" - ",$D209&amp;"")),1,0)</f>
        <v/>
      </c>
      <c r="K209">
        <f>IF(AND($J209=1,$I209&gt;0),1,0)</f>
        <v/>
      </c>
      <c r="L209">
        <f>IF($J209=1,$I209,-999)</f>
        <v/>
      </c>
      <c r="M209">
        <f>IF($K209=1,"Counts into Sunday based on natural coverage","No Sunday carryover")</f>
        <v/>
      </c>
    </row>
    <row r="210">
      <c r="A210">
        <f>'Previous week scheduled'!$A$210</f>
        <v/>
      </c>
      <c r="B210">
        <f>'Previous week scheduled'!$B$210</f>
        <v/>
      </c>
      <c r="C210">
        <f>'Previous week scheduled'!$C$210</f>
        <v/>
      </c>
      <c r="D210">
        <f>'Previous week scheduled'!$D$210</f>
        <v/>
      </c>
      <c r="E210">
        <f>IF($J210=1,VALUE(LEFT($D210,2)),"")</f>
        <v/>
      </c>
      <c r="F210">
        <f>IF($J210=1,VALUE(MID($D210,9,2)),"")</f>
        <v/>
      </c>
      <c r="G210">
        <f>IF($J210=1,MOD($F210-$E210,24),0)</f>
        <v/>
      </c>
      <c r="H210">
        <f>IF($J210=1,-24+$E210,"")</f>
        <v/>
      </c>
      <c r="I210">
        <f>IF($J210=1,$H210+$G210,"")</f>
        <v/>
      </c>
      <c r="J210">
        <f>IF(ISNUMBER(SEARCH(" - ",$D210&amp;"")),1,0)</f>
        <v/>
      </c>
      <c r="K210">
        <f>IF(AND($J210=1,$I210&gt;0),1,0)</f>
        <v/>
      </c>
      <c r="L210">
        <f>IF($J210=1,$I210,-999)</f>
        <v/>
      </c>
      <c r="M210">
        <f>IF($K210=1,"Counts into Sunday based on natural coverage","No Sunday carryover")</f>
        <v/>
      </c>
    </row>
    <row r="211">
      <c r="A211">
        <f>'Previous week scheduled'!$A$211</f>
        <v/>
      </c>
      <c r="B211">
        <f>'Previous week scheduled'!$B$211</f>
        <v/>
      </c>
      <c r="C211">
        <f>'Previous week scheduled'!$C$211</f>
        <v/>
      </c>
      <c r="D211">
        <f>'Previous week scheduled'!$D$211</f>
        <v/>
      </c>
      <c r="E211">
        <f>IF($J211=1,VALUE(LEFT($D211,2)),"")</f>
        <v/>
      </c>
      <c r="F211">
        <f>IF($J211=1,VALUE(MID($D211,9,2)),"")</f>
        <v/>
      </c>
      <c r="G211">
        <f>IF($J211=1,MOD($F211-$E211,24),0)</f>
        <v/>
      </c>
      <c r="H211">
        <f>IF($J211=1,-24+$E211,"")</f>
        <v/>
      </c>
      <c r="I211">
        <f>IF($J211=1,$H211+$G211,"")</f>
        <v/>
      </c>
      <c r="J211">
        <f>IF(ISNUMBER(SEARCH(" - ",$D211&amp;"")),1,0)</f>
        <v/>
      </c>
      <c r="K211">
        <f>IF(AND($J211=1,$I211&gt;0),1,0)</f>
        <v/>
      </c>
      <c r="L211">
        <f>IF($J211=1,$I211,-999)</f>
        <v/>
      </c>
      <c r="M211">
        <f>IF($K211=1,"Counts into Sunday based on natural coverage","No Sunday carryover")</f>
        <v/>
      </c>
    </row>
    <row r="212">
      <c r="A212">
        <f>'Previous week scheduled'!$A$212</f>
        <v/>
      </c>
      <c r="B212">
        <f>'Previous week scheduled'!$B$212</f>
        <v/>
      </c>
      <c r="C212">
        <f>'Previous week scheduled'!$C$212</f>
        <v/>
      </c>
      <c r="D212">
        <f>'Previous week scheduled'!$D$212</f>
        <v/>
      </c>
      <c r="E212">
        <f>IF($J212=1,VALUE(LEFT($D212,2)),"")</f>
        <v/>
      </c>
      <c r="F212">
        <f>IF($J212=1,VALUE(MID($D212,9,2)),"")</f>
        <v/>
      </c>
      <c r="G212">
        <f>IF($J212=1,MOD($F212-$E212,24),0)</f>
        <v/>
      </c>
      <c r="H212">
        <f>IF($J212=1,-24+$E212,"")</f>
        <v/>
      </c>
      <c r="I212">
        <f>IF($J212=1,$H212+$G212,"")</f>
        <v/>
      </c>
      <c r="J212">
        <f>IF(ISNUMBER(SEARCH(" - ",$D212&amp;"")),1,0)</f>
        <v/>
      </c>
      <c r="K212">
        <f>IF(AND($J212=1,$I212&gt;0),1,0)</f>
        <v/>
      </c>
      <c r="L212">
        <f>IF($J212=1,$I212,-999)</f>
        <v/>
      </c>
      <c r="M212">
        <f>IF($K212=1,"Counts into Sunday based on natural coverage","No Sunday carryover")</f>
        <v/>
      </c>
    </row>
    <row r="213">
      <c r="A213">
        <f>'Previous week scheduled'!$A$213</f>
        <v/>
      </c>
      <c r="B213">
        <f>'Previous week scheduled'!$B$213</f>
        <v/>
      </c>
      <c r="C213">
        <f>'Previous week scheduled'!$C$213</f>
        <v/>
      </c>
      <c r="D213">
        <f>'Previous week scheduled'!$D$213</f>
        <v/>
      </c>
      <c r="E213">
        <f>IF($J213=1,VALUE(LEFT($D213,2)),"")</f>
        <v/>
      </c>
      <c r="F213">
        <f>IF($J213=1,VALUE(MID($D213,9,2)),"")</f>
        <v/>
      </c>
      <c r="G213">
        <f>IF($J213=1,MOD($F213-$E213,24),0)</f>
        <v/>
      </c>
      <c r="H213">
        <f>IF($J213=1,-24+$E213,"")</f>
        <v/>
      </c>
      <c r="I213">
        <f>IF($J213=1,$H213+$G213,"")</f>
        <v/>
      </c>
      <c r="J213">
        <f>IF(ISNUMBER(SEARCH(" - ",$D213&amp;"")),1,0)</f>
        <v/>
      </c>
      <c r="K213">
        <f>IF(AND($J213=1,$I213&gt;0),1,0)</f>
        <v/>
      </c>
      <c r="L213">
        <f>IF($J213=1,$I213,-999)</f>
        <v/>
      </c>
      <c r="M213">
        <f>IF($K213=1,"Counts into Sunday based on natural coverage","No Sunday carryover")</f>
        <v/>
      </c>
    </row>
    <row r="214">
      <c r="A214">
        <f>'Previous week scheduled'!$A$214</f>
        <v/>
      </c>
      <c r="B214">
        <f>'Previous week scheduled'!$B$214</f>
        <v/>
      </c>
      <c r="C214">
        <f>'Previous week scheduled'!$C$214</f>
        <v/>
      </c>
      <c r="D214">
        <f>'Previous week scheduled'!$D$214</f>
        <v/>
      </c>
      <c r="E214">
        <f>IF($J214=1,VALUE(LEFT($D214,2)),"")</f>
        <v/>
      </c>
      <c r="F214">
        <f>IF($J214=1,VALUE(MID($D214,9,2)),"")</f>
        <v/>
      </c>
      <c r="G214">
        <f>IF($J214=1,MOD($F214-$E214,24),0)</f>
        <v/>
      </c>
      <c r="H214">
        <f>IF($J214=1,-24+$E214,"")</f>
        <v/>
      </c>
      <c r="I214">
        <f>IF($J214=1,$H214+$G214,"")</f>
        <v/>
      </c>
      <c r="J214">
        <f>IF(ISNUMBER(SEARCH(" - ",$D214&amp;"")),1,0)</f>
        <v/>
      </c>
      <c r="K214">
        <f>IF(AND($J214=1,$I214&gt;0),1,0)</f>
        <v/>
      </c>
      <c r="L214">
        <f>IF($J214=1,$I214,-999)</f>
        <v/>
      </c>
      <c r="M214">
        <f>IF($K214=1,"Counts into Sunday based on natural coverage","No Sunday carryover")</f>
        <v/>
      </c>
    </row>
    <row r="215">
      <c r="A215">
        <f>'Previous week scheduled'!$A$215</f>
        <v/>
      </c>
      <c r="B215">
        <f>'Previous week scheduled'!$B$215</f>
        <v/>
      </c>
      <c r="C215">
        <f>'Previous week scheduled'!$C$215</f>
        <v/>
      </c>
      <c r="D215">
        <f>'Previous week scheduled'!$D$215</f>
        <v/>
      </c>
      <c r="E215">
        <f>IF($J215=1,VALUE(LEFT($D215,2)),"")</f>
        <v/>
      </c>
      <c r="F215">
        <f>IF($J215=1,VALUE(MID($D215,9,2)),"")</f>
        <v/>
      </c>
      <c r="G215">
        <f>IF($J215=1,MOD($F215-$E215,24),0)</f>
        <v/>
      </c>
      <c r="H215">
        <f>IF($J215=1,-24+$E215,"")</f>
        <v/>
      </c>
      <c r="I215">
        <f>IF($J215=1,$H215+$G215,"")</f>
        <v/>
      </c>
      <c r="J215">
        <f>IF(ISNUMBER(SEARCH(" - ",$D215&amp;"")),1,0)</f>
        <v/>
      </c>
      <c r="K215">
        <f>IF(AND($J215=1,$I215&gt;0),1,0)</f>
        <v/>
      </c>
      <c r="L215">
        <f>IF($J215=1,$I215,-999)</f>
        <v/>
      </c>
      <c r="M215">
        <f>IF($K215=1,"Counts into Sunday based on natural coverage","No Sunday carryover")</f>
        <v/>
      </c>
    </row>
    <row r="216">
      <c r="A216">
        <f>'Previous week scheduled'!$A$216</f>
        <v/>
      </c>
      <c r="B216">
        <f>'Previous week scheduled'!$B$216</f>
        <v/>
      </c>
      <c r="C216">
        <f>'Previous week scheduled'!$C$216</f>
        <v/>
      </c>
      <c r="D216">
        <f>'Previous week scheduled'!$D$216</f>
        <v/>
      </c>
      <c r="E216">
        <f>IF($J216=1,VALUE(LEFT($D216,2)),"")</f>
        <v/>
      </c>
      <c r="F216">
        <f>IF($J216=1,VALUE(MID($D216,9,2)),"")</f>
        <v/>
      </c>
      <c r="G216">
        <f>IF($J216=1,MOD($F216-$E216,24),0)</f>
        <v/>
      </c>
      <c r="H216">
        <f>IF($J216=1,-24+$E216,"")</f>
        <v/>
      </c>
      <c r="I216">
        <f>IF($J216=1,$H216+$G216,"")</f>
        <v/>
      </c>
      <c r="J216">
        <f>IF(ISNUMBER(SEARCH(" - ",$D216&amp;"")),1,0)</f>
        <v/>
      </c>
      <c r="K216">
        <f>IF(AND($J216=1,$I216&gt;0),1,0)</f>
        <v/>
      </c>
      <c r="L216">
        <f>IF($J216=1,$I216,-999)</f>
        <v/>
      </c>
      <c r="M216">
        <f>IF($K216=1,"Counts into Sunday based on natural coverage","No Sunday carryover")</f>
        <v/>
      </c>
    </row>
    <row r="217">
      <c r="A217">
        <f>'Previous week scheduled'!$A$217</f>
        <v/>
      </c>
      <c r="B217">
        <f>'Previous week scheduled'!$B$217</f>
        <v/>
      </c>
      <c r="C217">
        <f>'Previous week scheduled'!$C$217</f>
        <v/>
      </c>
      <c r="D217">
        <f>'Previous week scheduled'!$D$217</f>
        <v/>
      </c>
      <c r="E217">
        <f>IF($J217=1,VALUE(LEFT($D217,2)),"")</f>
        <v/>
      </c>
      <c r="F217">
        <f>IF($J217=1,VALUE(MID($D217,9,2)),"")</f>
        <v/>
      </c>
      <c r="G217">
        <f>IF($J217=1,MOD($F217-$E217,24),0)</f>
        <v/>
      </c>
      <c r="H217">
        <f>IF($J217=1,-24+$E217,"")</f>
        <v/>
      </c>
      <c r="I217">
        <f>IF($J217=1,$H217+$G217,"")</f>
        <v/>
      </c>
      <c r="J217">
        <f>IF(ISNUMBER(SEARCH(" - ",$D217&amp;"")),1,0)</f>
        <v/>
      </c>
      <c r="K217">
        <f>IF(AND($J217=1,$I217&gt;0),1,0)</f>
        <v/>
      </c>
      <c r="L217">
        <f>IF($J217=1,$I217,-999)</f>
        <v/>
      </c>
      <c r="M217">
        <f>IF($K217=1,"Counts into Sunday based on natural coverage","No Sunday carryover")</f>
        <v/>
      </c>
    </row>
    <row r="218">
      <c r="A218">
        <f>'Previous week scheduled'!$A$218</f>
        <v/>
      </c>
      <c r="B218">
        <f>'Previous week scheduled'!$B$218</f>
        <v/>
      </c>
      <c r="C218">
        <f>'Previous week scheduled'!$C$218</f>
        <v/>
      </c>
      <c r="D218">
        <f>'Previous week scheduled'!$D$218</f>
        <v/>
      </c>
      <c r="E218">
        <f>IF($J218=1,VALUE(LEFT($D218,2)),"")</f>
        <v/>
      </c>
      <c r="F218">
        <f>IF($J218=1,VALUE(MID($D218,9,2)),"")</f>
        <v/>
      </c>
      <c r="G218">
        <f>IF($J218=1,MOD($F218-$E218,24),0)</f>
        <v/>
      </c>
      <c r="H218">
        <f>IF($J218=1,-24+$E218,"")</f>
        <v/>
      </c>
      <c r="I218">
        <f>IF($J218=1,$H218+$G218,"")</f>
        <v/>
      </c>
      <c r="J218">
        <f>IF(ISNUMBER(SEARCH(" - ",$D218&amp;"")),1,0)</f>
        <v/>
      </c>
      <c r="K218">
        <f>IF(AND($J218=1,$I218&gt;0),1,0)</f>
        <v/>
      </c>
      <c r="L218">
        <f>IF($J218=1,$I218,-999)</f>
        <v/>
      </c>
      <c r="M218">
        <f>IF($K218=1,"Counts into Sunday based on natural coverage","No Sunday carryover")</f>
        <v/>
      </c>
    </row>
    <row r="219">
      <c r="A219">
        <f>'Previous week scheduled'!$A$219</f>
        <v/>
      </c>
      <c r="B219">
        <f>'Previous week scheduled'!$B$219</f>
        <v/>
      </c>
      <c r="C219">
        <f>'Previous week scheduled'!$C$219</f>
        <v/>
      </c>
      <c r="D219">
        <f>'Previous week scheduled'!$D$219</f>
        <v/>
      </c>
      <c r="E219">
        <f>IF($J219=1,VALUE(LEFT($D219,2)),"")</f>
        <v/>
      </c>
      <c r="F219">
        <f>IF($J219=1,VALUE(MID($D219,9,2)),"")</f>
        <v/>
      </c>
      <c r="G219">
        <f>IF($J219=1,MOD($F219-$E219,24),0)</f>
        <v/>
      </c>
      <c r="H219">
        <f>IF($J219=1,-24+$E219,"")</f>
        <v/>
      </c>
      <c r="I219">
        <f>IF($J219=1,$H219+$G219,"")</f>
        <v/>
      </c>
      <c r="J219">
        <f>IF(ISNUMBER(SEARCH(" - ",$D219&amp;"")),1,0)</f>
        <v/>
      </c>
      <c r="K219">
        <f>IF(AND($J219=1,$I219&gt;0),1,0)</f>
        <v/>
      </c>
      <c r="L219">
        <f>IF($J219=1,$I219,-999)</f>
        <v/>
      </c>
      <c r="M219">
        <f>IF($K219=1,"Counts into Sunday based on natural coverage","No Sunday carryover")</f>
        <v/>
      </c>
    </row>
    <row r="220">
      <c r="A220">
        <f>'Previous week scheduled'!$A$220</f>
        <v/>
      </c>
      <c r="B220">
        <f>'Previous week scheduled'!$B$220</f>
        <v/>
      </c>
      <c r="C220">
        <f>'Previous week scheduled'!$C$220</f>
        <v/>
      </c>
      <c r="D220">
        <f>'Previous week scheduled'!$D$220</f>
        <v/>
      </c>
      <c r="E220">
        <f>IF($J220=1,VALUE(LEFT($D220,2)),"")</f>
        <v/>
      </c>
      <c r="F220">
        <f>IF($J220=1,VALUE(MID($D220,9,2)),"")</f>
        <v/>
      </c>
      <c r="G220">
        <f>IF($J220=1,MOD($F220-$E220,24),0)</f>
        <v/>
      </c>
      <c r="H220">
        <f>IF($J220=1,-24+$E220,"")</f>
        <v/>
      </c>
      <c r="I220">
        <f>IF($J220=1,$H220+$G220,"")</f>
        <v/>
      </c>
      <c r="J220">
        <f>IF(ISNUMBER(SEARCH(" - ",$D220&amp;"")),1,0)</f>
        <v/>
      </c>
      <c r="K220">
        <f>IF(AND($J220=1,$I220&gt;0),1,0)</f>
        <v/>
      </c>
      <c r="L220">
        <f>IF($J220=1,$I220,-999)</f>
        <v/>
      </c>
      <c r="M220">
        <f>IF($K220=1,"Counts into Sunday based on natural coverage","No Sunday carryover")</f>
        <v/>
      </c>
    </row>
    <row r="221">
      <c r="A221">
        <f>'Previous week scheduled'!$A$221</f>
        <v/>
      </c>
      <c r="B221">
        <f>'Previous week scheduled'!$B$221</f>
        <v/>
      </c>
      <c r="C221">
        <f>'Previous week scheduled'!$C$221</f>
        <v/>
      </c>
      <c r="D221">
        <f>'Previous week scheduled'!$D$221</f>
        <v/>
      </c>
      <c r="E221">
        <f>IF($J221=1,VALUE(LEFT($D221,2)),"")</f>
        <v/>
      </c>
      <c r="F221">
        <f>IF($J221=1,VALUE(MID($D221,9,2)),"")</f>
        <v/>
      </c>
      <c r="G221">
        <f>IF($J221=1,MOD($F221-$E221,24),0)</f>
        <v/>
      </c>
      <c r="H221">
        <f>IF($J221=1,-24+$E221,"")</f>
        <v/>
      </c>
      <c r="I221">
        <f>IF($J221=1,$H221+$G221,"")</f>
        <v/>
      </c>
      <c r="J221">
        <f>IF(ISNUMBER(SEARCH(" - ",$D221&amp;"")),1,0)</f>
        <v/>
      </c>
      <c r="K221">
        <f>IF(AND($J221=1,$I221&gt;0),1,0)</f>
        <v/>
      </c>
      <c r="L221">
        <f>IF($J221=1,$I221,-999)</f>
        <v/>
      </c>
      <c r="M221">
        <f>IF($K221=1,"Counts into Sunday based on natural coverage","No Sunday carryover")</f>
        <v/>
      </c>
    </row>
    <row r="222">
      <c r="A222">
        <f>'Previous week scheduled'!$A$222</f>
        <v/>
      </c>
      <c r="B222">
        <f>'Previous week scheduled'!$B$222</f>
        <v/>
      </c>
      <c r="C222">
        <f>'Previous week scheduled'!$C$222</f>
        <v/>
      </c>
      <c r="D222">
        <f>'Previous week scheduled'!$D$222</f>
        <v/>
      </c>
      <c r="E222">
        <f>IF($J222=1,VALUE(LEFT($D222,2)),"")</f>
        <v/>
      </c>
      <c r="F222">
        <f>IF($J222=1,VALUE(MID($D222,9,2)),"")</f>
        <v/>
      </c>
      <c r="G222">
        <f>IF($J222=1,MOD($F222-$E222,24),0)</f>
        <v/>
      </c>
      <c r="H222">
        <f>IF($J222=1,-24+$E222,"")</f>
        <v/>
      </c>
      <c r="I222">
        <f>IF($J222=1,$H222+$G222,"")</f>
        <v/>
      </c>
      <c r="J222">
        <f>IF(ISNUMBER(SEARCH(" - ",$D222&amp;"")),1,0)</f>
        <v/>
      </c>
      <c r="K222">
        <f>IF(AND($J222=1,$I222&gt;0),1,0)</f>
        <v/>
      </c>
      <c r="L222">
        <f>IF($J222=1,$I222,-999)</f>
        <v/>
      </c>
      <c r="M222">
        <f>IF($K222=1,"Counts into Sunday based on natural coverage","No Sunday carryover")</f>
        <v/>
      </c>
    </row>
    <row r="223">
      <c r="A223">
        <f>'Previous week scheduled'!$A$223</f>
        <v/>
      </c>
      <c r="B223">
        <f>'Previous week scheduled'!$B$223</f>
        <v/>
      </c>
      <c r="C223">
        <f>'Previous week scheduled'!$C$223</f>
        <v/>
      </c>
      <c r="D223">
        <f>'Previous week scheduled'!$D$223</f>
        <v/>
      </c>
      <c r="E223">
        <f>IF($J223=1,VALUE(LEFT($D223,2)),"")</f>
        <v/>
      </c>
      <c r="F223">
        <f>IF($J223=1,VALUE(MID($D223,9,2)),"")</f>
        <v/>
      </c>
      <c r="G223">
        <f>IF($J223=1,MOD($F223-$E223,24),0)</f>
        <v/>
      </c>
      <c r="H223">
        <f>IF($J223=1,-24+$E223,"")</f>
        <v/>
      </c>
      <c r="I223">
        <f>IF($J223=1,$H223+$G223,"")</f>
        <v/>
      </c>
      <c r="J223">
        <f>IF(ISNUMBER(SEARCH(" - ",$D223&amp;"")),1,0)</f>
        <v/>
      </c>
      <c r="K223">
        <f>IF(AND($J223=1,$I223&gt;0),1,0)</f>
        <v/>
      </c>
      <c r="L223">
        <f>IF($J223=1,$I223,-999)</f>
        <v/>
      </c>
      <c r="M223">
        <f>IF($K223=1,"Counts into Sunday based on natural coverage","No Sunday carryover")</f>
        <v/>
      </c>
    </row>
    <row r="224">
      <c r="A224">
        <f>'Previous week scheduled'!$A$224</f>
        <v/>
      </c>
      <c r="B224">
        <f>'Previous week scheduled'!$B$224</f>
        <v/>
      </c>
      <c r="C224">
        <f>'Previous week scheduled'!$C$224</f>
        <v/>
      </c>
      <c r="D224">
        <f>'Previous week scheduled'!$D$224</f>
        <v/>
      </c>
      <c r="E224">
        <f>IF($J224=1,VALUE(LEFT($D224,2)),"")</f>
        <v/>
      </c>
      <c r="F224">
        <f>IF($J224=1,VALUE(MID($D224,9,2)),"")</f>
        <v/>
      </c>
      <c r="G224">
        <f>IF($J224=1,MOD($F224-$E224,24),0)</f>
        <v/>
      </c>
      <c r="H224">
        <f>IF($J224=1,-24+$E224,"")</f>
        <v/>
      </c>
      <c r="I224">
        <f>IF($J224=1,$H224+$G224,"")</f>
        <v/>
      </c>
      <c r="J224">
        <f>IF(ISNUMBER(SEARCH(" - ",$D224&amp;"")),1,0)</f>
        <v/>
      </c>
      <c r="K224">
        <f>IF(AND($J224=1,$I224&gt;0),1,0)</f>
        <v/>
      </c>
      <c r="L224">
        <f>IF($J224=1,$I224,-999)</f>
        <v/>
      </c>
      <c r="M224">
        <f>IF($K224=1,"Counts into Sunday based on natural coverage","No Sunday carryover")</f>
        <v/>
      </c>
    </row>
    <row r="225">
      <c r="A225">
        <f>'Previous week scheduled'!$A$225</f>
        <v/>
      </c>
      <c r="B225">
        <f>'Previous week scheduled'!$B$225</f>
        <v/>
      </c>
      <c r="C225">
        <f>'Previous week scheduled'!$C$225</f>
        <v/>
      </c>
      <c r="D225">
        <f>'Previous week scheduled'!$D$225</f>
        <v/>
      </c>
      <c r="E225">
        <f>IF($J225=1,VALUE(LEFT($D225,2)),"")</f>
        <v/>
      </c>
      <c r="F225">
        <f>IF($J225=1,VALUE(MID($D225,9,2)),"")</f>
        <v/>
      </c>
      <c r="G225">
        <f>IF($J225=1,MOD($F225-$E225,24),0)</f>
        <v/>
      </c>
      <c r="H225">
        <f>IF($J225=1,-24+$E225,"")</f>
        <v/>
      </c>
      <c r="I225">
        <f>IF($J225=1,$H225+$G225,"")</f>
        <v/>
      </c>
      <c r="J225">
        <f>IF(ISNUMBER(SEARCH(" - ",$D225&amp;"")),1,0)</f>
        <v/>
      </c>
      <c r="K225">
        <f>IF(AND($J225=1,$I225&gt;0),1,0)</f>
        <v/>
      </c>
      <c r="L225">
        <f>IF($J225=1,$I225,-999)</f>
        <v/>
      </c>
      <c r="M225">
        <f>IF($K225=1,"Counts into Sunday based on natural coverage","No Sunday carryover")</f>
        <v/>
      </c>
    </row>
    <row r="226">
      <c r="A226">
        <f>'Previous week scheduled'!$A$226</f>
        <v/>
      </c>
      <c r="B226">
        <f>'Previous week scheduled'!$B$226</f>
        <v/>
      </c>
      <c r="C226">
        <f>'Previous week scheduled'!$C$226</f>
        <v/>
      </c>
      <c r="D226">
        <f>'Previous week scheduled'!$D$226</f>
        <v/>
      </c>
      <c r="E226">
        <f>IF($J226=1,VALUE(LEFT($D226,2)),"")</f>
        <v/>
      </c>
      <c r="F226">
        <f>IF($J226=1,VALUE(MID($D226,9,2)),"")</f>
        <v/>
      </c>
      <c r="G226">
        <f>IF($J226=1,MOD($F226-$E226,24),0)</f>
        <v/>
      </c>
      <c r="H226">
        <f>IF($J226=1,-24+$E226,"")</f>
        <v/>
      </c>
      <c r="I226">
        <f>IF($J226=1,$H226+$G226,"")</f>
        <v/>
      </c>
      <c r="J226">
        <f>IF(ISNUMBER(SEARCH(" - ",$D226&amp;"")),1,0)</f>
        <v/>
      </c>
      <c r="K226">
        <f>IF(AND($J226=1,$I226&gt;0),1,0)</f>
        <v/>
      </c>
      <c r="L226">
        <f>IF($J226=1,$I226,-999)</f>
        <v/>
      </c>
      <c r="M226">
        <f>IF($K226=1,"Counts into Sunday based on natural coverage","No Sunday carryover")</f>
        <v/>
      </c>
    </row>
    <row r="227">
      <c r="A227">
        <f>'Previous week scheduled'!$A$227</f>
        <v/>
      </c>
      <c r="B227">
        <f>'Previous week scheduled'!$B$227</f>
        <v/>
      </c>
      <c r="C227">
        <f>'Previous week scheduled'!$C$227</f>
        <v/>
      </c>
      <c r="D227">
        <f>'Previous week scheduled'!$D$227</f>
        <v/>
      </c>
      <c r="E227">
        <f>IF($J227=1,VALUE(LEFT($D227,2)),"")</f>
        <v/>
      </c>
      <c r="F227">
        <f>IF($J227=1,VALUE(MID($D227,9,2)),"")</f>
        <v/>
      </c>
      <c r="G227">
        <f>IF($J227=1,MOD($F227-$E227,24),0)</f>
        <v/>
      </c>
      <c r="H227">
        <f>IF($J227=1,-24+$E227,"")</f>
        <v/>
      </c>
      <c r="I227">
        <f>IF($J227=1,$H227+$G227,"")</f>
        <v/>
      </c>
      <c r="J227">
        <f>IF(ISNUMBER(SEARCH(" - ",$D227&amp;"")),1,0)</f>
        <v/>
      </c>
      <c r="K227">
        <f>IF(AND($J227=1,$I227&gt;0),1,0)</f>
        <v/>
      </c>
      <c r="L227">
        <f>IF($J227=1,$I227,-999)</f>
        <v/>
      </c>
      <c r="M227">
        <f>IF($K227=1,"Counts into Sunday based on natural coverage","No Sunday carryover")</f>
        <v/>
      </c>
    </row>
    <row r="228">
      <c r="A228">
        <f>'Previous week scheduled'!$A$228</f>
        <v/>
      </c>
      <c r="B228">
        <f>'Previous week scheduled'!$B$228</f>
        <v/>
      </c>
      <c r="C228">
        <f>'Previous week scheduled'!$C$228</f>
        <v/>
      </c>
      <c r="D228">
        <f>'Previous week scheduled'!$D$228</f>
        <v/>
      </c>
      <c r="E228">
        <f>IF($J228=1,VALUE(LEFT($D228,2)),"")</f>
        <v/>
      </c>
      <c r="F228">
        <f>IF($J228=1,VALUE(MID($D228,9,2)),"")</f>
        <v/>
      </c>
      <c r="G228">
        <f>IF($J228=1,MOD($F228-$E228,24),0)</f>
        <v/>
      </c>
      <c r="H228">
        <f>IF($J228=1,-24+$E228,"")</f>
        <v/>
      </c>
      <c r="I228">
        <f>IF($J228=1,$H228+$G228,"")</f>
        <v/>
      </c>
      <c r="J228">
        <f>IF(ISNUMBER(SEARCH(" - ",$D228&amp;"")),1,0)</f>
        <v/>
      </c>
      <c r="K228">
        <f>IF(AND($J228=1,$I228&gt;0),1,0)</f>
        <v/>
      </c>
      <c r="L228">
        <f>IF($J228=1,$I228,-999)</f>
        <v/>
      </c>
      <c r="M228">
        <f>IF($K228=1,"Counts into Sunday based on natural coverage","No Sunday carryover")</f>
        <v/>
      </c>
    </row>
    <row r="229">
      <c r="A229">
        <f>'Previous week scheduled'!$A$229</f>
        <v/>
      </c>
      <c r="B229">
        <f>'Previous week scheduled'!$B$229</f>
        <v/>
      </c>
      <c r="C229">
        <f>'Previous week scheduled'!$C$229</f>
        <v/>
      </c>
      <c r="D229">
        <f>'Previous week scheduled'!$D$229</f>
        <v/>
      </c>
      <c r="E229">
        <f>IF($J229=1,VALUE(LEFT($D229,2)),"")</f>
        <v/>
      </c>
      <c r="F229">
        <f>IF($J229=1,VALUE(MID($D229,9,2)),"")</f>
        <v/>
      </c>
      <c r="G229">
        <f>IF($J229=1,MOD($F229-$E229,24),0)</f>
        <v/>
      </c>
      <c r="H229">
        <f>IF($J229=1,-24+$E229,"")</f>
        <v/>
      </c>
      <c r="I229">
        <f>IF($J229=1,$H229+$G229,"")</f>
        <v/>
      </c>
      <c r="J229">
        <f>IF(ISNUMBER(SEARCH(" - ",$D229&amp;"")),1,0)</f>
        <v/>
      </c>
      <c r="K229">
        <f>IF(AND($J229=1,$I229&gt;0),1,0)</f>
        <v/>
      </c>
      <c r="L229">
        <f>IF($J229=1,$I229,-999)</f>
        <v/>
      </c>
      <c r="M229">
        <f>IF($K229=1,"Counts into Sunday based on natural coverage","No Sunday carryover")</f>
        <v/>
      </c>
    </row>
    <row r="230">
      <c r="A230">
        <f>'Previous week scheduled'!$A$230</f>
        <v/>
      </c>
      <c r="B230">
        <f>'Previous week scheduled'!$B$230</f>
        <v/>
      </c>
      <c r="C230">
        <f>'Previous week scheduled'!$C$230</f>
        <v/>
      </c>
      <c r="D230">
        <f>'Previous week scheduled'!$D$230</f>
        <v/>
      </c>
      <c r="E230">
        <f>IF($J230=1,VALUE(LEFT($D230,2)),"")</f>
        <v/>
      </c>
      <c r="F230">
        <f>IF($J230=1,VALUE(MID($D230,9,2)),"")</f>
        <v/>
      </c>
      <c r="G230">
        <f>IF($J230=1,MOD($F230-$E230,24),0)</f>
        <v/>
      </c>
      <c r="H230">
        <f>IF($J230=1,-24+$E230,"")</f>
        <v/>
      </c>
      <c r="I230">
        <f>IF($J230=1,$H230+$G230,"")</f>
        <v/>
      </c>
      <c r="J230">
        <f>IF(ISNUMBER(SEARCH(" - ",$D230&amp;"")),1,0)</f>
        <v/>
      </c>
      <c r="K230">
        <f>IF(AND($J230=1,$I230&gt;0),1,0)</f>
        <v/>
      </c>
      <c r="L230">
        <f>IF($J230=1,$I230,-999)</f>
        <v/>
      </c>
      <c r="M230">
        <f>IF($K230=1,"Counts into Sunday based on natural coverage","No Sunday carryover")</f>
        <v/>
      </c>
    </row>
    <row r="231">
      <c r="A231">
        <f>'Previous week scheduled'!$A$231</f>
        <v/>
      </c>
      <c r="B231">
        <f>'Previous week scheduled'!$B$231</f>
        <v/>
      </c>
      <c r="C231">
        <f>'Previous week scheduled'!$C$231</f>
        <v/>
      </c>
      <c r="D231">
        <f>'Previous week scheduled'!$D$231</f>
        <v/>
      </c>
      <c r="E231">
        <f>IF($J231=1,VALUE(LEFT($D231,2)),"")</f>
        <v/>
      </c>
      <c r="F231">
        <f>IF($J231=1,VALUE(MID($D231,9,2)),"")</f>
        <v/>
      </c>
      <c r="G231">
        <f>IF($J231=1,MOD($F231-$E231,24),0)</f>
        <v/>
      </c>
      <c r="H231">
        <f>IF($J231=1,-24+$E231,"")</f>
        <v/>
      </c>
      <c r="I231">
        <f>IF($J231=1,$H231+$G231,"")</f>
        <v/>
      </c>
      <c r="J231">
        <f>IF(ISNUMBER(SEARCH(" - ",$D231&amp;"")),1,0)</f>
        <v/>
      </c>
      <c r="K231">
        <f>IF(AND($J231=1,$I231&gt;0),1,0)</f>
        <v/>
      </c>
      <c r="L231">
        <f>IF($J231=1,$I231,-999)</f>
        <v/>
      </c>
      <c r="M231">
        <f>IF($K231=1,"Counts into Sunday based on natural coverage","No Sunday carryover")</f>
        <v/>
      </c>
    </row>
    <row r="232">
      <c r="A232">
        <f>'Previous week scheduled'!$A$232</f>
        <v/>
      </c>
      <c r="B232">
        <f>'Previous week scheduled'!$B$232</f>
        <v/>
      </c>
      <c r="C232">
        <f>'Previous week scheduled'!$C$232</f>
        <v/>
      </c>
      <c r="D232">
        <f>'Previous week scheduled'!$D$232</f>
        <v/>
      </c>
      <c r="E232">
        <f>IF($J232=1,VALUE(LEFT($D232,2)),"")</f>
        <v/>
      </c>
      <c r="F232">
        <f>IF($J232=1,VALUE(MID($D232,9,2)),"")</f>
        <v/>
      </c>
      <c r="G232">
        <f>IF($J232=1,MOD($F232-$E232,24),0)</f>
        <v/>
      </c>
      <c r="H232">
        <f>IF($J232=1,-24+$E232,"")</f>
        <v/>
      </c>
      <c r="I232">
        <f>IF($J232=1,$H232+$G232,"")</f>
        <v/>
      </c>
      <c r="J232">
        <f>IF(ISNUMBER(SEARCH(" - ",$D232&amp;"")),1,0)</f>
        <v/>
      </c>
      <c r="K232">
        <f>IF(AND($J232=1,$I232&gt;0),1,0)</f>
        <v/>
      </c>
      <c r="L232">
        <f>IF($J232=1,$I232,-999)</f>
        <v/>
      </c>
      <c r="M232">
        <f>IF($K232=1,"Counts into Sunday based on natural coverage","No Sunday carryover")</f>
        <v/>
      </c>
    </row>
    <row r="233">
      <c r="A233">
        <f>'Previous week scheduled'!$A$233</f>
        <v/>
      </c>
      <c r="B233">
        <f>'Previous week scheduled'!$B$233</f>
        <v/>
      </c>
      <c r="C233">
        <f>'Previous week scheduled'!$C$233</f>
        <v/>
      </c>
      <c r="D233">
        <f>'Previous week scheduled'!$D$233</f>
        <v/>
      </c>
      <c r="E233">
        <f>IF($J233=1,VALUE(LEFT($D233,2)),"")</f>
        <v/>
      </c>
      <c r="F233">
        <f>IF($J233=1,VALUE(MID($D233,9,2)),"")</f>
        <v/>
      </c>
      <c r="G233">
        <f>IF($J233=1,MOD($F233-$E233,24),0)</f>
        <v/>
      </c>
      <c r="H233">
        <f>IF($J233=1,-24+$E233,"")</f>
        <v/>
      </c>
      <c r="I233">
        <f>IF($J233=1,$H233+$G233,"")</f>
        <v/>
      </c>
      <c r="J233">
        <f>IF(ISNUMBER(SEARCH(" - ",$D233&amp;"")),1,0)</f>
        <v/>
      </c>
      <c r="K233">
        <f>IF(AND($J233=1,$I233&gt;0),1,0)</f>
        <v/>
      </c>
      <c r="L233">
        <f>IF($J233=1,$I233,-999)</f>
        <v/>
      </c>
      <c r="M233">
        <f>IF($K233=1,"Counts into Sunday based on natural coverage","No Sunday carryover")</f>
        <v/>
      </c>
    </row>
    <row r="234">
      <c r="A234">
        <f>'Previous week scheduled'!$A$234</f>
        <v/>
      </c>
      <c r="B234">
        <f>'Previous week scheduled'!$B$234</f>
        <v/>
      </c>
      <c r="C234">
        <f>'Previous week scheduled'!$C$234</f>
        <v/>
      </c>
      <c r="D234">
        <f>'Previous week scheduled'!$D$234</f>
        <v/>
      </c>
      <c r="E234">
        <f>IF($J234=1,VALUE(LEFT($D234,2)),"")</f>
        <v/>
      </c>
      <c r="F234">
        <f>IF($J234=1,VALUE(MID($D234,9,2)),"")</f>
        <v/>
      </c>
      <c r="G234">
        <f>IF($J234=1,MOD($F234-$E234,24),0)</f>
        <v/>
      </c>
      <c r="H234">
        <f>IF($J234=1,-24+$E234,"")</f>
        <v/>
      </c>
      <c r="I234">
        <f>IF($J234=1,$H234+$G234,"")</f>
        <v/>
      </c>
      <c r="J234">
        <f>IF(ISNUMBER(SEARCH(" - ",$D234&amp;"")),1,0)</f>
        <v/>
      </c>
      <c r="K234">
        <f>IF(AND($J234=1,$I234&gt;0),1,0)</f>
        <v/>
      </c>
      <c r="L234">
        <f>IF($J234=1,$I234,-999)</f>
        <v/>
      </c>
      <c r="M234">
        <f>IF($K234=1,"Counts into Sunday based on natural coverage","No Sunday carryover")</f>
        <v/>
      </c>
    </row>
    <row r="235">
      <c r="A235">
        <f>'Previous week scheduled'!$A$235</f>
        <v/>
      </c>
      <c r="B235">
        <f>'Previous week scheduled'!$B$235</f>
        <v/>
      </c>
      <c r="C235">
        <f>'Previous week scheduled'!$C$235</f>
        <v/>
      </c>
      <c r="D235">
        <f>'Previous week scheduled'!$D$235</f>
        <v/>
      </c>
      <c r="E235">
        <f>IF($J235=1,VALUE(LEFT($D235,2)),"")</f>
        <v/>
      </c>
      <c r="F235">
        <f>IF($J235=1,VALUE(MID($D235,9,2)),"")</f>
        <v/>
      </c>
      <c r="G235">
        <f>IF($J235=1,MOD($F235-$E235,24),0)</f>
        <v/>
      </c>
      <c r="H235">
        <f>IF($J235=1,-24+$E235,"")</f>
        <v/>
      </c>
      <c r="I235">
        <f>IF($J235=1,$H235+$G235,"")</f>
        <v/>
      </c>
      <c r="J235">
        <f>IF(ISNUMBER(SEARCH(" - ",$D235&amp;"")),1,0)</f>
        <v/>
      </c>
      <c r="K235">
        <f>IF(AND($J235=1,$I235&gt;0),1,0)</f>
        <v/>
      </c>
      <c r="L235">
        <f>IF($J235=1,$I235,-999)</f>
        <v/>
      </c>
      <c r="M235">
        <f>IF($K235=1,"Counts into Sunday based on natural coverage","No Sunday carryover")</f>
        <v/>
      </c>
    </row>
    <row r="236">
      <c r="A236">
        <f>'Previous week scheduled'!$A$236</f>
        <v/>
      </c>
      <c r="B236">
        <f>'Previous week scheduled'!$B$236</f>
        <v/>
      </c>
      <c r="C236">
        <f>'Previous week scheduled'!$C$236</f>
        <v/>
      </c>
      <c r="D236">
        <f>'Previous week scheduled'!$D$236</f>
        <v/>
      </c>
      <c r="E236">
        <f>IF($J236=1,VALUE(LEFT($D236,2)),"")</f>
        <v/>
      </c>
      <c r="F236">
        <f>IF($J236=1,VALUE(MID($D236,9,2)),"")</f>
        <v/>
      </c>
      <c r="G236">
        <f>IF($J236=1,MOD($F236-$E236,24),0)</f>
        <v/>
      </c>
      <c r="H236">
        <f>IF($J236=1,-24+$E236,"")</f>
        <v/>
      </c>
      <c r="I236">
        <f>IF($J236=1,$H236+$G236,"")</f>
        <v/>
      </c>
      <c r="J236">
        <f>IF(ISNUMBER(SEARCH(" - ",$D236&amp;"")),1,0)</f>
        <v/>
      </c>
      <c r="K236">
        <f>IF(AND($J236=1,$I236&gt;0),1,0)</f>
        <v/>
      </c>
      <c r="L236">
        <f>IF($J236=1,$I236,-999)</f>
        <v/>
      </c>
      <c r="M236">
        <f>IF($K236=1,"Counts into Sunday based on natural coverage","No Sunday carryover")</f>
        <v/>
      </c>
    </row>
    <row r="237">
      <c r="A237">
        <f>'Previous week scheduled'!$A$237</f>
        <v/>
      </c>
      <c r="B237">
        <f>'Previous week scheduled'!$B$237</f>
        <v/>
      </c>
      <c r="C237">
        <f>'Previous week scheduled'!$C$237</f>
        <v/>
      </c>
      <c r="D237">
        <f>'Previous week scheduled'!$D$237</f>
        <v/>
      </c>
      <c r="E237">
        <f>IF($J237=1,VALUE(LEFT($D237,2)),"")</f>
        <v/>
      </c>
      <c r="F237">
        <f>IF($J237=1,VALUE(MID($D237,9,2)),"")</f>
        <v/>
      </c>
      <c r="G237">
        <f>IF($J237=1,MOD($F237-$E237,24),0)</f>
        <v/>
      </c>
      <c r="H237">
        <f>IF($J237=1,-24+$E237,"")</f>
        <v/>
      </c>
      <c r="I237">
        <f>IF($J237=1,$H237+$G237,"")</f>
        <v/>
      </c>
      <c r="J237">
        <f>IF(ISNUMBER(SEARCH(" - ",$D237&amp;"")),1,0)</f>
        <v/>
      </c>
      <c r="K237">
        <f>IF(AND($J237=1,$I237&gt;0),1,0)</f>
        <v/>
      </c>
      <c r="L237">
        <f>IF($J237=1,$I237,-999)</f>
        <v/>
      </c>
      <c r="M237">
        <f>IF($K237=1,"Counts into Sunday based on natural coverage","No Sunday carryover")</f>
        <v/>
      </c>
    </row>
    <row r="238">
      <c r="A238">
        <f>'Previous week scheduled'!$A$238</f>
        <v/>
      </c>
      <c r="B238">
        <f>'Previous week scheduled'!$B$238</f>
        <v/>
      </c>
      <c r="C238">
        <f>'Previous week scheduled'!$C$238</f>
        <v/>
      </c>
      <c r="D238">
        <f>'Previous week scheduled'!$D$238</f>
        <v/>
      </c>
      <c r="E238">
        <f>IF($J238=1,VALUE(LEFT($D238,2)),"")</f>
        <v/>
      </c>
      <c r="F238">
        <f>IF($J238=1,VALUE(MID($D238,9,2)),"")</f>
        <v/>
      </c>
      <c r="G238">
        <f>IF($J238=1,MOD($F238-$E238,24),0)</f>
        <v/>
      </c>
      <c r="H238">
        <f>IF($J238=1,-24+$E238,"")</f>
        <v/>
      </c>
      <c r="I238">
        <f>IF($J238=1,$H238+$G238,"")</f>
        <v/>
      </c>
      <c r="J238">
        <f>IF(ISNUMBER(SEARCH(" - ",$D238&amp;"")),1,0)</f>
        <v/>
      </c>
      <c r="K238">
        <f>IF(AND($J238=1,$I238&gt;0),1,0)</f>
        <v/>
      </c>
      <c r="L238">
        <f>IF($J238=1,$I238,-999)</f>
        <v/>
      </c>
      <c r="M238">
        <f>IF($K238=1,"Counts into Sunday based on natural coverage","No Sunday carryover")</f>
        <v/>
      </c>
    </row>
    <row r="239">
      <c r="A239">
        <f>'Previous week scheduled'!$A$239</f>
        <v/>
      </c>
      <c r="B239">
        <f>'Previous week scheduled'!$B$239</f>
        <v/>
      </c>
      <c r="C239">
        <f>'Previous week scheduled'!$C$239</f>
        <v/>
      </c>
      <c r="D239">
        <f>'Previous week scheduled'!$D$239</f>
        <v/>
      </c>
      <c r="E239">
        <f>IF($J239=1,VALUE(LEFT($D239,2)),"")</f>
        <v/>
      </c>
      <c r="F239">
        <f>IF($J239=1,VALUE(MID($D239,9,2)),"")</f>
        <v/>
      </c>
      <c r="G239">
        <f>IF($J239=1,MOD($F239-$E239,24),0)</f>
        <v/>
      </c>
      <c r="H239">
        <f>IF($J239=1,-24+$E239,"")</f>
        <v/>
      </c>
      <c r="I239">
        <f>IF($J239=1,$H239+$G239,"")</f>
        <v/>
      </c>
      <c r="J239">
        <f>IF(ISNUMBER(SEARCH(" - ",$D239&amp;"")),1,0)</f>
        <v/>
      </c>
      <c r="K239">
        <f>IF(AND($J239=1,$I239&gt;0),1,0)</f>
        <v/>
      </c>
      <c r="L239">
        <f>IF($J239=1,$I239,-999)</f>
        <v/>
      </c>
      <c r="M239">
        <f>IF($K239=1,"Counts into Sunday based on natural coverage","No Sunday carryover")</f>
        <v/>
      </c>
    </row>
    <row r="240">
      <c r="A240">
        <f>'Previous week scheduled'!$A$240</f>
        <v/>
      </c>
      <c r="B240">
        <f>'Previous week scheduled'!$B$240</f>
        <v/>
      </c>
      <c r="C240">
        <f>'Previous week scheduled'!$C$240</f>
        <v/>
      </c>
      <c r="D240">
        <f>'Previous week scheduled'!$D$240</f>
        <v/>
      </c>
      <c r="E240">
        <f>IF($J240=1,VALUE(LEFT($D240,2)),"")</f>
        <v/>
      </c>
      <c r="F240">
        <f>IF($J240=1,VALUE(MID($D240,9,2)),"")</f>
        <v/>
      </c>
      <c r="G240">
        <f>IF($J240=1,MOD($F240-$E240,24),0)</f>
        <v/>
      </c>
      <c r="H240">
        <f>IF($J240=1,-24+$E240,"")</f>
        <v/>
      </c>
      <c r="I240">
        <f>IF($J240=1,$H240+$G240,"")</f>
        <v/>
      </c>
      <c r="J240">
        <f>IF(ISNUMBER(SEARCH(" - ",$D240&amp;"")),1,0)</f>
        <v/>
      </c>
      <c r="K240">
        <f>IF(AND($J240=1,$I240&gt;0),1,0)</f>
        <v/>
      </c>
      <c r="L240">
        <f>IF($J240=1,$I240,-999)</f>
        <v/>
      </c>
      <c r="M240">
        <f>IF($K240=1,"Counts into Sunday based on natural coverage","No Sunday carryover")</f>
        <v/>
      </c>
    </row>
    <row r="241">
      <c r="A241">
        <f>'Previous week scheduled'!$A$241</f>
        <v/>
      </c>
      <c r="B241">
        <f>'Previous week scheduled'!$B$241</f>
        <v/>
      </c>
      <c r="C241">
        <f>'Previous week scheduled'!$C$241</f>
        <v/>
      </c>
      <c r="D241">
        <f>'Previous week scheduled'!$D$241</f>
        <v/>
      </c>
      <c r="E241">
        <f>IF($J241=1,VALUE(LEFT($D241,2)),"")</f>
        <v/>
      </c>
      <c r="F241">
        <f>IF($J241=1,VALUE(MID($D241,9,2)),"")</f>
        <v/>
      </c>
      <c r="G241">
        <f>IF($J241=1,MOD($F241-$E241,24),0)</f>
        <v/>
      </c>
      <c r="H241">
        <f>IF($J241=1,-24+$E241,"")</f>
        <v/>
      </c>
      <c r="I241">
        <f>IF($J241=1,$H241+$G241,"")</f>
        <v/>
      </c>
      <c r="J241">
        <f>IF(ISNUMBER(SEARCH(" - ",$D241&amp;"")),1,0)</f>
        <v/>
      </c>
      <c r="K241">
        <f>IF(AND($J241=1,$I241&gt;0),1,0)</f>
        <v/>
      </c>
      <c r="L241">
        <f>IF($J241=1,$I241,-999)</f>
        <v/>
      </c>
      <c r="M241">
        <f>IF($K241=1,"Counts into Sunday based on natural coverage","No Sunday carryover")</f>
        <v/>
      </c>
    </row>
    <row r="242">
      <c r="A242">
        <f>'Previous week scheduled'!$A$242</f>
        <v/>
      </c>
      <c r="B242">
        <f>'Previous week scheduled'!$B$242</f>
        <v/>
      </c>
      <c r="C242">
        <f>'Previous week scheduled'!$C$242</f>
        <v/>
      </c>
      <c r="D242">
        <f>'Previous week scheduled'!$D$242</f>
        <v/>
      </c>
      <c r="E242">
        <f>IF($J242=1,VALUE(LEFT($D242,2)),"")</f>
        <v/>
      </c>
      <c r="F242">
        <f>IF($J242=1,VALUE(MID($D242,9,2)),"")</f>
        <v/>
      </c>
      <c r="G242">
        <f>IF($J242=1,MOD($F242-$E242,24),0)</f>
        <v/>
      </c>
      <c r="H242">
        <f>IF($J242=1,-24+$E242,"")</f>
        <v/>
      </c>
      <c r="I242">
        <f>IF($J242=1,$H242+$G242,"")</f>
        <v/>
      </c>
      <c r="J242">
        <f>IF(ISNUMBER(SEARCH(" - ",$D242&amp;"")),1,0)</f>
        <v/>
      </c>
      <c r="K242">
        <f>IF(AND($J242=1,$I242&gt;0),1,0)</f>
        <v/>
      </c>
      <c r="L242">
        <f>IF($J242=1,$I242,-999)</f>
        <v/>
      </c>
      <c r="M242">
        <f>IF($K242=1,"Counts into Sunday based on natural coverage","No Sunday carryover")</f>
        <v/>
      </c>
    </row>
    <row r="243">
      <c r="A243">
        <f>'Previous week scheduled'!$A$243</f>
        <v/>
      </c>
      <c r="B243">
        <f>'Previous week scheduled'!$B$243</f>
        <v/>
      </c>
      <c r="C243">
        <f>'Previous week scheduled'!$C$243</f>
        <v/>
      </c>
      <c r="D243">
        <f>'Previous week scheduled'!$D$243</f>
        <v/>
      </c>
      <c r="E243">
        <f>IF($J243=1,VALUE(LEFT($D243,2)),"")</f>
        <v/>
      </c>
      <c r="F243">
        <f>IF($J243=1,VALUE(MID($D243,9,2)),"")</f>
        <v/>
      </c>
      <c r="G243">
        <f>IF($J243=1,MOD($F243-$E243,24),0)</f>
        <v/>
      </c>
      <c r="H243">
        <f>IF($J243=1,-24+$E243,"")</f>
        <v/>
      </c>
      <c r="I243">
        <f>IF($J243=1,$H243+$G243,"")</f>
        <v/>
      </c>
      <c r="J243">
        <f>IF(ISNUMBER(SEARCH(" - ",$D243&amp;"")),1,0)</f>
        <v/>
      </c>
      <c r="K243">
        <f>IF(AND($J243=1,$I243&gt;0),1,0)</f>
        <v/>
      </c>
      <c r="L243">
        <f>IF($J243=1,$I243,-999)</f>
        <v/>
      </c>
      <c r="M243">
        <f>IF($K243=1,"Counts into Sunday based on natural coverage","No Sunday carryover")</f>
        <v/>
      </c>
    </row>
    <row r="244">
      <c r="A244">
        <f>'Previous week scheduled'!$A$244</f>
        <v/>
      </c>
      <c r="B244">
        <f>'Previous week scheduled'!$B$244</f>
        <v/>
      </c>
      <c r="C244">
        <f>'Previous week scheduled'!$C$244</f>
        <v/>
      </c>
      <c r="D244">
        <f>'Previous week scheduled'!$D$244</f>
        <v/>
      </c>
      <c r="E244">
        <f>IF($J244=1,VALUE(LEFT($D244,2)),"")</f>
        <v/>
      </c>
      <c r="F244">
        <f>IF($J244=1,VALUE(MID($D244,9,2)),"")</f>
        <v/>
      </c>
      <c r="G244">
        <f>IF($J244=1,MOD($F244-$E244,24),0)</f>
        <v/>
      </c>
      <c r="H244">
        <f>IF($J244=1,-24+$E244,"")</f>
        <v/>
      </c>
      <c r="I244">
        <f>IF($J244=1,$H244+$G244,"")</f>
        <v/>
      </c>
      <c r="J244">
        <f>IF(ISNUMBER(SEARCH(" - ",$D244&amp;"")),1,0)</f>
        <v/>
      </c>
      <c r="K244">
        <f>IF(AND($J244=1,$I244&gt;0),1,0)</f>
        <v/>
      </c>
      <c r="L244">
        <f>IF($J244=1,$I244,-999)</f>
        <v/>
      </c>
      <c r="M244">
        <f>IF($K244=1,"Counts into Sunday based on natural coverage","No Sunday carryover")</f>
        <v/>
      </c>
    </row>
    <row r="245">
      <c r="A245">
        <f>'Previous week scheduled'!$A$245</f>
        <v/>
      </c>
      <c r="B245">
        <f>'Previous week scheduled'!$B$245</f>
        <v/>
      </c>
      <c r="C245">
        <f>'Previous week scheduled'!$C$245</f>
        <v/>
      </c>
      <c r="D245">
        <f>'Previous week scheduled'!$D$245</f>
        <v/>
      </c>
      <c r="E245">
        <f>IF($J245=1,VALUE(LEFT($D245,2)),"")</f>
        <v/>
      </c>
      <c r="F245">
        <f>IF($J245=1,VALUE(MID($D245,9,2)),"")</f>
        <v/>
      </c>
      <c r="G245">
        <f>IF($J245=1,MOD($F245-$E245,24),0)</f>
        <v/>
      </c>
      <c r="H245">
        <f>IF($J245=1,-24+$E245,"")</f>
        <v/>
      </c>
      <c r="I245">
        <f>IF($J245=1,$H245+$G245,"")</f>
        <v/>
      </c>
      <c r="J245">
        <f>IF(ISNUMBER(SEARCH(" - ",$D245&amp;"")),1,0)</f>
        <v/>
      </c>
      <c r="K245">
        <f>IF(AND($J245=1,$I245&gt;0),1,0)</f>
        <v/>
      </c>
      <c r="L245">
        <f>IF($J245=1,$I245,-999)</f>
        <v/>
      </c>
      <c r="M245">
        <f>IF($K245=1,"Counts into Sunday based on natural coverage","No Sunday carryover")</f>
        <v/>
      </c>
    </row>
    <row r="246">
      <c r="A246">
        <f>'Previous week scheduled'!$A$246</f>
        <v/>
      </c>
      <c r="B246">
        <f>'Previous week scheduled'!$B$246</f>
        <v/>
      </c>
      <c r="C246">
        <f>'Previous week scheduled'!$C$246</f>
        <v/>
      </c>
      <c r="D246">
        <f>'Previous week scheduled'!$D$246</f>
        <v/>
      </c>
      <c r="E246">
        <f>IF($J246=1,VALUE(LEFT($D246,2)),"")</f>
        <v/>
      </c>
      <c r="F246">
        <f>IF($J246=1,VALUE(MID($D246,9,2)),"")</f>
        <v/>
      </c>
      <c r="G246">
        <f>IF($J246=1,MOD($F246-$E246,24),0)</f>
        <v/>
      </c>
      <c r="H246">
        <f>IF($J246=1,-24+$E246,"")</f>
        <v/>
      </c>
      <c r="I246">
        <f>IF($J246=1,$H246+$G246,"")</f>
        <v/>
      </c>
      <c r="J246">
        <f>IF(ISNUMBER(SEARCH(" - ",$D246&amp;"")),1,0)</f>
        <v/>
      </c>
      <c r="K246">
        <f>IF(AND($J246=1,$I246&gt;0),1,0)</f>
        <v/>
      </c>
      <c r="L246">
        <f>IF($J246=1,$I246,-999)</f>
        <v/>
      </c>
      <c r="M246">
        <f>IF($K246=1,"Counts into Sunday based on natural coverage","No Sunday carryover")</f>
        <v/>
      </c>
    </row>
    <row r="247">
      <c r="A247">
        <f>'Previous week scheduled'!$A$247</f>
        <v/>
      </c>
      <c r="B247">
        <f>'Previous week scheduled'!$B$247</f>
        <v/>
      </c>
      <c r="C247">
        <f>'Previous week scheduled'!$C$247</f>
        <v/>
      </c>
      <c r="D247">
        <f>'Previous week scheduled'!$D$247</f>
        <v/>
      </c>
      <c r="E247">
        <f>IF($J247=1,VALUE(LEFT($D247,2)),"")</f>
        <v/>
      </c>
      <c r="F247">
        <f>IF($J247=1,VALUE(MID($D247,9,2)),"")</f>
        <v/>
      </c>
      <c r="G247">
        <f>IF($J247=1,MOD($F247-$E247,24),0)</f>
        <v/>
      </c>
      <c r="H247">
        <f>IF($J247=1,-24+$E247,"")</f>
        <v/>
      </c>
      <c r="I247">
        <f>IF($J247=1,$H247+$G247,"")</f>
        <v/>
      </c>
      <c r="J247">
        <f>IF(ISNUMBER(SEARCH(" - ",$D247&amp;"")),1,0)</f>
        <v/>
      </c>
      <c r="K247">
        <f>IF(AND($J247=1,$I247&gt;0),1,0)</f>
        <v/>
      </c>
      <c r="L247">
        <f>IF($J247=1,$I247,-999)</f>
        <v/>
      </c>
      <c r="M247">
        <f>IF($K247=1,"Counts into Sunday based on natural coverage","No Sunday carryover")</f>
        <v/>
      </c>
    </row>
    <row r="248">
      <c r="A248">
        <f>'Previous week scheduled'!$A$248</f>
        <v/>
      </c>
      <c r="B248">
        <f>'Previous week scheduled'!$B$248</f>
        <v/>
      </c>
      <c r="C248">
        <f>'Previous week scheduled'!$C$248</f>
        <v/>
      </c>
      <c r="D248">
        <f>'Previous week scheduled'!$D$248</f>
        <v/>
      </c>
      <c r="E248">
        <f>IF($J248=1,VALUE(LEFT($D248,2)),"")</f>
        <v/>
      </c>
      <c r="F248">
        <f>IF($J248=1,VALUE(MID($D248,9,2)),"")</f>
        <v/>
      </c>
      <c r="G248">
        <f>IF($J248=1,MOD($F248-$E248,24),0)</f>
        <v/>
      </c>
      <c r="H248">
        <f>IF($J248=1,-24+$E248,"")</f>
        <v/>
      </c>
      <c r="I248">
        <f>IF($J248=1,$H248+$G248,"")</f>
        <v/>
      </c>
      <c r="J248">
        <f>IF(ISNUMBER(SEARCH(" - ",$D248&amp;"")),1,0)</f>
        <v/>
      </c>
      <c r="K248">
        <f>IF(AND($J248=1,$I248&gt;0),1,0)</f>
        <v/>
      </c>
      <c r="L248">
        <f>IF($J248=1,$I248,-999)</f>
        <v/>
      </c>
      <c r="M248">
        <f>IF($K248=1,"Counts into Sunday based on natural coverage","No Sunday carryover")</f>
        <v/>
      </c>
    </row>
    <row r="249">
      <c r="A249">
        <f>'Previous week scheduled'!$A$249</f>
        <v/>
      </c>
      <c r="B249">
        <f>'Previous week scheduled'!$B$249</f>
        <v/>
      </c>
      <c r="C249">
        <f>'Previous week scheduled'!$C$249</f>
        <v/>
      </c>
      <c r="D249">
        <f>'Previous week scheduled'!$D$249</f>
        <v/>
      </c>
      <c r="E249">
        <f>IF($J249=1,VALUE(LEFT($D249,2)),"")</f>
        <v/>
      </c>
      <c r="F249">
        <f>IF($J249=1,VALUE(MID($D249,9,2)),"")</f>
        <v/>
      </c>
      <c r="G249">
        <f>IF($J249=1,MOD($F249-$E249,24),0)</f>
        <v/>
      </c>
      <c r="H249">
        <f>IF($J249=1,-24+$E249,"")</f>
        <v/>
      </c>
      <c r="I249">
        <f>IF($J249=1,$H249+$G249,"")</f>
        <v/>
      </c>
      <c r="J249">
        <f>IF(ISNUMBER(SEARCH(" - ",$D249&amp;"")),1,0)</f>
        <v/>
      </c>
      <c r="K249">
        <f>IF(AND($J249=1,$I249&gt;0),1,0)</f>
        <v/>
      </c>
      <c r="L249">
        <f>IF($J249=1,$I249,-999)</f>
        <v/>
      </c>
      <c r="M249">
        <f>IF($K249=1,"Counts into Sunday based on natural coverage","No Sunday carryover")</f>
        <v/>
      </c>
    </row>
    <row r="250">
      <c r="A250">
        <f>'Previous week scheduled'!$A$250</f>
        <v/>
      </c>
      <c r="B250">
        <f>'Previous week scheduled'!$B$250</f>
        <v/>
      </c>
      <c r="C250">
        <f>'Previous week scheduled'!$C$250</f>
        <v/>
      </c>
      <c r="D250">
        <f>'Previous week scheduled'!$D$250</f>
        <v/>
      </c>
      <c r="E250">
        <f>IF($J250=1,VALUE(LEFT($D250,2)),"")</f>
        <v/>
      </c>
      <c r="F250">
        <f>IF($J250=1,VALUE(MID($D250,9,2)),"")</f>
        <v/>
      </c>
      <c r="G250">
        <f>IF($J250=1,MOD($F250-$E250,24),0)</f>
        <v/>
      </c>
      <c r="H250">
        <f>IF($J250=1,-24+$E250,"")</f>
        <v/>
      </c>
      <c r="I250">
        <f>IF($J250=1,$H250+$G250,"")</f>
        <v/>
      </c>
      <c r="J250">
        <f>IF(ISNUMBER(SEARCH(" - ",$D250&amp;"")),1,0)</f>
        <v/>
      </c>
      <c r="K250">
        <f>IF(AND($J250=1,$I250&gt;0),1,0)</f>
        <v/>
      </c>
      <c r="L250">
        <f>IF($J250=1,$I250,-999)</f>
        <v/>
      </c>
      <c r="M250">
        <f>IF($K250=1,"Counts into Sunday based on natural coverage","No Sunday carryover")</f>
        <v/>
      </c>
    </row>
    <row r="251">
      <c r="A251">
        <f>'Previous week scheduled'!$A$251</f>
        <v/>
      </c>
      <c r="B251">
        <f>'Previous week scheduled'!$B$251</f>
        <v/>
      </c>
      <c r="C251">
        <f>'Previous week scheduled'!$C$251</f>
        <v/>
      </c>
      <c r="D251">
        <f>'Previous week scheduled'!$D$251</f>
        <v/>
      </c>
      <c r="E251">
        <f>IF($J251=1,VALUE(LEFT($D251,2)),"")</f>
        <v/>
      </c>
      <c r="F251">
        <f>IF($J251=1,VALUE(MID($D251,9,2)),"")</f>
        <v/>
      </c>
      <c r="G251">
        <f>IF($J251=1,MOD($F251-$E251,24),0)</f>
        <v/>
      </c>
      <c r="H251">
        <f>IF($J251=1,-24+$E251,"")</f>
        <v/>
      </c>
      <c r="I251">
        <f>IF($J251=1,$H251+$G251,"")</f>
        <v/>
      </c>
      <c r="J251">
        <f>IF(ISNUMBER(SEARCH(" - ",$D251&amp;"")),1,0)</f>
        <v/>
      </c>
      <c r="K251">
        <f>IF(AND($J251=1,$I251&gt;0),1,0)</f>
        <v/>
      </c>
      <c r="L251">
        <f>IF($J251=1,$I251,-999)</f>
        <v/>
      </c>
      <c r="M251">
        <f>IF($K251=1,"Counts into Sunday based on natural coverage","No Sunday carryover")</f>
        <v/>
      </c>
    </row>
  </sheetData>
  <autoFilter ref="A1:K25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8" customWidth="1" style="45" min="1" max="1"/>
    <col width="25" customWidth="1" style="45" min="2" max="2"/>
    <col width="14" customWidth="1" style="45" min="3" max="3"/>
    <col width="16" customWidth="1" style="45" min="4" max="10"/>
  </cols>
  <sheetData>
    <row r="1">
      <c r="A1" s="6" t="inlineStr">
        <is>
          <t>Slot</t>
        </is>
      </c>
      <c r="B1" s="6" t="inlineStr">
        <is>
          <t>Name</t>
        </is>
      </c>
      <c r="C1" s="6" t="inlineStr">
        <is>
          <t>Language</t>
        </is>
      </c>
      <c r="D1" s="6" t="inlineStr">
        <is>
          <t>Sun</t>
        </is>
      </c>
      <c r="E1" s="6" t="inlineStr">
        <is>
          <t>Mon</t>
        </is>
      </c>
      <c r="F1" s="6" t="inlineStr">
        <is>
          <t>Tue</t>
        </is>
      </c>
      <c r="G1" s="6" t="inlineStr">
        <is>
          <t>Wed</t>
        </is>
      </c>
      <c r="H1" s="6" t="inlineStr">
        <is>
          <t>Thu</t>
        </is>
      </c>
      <c r="I1" s="6" t="inlineStr">
        <is>
          <t>Fri</t>
        </is>
      </c>
      <c r="J1" s="6" t="inlineStr">
        <is>
          <t>Sat</t>
        </is>
      </c>
    </row>
    <row r="2">
      <c r="A2" s="5" t="n">
        <v>1</v>
      </c>
      <c r="B2" s="5" t="inlineStr">
        <is>
          <t>Esraa Abdelhadi</t>
        </is>
      </c>
      <c r="C2" s="5" t="inlineStr">
        <is>
          <t>UK</t>
        </is>
      </c>
      <c r="D2" s="5" t="inlineStr">
        <is>
          <t>11:00 - 20:00</t>
        </is>
      </c>
      <c r="E2" s="5" t="inlineStr">
        <is>
          <t>22:00 - 07:00</t>
        </is>
      </c>
      <c r="F2" s="5" t="inlineStr">
        <is>
          <t>22:00 - 07:00</t>
        </is>
      </c>
      <c r="G2" s="5" t="inlineStr">
        <is>
          <t>22:00 - 07:00</t>
        </is>
      </c>
      <c r="H2" s="5" t="inlineStr">
        <is>
          <t>OFF</t>
        </is>
      </c>
      <c r="I2" s="5" t="inlineStr">
        <is>
          <t>OFF</t>
        </is>
      </c>
      <c r="J2" s="5" t="inlineStr">
        <is>
          <t>11:00 - 20:00</t>
        </is>
      </c>
    </row>
    <row r="3">
      <c r="A3" s="5" t="n">
        <v>2</v>
      </c>
      <c r="B3" s="5" t="inlineStr">
        <is>
          <t>Seif Eleman</t>
        </is>
      </c>
      <c r="C3" s="5" t="inlineStr">
        <is>
          <t>Bilingual</t>
        </is>
      </c>
      <c r="D3" s="5" t="inlineStr">
        <is>
          <t>19:00 - 04:00</t>
        </is>
      </c>
      <c r="E3" s="5" t="inlineStr">
        <is>
          <t>OFF</t>
        </is>
      </c>
      <c r="F3" s="5" t="inlineStr">
        <is>
          <t>OFF</t>
        </is>
      </c>
      <c r="G3" s="5" t="inlineStr">
        <is>
          <t>16:00 - 01:00</t>
        </is>
      </c>
      <c r="H3" s="5" t="inlineStr">
        <is>
          <t>16:00 - 01:00</t>
        </is>
      </c>
      <c r="I3" s="5" t="inlineStr">
        <is>
          <t>16:00 - 01:00</t>
        </is>
      </c>
      <c r="J3" s="5" t="inlineStr">
        <is>
          <t>15:00 - 00:00</t>
        </is>
      </c>
    </row>
    <row r="4">
      <c r="A4" s="5" t="n">
        <v>3</v>
      </c>
      <c r="B4" s="5" t="inlineStr">
        <is>
          <t>Mohamed Elsayed</t>
        </is>
      </c>
      <c r="C4" s="5" t="inlineStr">
        <is>
          <t>UK</t>
        </is>
      </c>
      <c r="D4" s="5" t="inlineStr">
        <is>
          <t>OFF</t>
        </is>
      </c>
      <c r="E4" s="5" t="inlineStr">
        <is>
          <t>11:00 - 20:00</t>
        </is>
      </c>
      <c r="F4" s="5" t="inlineStr">
        <is>
          <t>11:00 - 20:00</t>
        </is>
      </c>
      <c r="G4" s="5" t="inlineStr">
        <is>
          <t>16:00 - 01:00</t>
        </is>
      </c>
      <c r="H4" s="5" t="inlineStr">
        <is>
          <t>22:00 - 07:00</t>
        </is>
      </c>
      <c r="I4" s="5" t="inlineStr">
        <is>
          <t>22:00 - 07:00</t>
        </is>
      </c>
      <c r="J4" s="5" t="inlineStr">
        <is>
          <t>OFF</t>
        </is>
      </c>
    </row>
    <row r="5">
      <c r="A5" s="5" t="n">
        <v>4</v>
      </c>
      <c r="B5" s="5" t="inlineStr">
        <is>
          <t>Mennatullah Abdelhamid</t>
        </is>
      </c>
      <c r="C5" s="5" t="inlineStr">
        <is>
          <t>UK</t>
        </is>
      </c>
      <c r="D5" s="5" t="inlineStr">
        <is>
          <t>16:00 - 01:00</t>
        </is>
      </c>
      <c r="E5" s="5" t="inlineStr">
        <is>
          <t>22:00 - 07:00</t>
        </is>
      </c>
      <c r="F5" s="5" t="inlineStr">
        <is>
          <t>20:00 - 05:00</t>
        </is>
      </c>
      <c r="G5" s="5" t="inlineStr">
        <is>
          <t>OFF</t>
        </is>
      </c>
      <c r="H5" s="5" t="inlineStr">
        <is>
          <t>22:00 - 07:00</t>
        </is>
      </c>
      <c r="I5" s="5" t="inlineStr">
        <is>
          <t>OFF</t>
        </is>
      </c>
      <c r="J5" s="5" t="inlineStr">
        <is>
          <t>16:00 - 01:00</t>
        </is>
      </c>
    </row>
    <row r="6">
      <c r="A6" s="5" t="n">
        <v>5</v>
      </c>
      <c r="B6" s="5" t="inlineStr">
        <is>
          <t>Awni Ali</t>
        </is>
      </c>
      <c r="C6" s="5" t="inlineStr">
        <is>
          <t>French</t>
        </is>
      </c>
      <c r="D6" s="5" t="inlineStr">
        <is>
          <t>15:00 - 00:00</t>
        </is>
      </c>
      <c r="E6" s="5" t="inlineStr">
        <is>
          <t>13:00 - 22:00</t>
        </is>
      </c>
      <c r="F6" s="5" t="inlineStr">
        <is>
          <t>22:00 - 07:00</t>
        </is>
      </c>
      <c r="G6" s="5" t="inlineStr">
        <is>
          <t>22:00 - 07:00</t>
        </is>
      </c>
      <c r="H6" s="5" t="inlineStr">
        <is>
          <t>OFF</t>
        </is>
      </c>
      <c r="I6" s="5" t="inlineStr">
        <is>
          <t>OFF</t>
        </is>
      </c>
      <c r="J6" s="5" t="inlineStr">
        <is>
          <t>15:00 - 00:00</t>
        </is>
      </c>
    </row>
    <row r="7">
      <c r="A7" s="5" t="n">
        <v>6</v>
      </c>
      <c r="B7" s="5" t="inlineStr">
        <is>
          <t>Jana Rabeey</t>
        </is>
      </c>
      <c r="C7" s="5" t="inlineStr">
        <is>
          <t>Bilingual</t>
        </is>
      </c>
      <c r="D7" s="5" t="inlineStr">
        <is>
          <t>17:00 - 04:00</t>
        </is>
      </c>
      <c r="E7" s="5" t="inlineStr">
        <is>
          <t>20:00 - 07:00</t>
        </is>
      </c>
      <c r="F7" s="5" t="inlineStr">
        <is>
          <t>OFF</t>
        </is>
      </c>
      <c r="G7" s="5" t="inlineStr">
        <is>
          <t>OFF</t>
        </is>
      </c>
      <c r="H7" s="5" t="inlineStr">
        <is>
          <t>OFF</t>
        </is>
      </c>
      <c r="I7" s="5" t="inlineStr">
        <is>
          <t>17:00 - 04:00</t>
        </is>
      </c>
      <c r="J7" s="5" t="inlineStr">
        <is>
          <t>16:00 - 03:00</t>
        </is>
      </c>
    </row>
    <row r="8">
      <c r="A8" s="5" t="n">
        <v>7</v>
      </c>
      <c r="B8" s="5" t="inlineStr">
        <is>
          <t>Wagih Ibrahim</t>
        </is>
      </c>
      <c r="C8" s="5" t="inlineStr">
        <is>
          <t>English</t>
        </is>
      </c>
      <c r="D8" s="5" t="inlineStr">
        <is>
          <t>16:00 - 03:00</t>
        </is>
      </c>
      <c r="E8" s="5" t="inlineStr">
        <is>
          <t>16:00 - 03:00</t>
        </is>
      </c>
      <c r="F8" s="5" t="inlineStr">
        <is>
          <t>18:00 - 05:00</t>
        </is>
      </c>
      <c r="G8" s="5" t="inlineStr">
        <is>
          <t>OFF</t>
        </is>
      </c>
      <c r="H8" s="5" t="inlineStr">
        <is>
          <t>17:00 - 04:00</t>
        </is>
      </c>
      <c r="I8" s="5" t="inlineStr">
        <is>
          <t>OFF</t>
        </is>
      </c>
      <c r="J8" s="5" t="inlineStr">
        <is>
          <t>OFF</t>
        </is>
      </c>
    </row>
    <row r="9">
      <c r="A9" s="5" t="n">
        <v>8</v>
      </c>
      <c r="B9" s="5" t="inlineStr">
        <is>
          <t>Youssef Eltembari</t>
        </is>
      </c>
      <c r="C9" s="5" t="inlineStr">
        <is>
          <t>UK</t>
        </is>
      </c>
      <c r="D9" s="5" t="inlineStr">
        <is>
          <t>19:00 - 04:00</t>
        </is>
      </c>
      <c r="E9" s="5" t="inlineStr">
        <is>
          <t>22:00 - 07:00</t>
        </is>
      </c>
      <c r="F9" s="5" t="inlineStr">
        <is>
          <t>22:00 - 07:00</t>
        </is>
      </c>
      <c r="G9" s="5" t="inlineStr">
        <is>
          <t>22:00 - 07:00</t>
        </is>
      </c>
      <c r="H9" s="5" t="inlineStr">
        <is>
          <t>OFF</t>
        </is>
      </c>
      <c r="I9" s="5" t="inlineStr">
        <is>
          <t>OFF</t>
        </is>
      </c>
      <c r="J9" s="5" t="inlineStr">
        <is>
          <t>15:00 - 00:00</t>
        </is>
      </c>
    </row>
    <row r="10">
      <c r="A10" s="5" t="n">
        <v>9</v>
      </c>
      <c r="B10" s="5" t="inlineStr">
        <is>
          <t>Adam Ahmed</t>
        </is>
      </c>
      <c r="C10" s="5" t="inlineStr">
        <is>
          <t>UK</t>
        </is>
      </c>
      <c r="D10" s="5" t="inlineStr">
        <is>
          <t>OFF</t>
        </is>
      </c>
      <c r="E10" s="5" t="inlineStr">
        <is>
          <t>OFF</t>
        </is>
      </c>
      <c r="F10" s="5" t="inlineStr">
        <is>
          <t>16:00 - 01:00</t>
        </is>
      </c>
      <c r="G10" s="5" t="inlineStr">
        <is>
          <t>16:00 - 01:00</t>
        </is>
      </c>
      <c r="H10" s="5" t="inlineStr">
        <is>
          <t>16:00 - 01:00</t>
        </is>
      </c>
      <c r="I10" s="5" t="inlineStr">
        <is>
          <t>16:00 - 01:00</t>
        </is>
      </c>
      <c r="J10" s="5" t="inlineStr">
        <is>
          <t>16:00 - 01:00</t>
        </is>
      </c>
    </row>
    <row r="11">
      <c r="A11" s="5" t="n">
        <v>10</v>
      </c>
      <c r="B11" s="5" t="inlineStr">
        <is>
          <t>Badr Kariem</t>
        </is>
      </c>
      <c r="C11" s="5" t="inlineStr">
        <is>
          <t>English</t>
        </is>
      </c>
      <c r="D11" s="5" t="inlineStr">
        <is>
          <t>19:00 - 04:00</t>
        </is>
      </c>
      <c r="E11" s="5" t="inlineStr">
        <is>
          <t>16:00 - 01:00</t>
        </is>
      </c>
      <c r="F11" s="5" t="inlineStr">
        <is>
          <t>16:00 - 01:00</t>
        </is>
      </c>
      <c r="G11" s="5" t="inlineStr">
        <is>
          <t>OFF</t>
        </is>
      </c>
      <c r="H11" s="5" t="inlineStr">
        <is>
          <t>OFF</t>
        </is>
      </c>
      <c r="I11" s="5" t="inlineStr">
        <is>
          <t>16:00 - 01:00</t>
        </is>
      </c>
      <c r="J11" s="5" t="inlineStr">
        <is>
          <t>15:00 - 00:00</t>
        </is>
      </c>
    </row>
    <row r="12">
      <c r="A12" s="5" t="n">
        <v>11</v>
      </c>
      <c r="B12" s="5" t="inlineStr">
        <is>
          <t>Juliana Amgad</t>
        </is>
      </c>
      <c r="C12" s="5" t="inlineStr">
        <is>
          <t>French</t>
        </is>
      </c>
      <c r="D12" s="5" t="inlineStr">
        <is>
          <t>19:00 - 04:00</t>
        </is>
      </c>
      <c r="E12" s="5" t="inlineStr">
        <is>
          <t>OFF</t>
        </is>
      </c>
      <c r="F12" s="5" t="inlineStr">
        <is>
          <t>OFF</t>
        </is>
      </c>
      <c r="G12" s="5" t="inlineStr">
        <is>
          <t>22:00 - 07:00</t>
        </is>
      </c>
      <c r="H12" s="5" t="inlineStr">
        <is>
          <t>19:00 - 04:00</t>
        </is>
      </c>
      <c r="I12" s="5" t="inlineStr">
        <is>
          <t>19:00 - 04:00</t>
        </is>
      </c>
      <c r="J12" s="5" t="inlineStr">
        <is>
          <t>18:00 - 03:00</t>
        </is>
      </c>
    </row>
    <row r="13">
      <c r="A13" s="5" t="n">
        <v>12</v>
      </c>
      <c r="B13" s="5" t="inlineStr">
        <is>
          <t>Mazen Moustafa</t>
        </is>
      </c>
      <c r="C13" s="5" t="inlineStr">
        <is>
          <t>English</t>
        </is>
      </c>
      <c r="D13" s="5" t="inlineStr">
        <is>
          <t>OFF</t>
        </is>
      </c>
      <c r="E13" s="5" t="inlineStr">
        <is>
          <t>22:00 - 07:00</t>
        </is>
      </c>
      <c r="F13" s="5" t="inlineStr">
        <is>
          <t>19:00 - 04:00</t>
        </is>
      </c>
      <c r="G13" s="5" t="inlineStr">
        <is>
          <t>22:00 - 07:00</t>
        </is>
      </c>
      <c r="H13" s="5" t="inlineStr">
        <is>
          <t>22:00 - 07:00</t>
        </is>
      </c>
      <c r="I13" s="5" t="inlineStr">
        <is>
          <t>22:00 - 07:00</t>
        </is>
      </c>
      <c r="J13" s="5" t="inlineStr">
        <is>
          <t>OFF</t>
        </is>
      </c>
    </row>
    <row r="14">
      <c r="A14" s="5" t="n">
        <v>13</v>
      </c>
      <c r="B14" s="5" t="inlineStr">
        <is>
          <t>Habib Elsayed</t>
        </is>
      </c>
      <c r="C14" s="5" t="inlineStr">
        <is>
          <t>Bilingual</t>
        </is>
      </c>
      <c r="D14" s="5" t="inlineStr">
        <is>
          <t>17:00 - 04:00</t>
        </is>
      </c>
      <c r="E14" s="5" t="inlineStr">
        <is>
          <t>18:00 - 05:00</t>
        </is>
      </c>
      <c r="F14" s="5" t="inlineStr">
        <is>
          <t>20:00 - 07:00</t>
        </is>
      </c>
      <c r="G14" s="5" t="inlineStr">
        <is>
          <t>OFF</t>
        </is>
      </c>
      <c r="H14" s="5" t="inlineStr">
        <is>
          <t>OFF</t>
        </is>
      </c>
      <c r="I14" s="5" t="inlineStr">
        <is>
          <t>20:00 - 07:00</t>
        </is>
      </c>
      <c r="J14" s="5" t="inlineStr">
        <is>
          <t>OFF</t>
        </is>
      </c>
    </row>
    <row r="15">
      <c r="A15" s="5" t="n">
        <v>14</v>
      </c>
      <c r="B15" s="5" t="inlineStr">
        <is>
          <t>Mohamed Habib</t>
        </is>
      </c>
      <c r="C15" s="5" t="inlineStr">
        <is>
          <t>English</t>
        </is>
      </c>
      <c r="D15" s="5" t="inlineStr">
        <is>
          <t>17:00 - 04:00</t>
        </is>
      </c>
      <c r="E15" s="5" t="inlineStr">
        <is>
          <t>OFF</t>
        </is>
      </c>
      <c r="F15" s="5" t="inlineStr">
        <is>
          <t>OFF</t>
        </is>
      </c>
      <c r="G15" s="5" t="inlineStr">
        <is>
          <t>18:00 - 05:00</t>
        </is>
      </c>
      <c r="H15" s="5" t="inlineStr">
        <is>
          <t>18:00 - 05:00</t>
        </is>
      </c>
      <c r="I15" s="5" t="inlineStr">
        <is>
          <t>20:00 - 07:00</t>
        </is>
      </c>
      <c r="J15" s="5" t="inlineStr">
        <is>
          <t>OFF</t>
        </is>
      </c>
    </row>
    <row r="16">
      <c r="A16" s="5" t="n">
        <v>15</v>
      </c>
      <c r="B16" s="5" t="inlineStr">
        <is>
          <t>Ahmed Ebied</t>
        </is>
      </c>
      <c r="C16" s="5" t="inlineStr">
        <is>
          <t>English</t>
        </is>
      </c>
      <c r="D16" s="5" t="inlineStr">
        <is>
          <t>15:00 - 00:00</t>
        </is>
      </c>
      <c r="E16" s="5" t="inlineStr">
        <is>
          <t>16:00 - 01:00</t>
        </is>
      </c>
      <c r="F16" s="5" t="inlineStr">
        <is>
          <t>16:00 - 01:00</t>
        </is>
      </c>
      <c r="G16" s="5" t="inlineStr">
        <is>
          <t>OFF</t>
        </is>
      </c>
      <c r="H16" s="5" t="inlineStr">
        <is>
          <t>OFF</t>
        </is>
      </c>
      <c r="I16" s="5" t="inlineStr">
        <is>
          <t>11:00 - 20:00</t>
        </is>
      </c>
      <c r="J16" s="5" t="inlineStr">
        <is>
          <t>15:00 - 00:00</t>
        </is>
      </c>
    </row>
    <row r="17">
      <c r="A17" s="5" t="n">
        <v>16</v>
      </c>
      <c r="B17" s="5" t="inlineStr">
        <is>
          <t>Abdelrahman Mahmoud</t>
        </is>
      </c>
      <c r="C17" s="5" t="inlineStr">
        <is>
          <t>English</t>
        </is>
      </c>
      <c r="D17" s="5" t="inlineStr">
        <is>
          <t>16:00 - 01:00</t>
        </is>
      </c>
      <c r="E17" s="5" t="inlineStr">
        <is>
          <t>22:00 - 07:00</t>
        </is>
      </c>
      <c r="F17" s="5" t="inlineStr">
        <is>
          <t>22:00 - 07:00</t>
        </is>
      </c>
      <c r="G17" s="5" t="inlineStr">
        <is>
          <t>22:00 - 07:00</t>
        </is>
      </c>
      <c r="H17" s="5" t="inlineStr">
        <is>
          <t>22:00 - 07:00</t>
        </is>
      </c>
      <c r="I17" s="5" t="inlineStr">
        <is>
          <t>OFF</t>
        </is>
      </c>
      <c r="J17" s="5" t="inlineStr">
        <is>
          <t>OFF</t>
        </is>
      </c>
    </row>
    <row r="18">
      <c r="A18" s="5" t="n">
        <v>17</v>
      </c>
      <c r="B18" s="5" t="inlineStr">
        <is>
          <t>Nourhan Abdelsalam</t>
        </is>
      </c>
      <c r="C18" s="5" t="inlineStr">
        <is>
          <t>English</t>
        </is>
      </c>
      <c r="D18" s="5" t="inlineStr">
        <is>
          <t>17:00 - 04:00</t>
        </is>
      </c>
      <c r="E18" s="5" t="inlineStr">
        <is>
          <t>20:00 - 07:00</t>
        </is>
      </c>
      <c r="F18" s="5" t="inlineStr">
        <is>
          <t>OFF</t>
        </is>
      </c>
      <c r="G18" s="5" t="inlineStr">
        <is>
          <t>OFF</t>
        </is>
      </c>
      <c r="H18" s="5" t="inlineStr">
        <is>
          <t>16:00 - 03:00</t>
        </is>
      </c>
      <c r="I18" s="5" t="inlineStr">
        <is>
          <t>20:00 - 07:00</t>
        </is>
      </c>
      <c r="J18" s="5" t="inlineStr">
        <is>
          <t>OFF</t>
        </is>
      </c>
    </row>
    <row r="19">
      <c r="A19" s="5" t="n">
        <v>18</v>
      </c>
      <c r="B19" s="5" t="inlineStr">
        <is>
          <t>Salma Mohamed</t>
        </is>
      </c>
      <c r="C19" s="5" t="inlineStr">
        <is>
          <t>English</t>
        </is>
      </c>
      <c r="D19" s="5" t="inlineStr">
        <is>
          <t>16:00 - 01:00</t>
        </is>
      </c>
      <c r="E19" s="5" t="inlineStr">
        <is>
          <t>18:00 - 03:00</t>
        </is>
      </c>
      <c r="F19" s="5" t="inlineStr">
        <is>
          <t>22:00 - 07:00</t>
        </is>
      </c>
      <c r="G19" s="5" t="inlineStr">
        <is>
          <t>22:00 - 07:00</t>
        </is>
      </c>
      <c r="H19" s="5" t="inlineStr">
        <is>
          <t>22:00 - 07:00</t>
        </is>
      </c>
      <c r="I19" s="5" t="inlineStr">
        <is>
          <t>OFF</t>
        </is>
      </c>
      <c r="J19" s="5" t="inlineStr">
        <is>
          <t>OFF</t>
        </is>
      </c>
    </row>
    <row r="20">
      <c r="A20" s="5" t="n">
        <v>19</v>
      </c>
      <c r="B20" s="5" t="inlineStr">
        <is>
          <t>Lujaine Mohamed</t>
        </is>
      </c>
      <c r="C20" s="5" t="inlineStr">
        <is>
          <t>Bilingual</t>
        </is>
      </c>
      <c r="D20" s="5" t="inlineStr">
        <is>
          <t>OFF</t>
        </is>
      </c>
      <c r="E20" s="5" t="inlineStr">
        <is>
          <t>22:00 - 07:00</t>
        </is>
      </c>
      <c r="F20" s="5" t="inlineStr">
        <is>
          <t>22:00 - 07:00</t>
        </is>
      </c>
      <c r="G20" s="5" t="inlineStr">
        <is>
          <t>19:00 - 04:00</t>
        </is>
      </c>
      <c r="H20" s="5" t="inlineStr">
        <is>
          <t>22:00 - 07:00</t>
        </is>
      </c>
      <c r="I20" s="5" t="inlineStr">
        <is>
          <t>22:00 - 07:00</t>
        </is>
      </c>
      <c r="J20" s="5" t="inlineStr">
        <is>
          <t>OFF</t>
        </is>
      </c>
    </row>
    <row r="21">
      <c r="A21" s="5" t="n">
        <v>20</v>
      </c>
      <c r="B21" s="5" t="inlineStr">
        <is>
          <t>Aseya Hamdy</t>
        </is>
      </c>
      <c r="C21" s="5" t="inlineStr">
        <is>
          <t>Bilingual</t>
        </is>
      </c>
      <c r="D21" s="5" t="inlineStr">
        <is>
          <t>19:00 - 04:00</t>
        </is>
      </c>
      <c r="E21" s="5" t="inlineStr">
        <is>
          <t>OFF</t>
        </is>
      </c>
      <c r="F21" s="5" t="inlineStr">
        <is>
          <t>22:00 - 07:00</t>
        </is>
      </c>
      <c r="G21" s="5" t="inlineStr">
        <is>
          <t>21:00 - 06:00</t>
        </is>
      </c>
      <c r="H21" s="5" t="inlineStr">
        <is>
          <t>21:00 - 06:00</t>
        </is>
      </c>
      <c r="I21" s="5" t="inlineStr">
        <is>
          <t>21:00 - 06:00</t>
        </is>
      </c>
      <c r="J21" s="5" t="inlineStr">
        <is>
          <t>OFF</t>
        </is>
      </c>
    </row>
    <row r="22">
      <c r="A22" s="5" t="n">
        <v>21</v>
      </c>
      <c r="B22" s="5" t="inlineStr">
        <is>
          <t>Mennatullah Abdo</t>
        </is>
      </c>
      <c r="C22" s="5" t="inlineStr">
        <is>
          <t>English</t>
        </is>
      </c>
      <c r="D22" s="5" t="inlineStr">
        <is>
          <t>OFF</t>
        </is>
      </c>
      <c r="E22" s="5" t="inlineStr">
        <is>
          <t>22:00 - 07:00</t>
        </is>
      </c>
      <c r="F22" s="5" t="inlineStr">
        <is>
          <t>22:00 - 07:00</t>
        </is>
      </c>
      <c r="G22" s="5" t="inlineStr">
        <is>
          <t>22:00 - 07:00</t>
        </is>
      </c>
      <c r="H22" s="5" t="inlineStr">
        <is>
          <t>22:00 - 07:00</t>
        </is>
      </c>
      <c r="I22" s="5" t="inlineStr">
        <is>
          <t>22:00 - 07:00</t>
        </is>
      </c>
      <c r="J22" s="5" t="inlineStr">
        <is>
          <t>OFF</t>
        </is>
      </c>
    </row>
    <row r="23">
      <c r="A23" s="5" t="n">
        <v>22</v>
      </c>
      <c r="B23" s="5" t="inlineStr">
        <is>
          <t>Nouran Ahmed</t>
        </is>
      </c>
      <c r="C23" s="5" t="inlineStr">
        <is>
          <t>Bilingual</t>
        </is>
      </c>
      <c r="D23" s="5" t="inlineStr">
        <is>
          <t>19:00 - 04:00</t>
        </is>
      </c>
      <c r="E23" s="5" t="inlineStr">
        <is>
          <t>Leave</t>
        </is>
      </c>
      <c r="F23" s="5" t="inlineStr">
        <is>
          <t>Leave</t>
        </is>
      </c>
      <c r="G23" s="5" t="inlineStr">
        <is>
          <t>22:00 - 07:00</t>
        </is>
      </c>
      <c r="H23" s="5" t="inlineStr">
        <is>
          <t>OFF</t>
        </is>
      </c>
      <c r="I23" s="5" t="inlineStr">
        <is>
          <t>OFF</t>
        </is>
      </c>
      <c r="J23" s="5" t="inlineStr">
        <is>
          <t>15:00 - 00:00</t>
        </is>
      </c>
    </row>
    <row r="24">
      <c r="A24" s="5" t="n">
        <v>23</v>
      </c>
      <c r="B24" s="5" t="inlineStr">
        <is>
          <t>Mohamed Kamal</t>
        </is>
      </c>
      <c r="C24" s="5" t="inlineStr">
        <is>
          <t>Bilingual</t>
        </is>
      </c>
      <c r="D24" s="5" t="inlineStr">
        <is>
          <t>11:00 - 20:00</t>
        </is>
      </c>
      <c r="E24" s="5" t="inlineStr">
        <is>
          <t>OFF</t>
        </is>
      </c>
      <c r="F24" s="5" t="inlineStr">
        <is>
          <t>OFF</t>
        </is>
      </c>
      <c r="G24" s="5" t="inlineStr">
        <is>
          <t>11:00 - 20:00</t>
        </is>
      </c>
      <c r="H24" s="5" t="inlineStr">
        <is>
          <t>11:00 - 20:00</t>
        </is>
      </c>
      <c r="I24" s="5" t="inlineStr">
        <is>
          <t>18:00 - 03:00</t>
        </is>
      </c>
      <c r="J24" s="5" t="inlineStr">
        <is>
          <t>15:00 - 00:00</t>
        </is>
      </c>
    </row>
    <row r="25">
      <c r="A25" s="5" t="n">
        <v>24</v>
      </c>
      <c r="B25" s="5" t="inlineStr">
        <is>
          <t>Youssef Ali</t>
        </is>
      </c>
      <c r="C25" s="5" t="inlineStr">
        <is>
          <t>English</t>
        </is>
      </c>
      <c r="D25" s="5" t="inlineStr">
        <is>
          <t>19:00 - 04:00</t>
        </is>
      </c>
      <c r="E25" s="5" t="inlineStr">
        <is>
          <t>22:00 - 07:00</t>
        </is>
      </c>
      <c r="F25" s="5" t="inlineStr">
        <is>
          <t>OFF</t>
        </is>
      </c>
      <c r="G25" s="5" t="inlineStr">
        <is>
          <t>OFF</t>
        </is>
      </c>
      <c r="H25" s="5" t="inlineStr">
        <is>
          <t>22:00 - 07:00</t>
        </is>
      </c>
      <c r="I25" s="5" t="inlineStr">
        <is>
          <t>22:00 - 07:00</t>
        </is>
      </c>
      <c r="J25" s="5" t="inlineStr">
        <is>
          <t>19:00 - 04:00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12" customWidth="1" style="45" min="1" max="1"/>
    <col width="140" customWidth="1" style="45" min="2" max="2"/>
    <col width="28" customWidth="1" style="45" min="3" max="3"/>
    <col width="36" customWidth="1" style="45" min="4" max="5"/>
    <col width="60" customWidth="1" style="45" min="6" max="6"/>
  </cols>
  <sheetData>
    <row r="1" ht="75" customHeight="1" s="45">
      <c r="A1" s="7" t="inlineStr">
        <is>
          <t>Step</t>
        </is>
      </c>
      <c r="B1" s="7" t="inlineStr">
        <is>
          <t>Action</t>
        </is>
      </c>
    </row>
    <row r="2">
      <c r="A2" s="12" t="inlineStr">
        <is>
          <t>1</t>
        </is>
      </c>
      <c r="B2" s="12" t="inlineStr">
        <is>
          <t>Update FT Wise requirements, Instructions toggles, Previous week scheduled, Prefrence, Language Setup, Shrinkage, and Fixed Shift Requests.</t>
        </is>
      </c>
    </row>
    <row r="3">
      <c r="A3" s="12" t="inlineStr">
        <is>
          <t>2</t>
        </is>
      </c>
      <c r="B3" s="12" t="inlineStr">
        <is>
          <t>Run gdi_wfm_optimizer_v4.py. It reads the toggles and writes the optimized schedule into Schedule!G:M.</t>
        </is>
      </c>
    </row>
    <row r="4">
      <c r="A4" s="12" t="inlineStr">
        <is>
          <t>3</t>
        </is>
      </c>
      <c r="B4" s="12" t="inlineStr">
        <is>
          <t>Review Compliance Summary, Optimization Audit, Rule Checks, Blank Interval Audit, Fixed Shift Log, and Balance Change Log.</t>
        </is>
      </c>
    </row>
    <row r="5">
      <c r="A5" s="12" t="inlineStr">
        <is>
          <t>4</t>
        </is>
      </c>
      <c r="B5" s="12" t="inlineStr">
        <is>
          <t>For fixed shift counts, set Use Fixed Shift Requests = Yes and add rows in Fixed Shift Requests. Use Start Day=End Day when the shift should start on only one day even if it ends after midnight.</t>
        </is>
      </c>
    </row>
    <row r="14" ht="90" customHeight="1" s="45"/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tabColor rgb="FF70AD47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28" customWidth="1" style="45" min="1" max="1"/>
    <col width="18" customWidth="1" style="45" min="2" max="2"/>
    <col width="100" customWidth="1" style="45" min="3" max="3"/>
    <col width="60" customWidth="1" style="45" min="4" max="4"/>
    <col width="55" customWidth="1" style="45" min="5" max="5"/>
    <col width="35" customWidth="1" style="45" min="6" max="6"/>
  </cols>
  <sheetData>
    <row r="1" ht="24" customHeight="1" s="45">
      <c r="A1" s="6" t="inlineStr">
        <is>
          <t>Item</t>
        </is>
      </c>
      <c r="B1" s="6" t="inlineStr">
        <is>
          <t>Status</t>
        </is>
      </c>
      <c r="C1" s="6" t="inlineStr">
        <is>
          <t>Notes</t>
        </is>
      </c>
    </row>
    <row r="2" ht="24" customHeight="1" s="45">
      <c r="A2" s="5" t="inlineStr">
        <is>
          <t>Formula repair</t>
        </is>
      </c>
      <c r="B2" s="5" t="inlineStr">
        <is>
          <t>Done</t>
        </is>
      </c>
      <c r="C2" s="5" t="inlineStr">
        <is>
          <t>Table objects removed; formulas use safer helper columns and COUNTIFS.</t>
        </is>
      </c>
    </row>
    <row r="3" ht="24" customHeight="1" s="45">
      <c r="A3" s="5" t="inlineStr">
        <is>
          <t>Balanced optimizer</t>
        </is>
      </c>
      <c r="B3" s="5" t="inlineStr">
        <is>
          <t>Done</t>
        </is>
      </c>
      <c r="C3" s="5" t="inlineStr">
        <is>
          <t>Final schedule prioritizes no intervals below 70%, then 80% wins, total deficit, and preferences.</t>
        </is>
      </c>
    </row>
    <row r="4" ht="33.95" customHeight="1" s="45">
      <c r="A4" s="5" t="inlineStr">
        <is>
          <t>Python automation</t>
        </is>
      </c>
      <c r="B4" s="5" t="inlineStr">
        <is>
          <t>Provided</t>
        </is>
      </c>
      <c r="C4" s="5" t="inlineStr">
        <is>
          <t>Use gdi_wfm_optimizer.py to generate future schedules from the same workbook layout.</t>
        </is>
      </c>
    </row>
    <row r="5" ht="33.95" customHeight="1" s="45">
      <c r="A5" s="5" t="inlineStr">
        <is>
          <t>One-click Excel/Google UI</t>
        </is>
      </c>
      <c r="B5" s="5" t="inlineStr">
        <is>
          <t>Not embedded yet</t>
        </is>
      </c>
      <c r="C5" s="5" t="inlineStr">
        <is>
          <t>Recommended next layer: button in Excel/Office Script or Google Apps Script/Colab workflow.</t>
        </is>
      </c>
    </row>
    <row r="6" ht="33.95" customHeight="1" s="45">
      <c r="A6" s="5" t="inlineStr">
        <is>
          <t>Language/cross-skill optimization</t>
        </is>
      </c>
      <c r="B6" s="5" t="inlineStr">
        <is>
          <t>Prepared, not active</t>
        </is>
      </c>
      <c r="C6" s="5" t="inlineStr">
        <is>
          <t>Language Setup exists, but there is no per-language requirement table yet; current demand is aggregate.</t>
        </is>
      </c>
    </row>
    <row r="7" ht="33.95" customHeight="1" s="45">
      <c r="A7" s="5" t="inlineStr">
        <is>
          <t>Infinite associates</t>
        </is>
      </c>
      <c r="B7" s="5" t="inlineStr">
        <is>
          <t>Expanded to 250</t>
        </is>
      </c>
      <c r="C7" s="5" t="inlineStr">
        <is>
          <t>Formulas and engine are sized to 250 rows; code reads populated rows from Previous week scheduled.</t>
        </is>
      </c>
    </row>
    <row r="8" ht="33.95" customHeight="1" s="45"/>
    <row r="9" ht="33.95" customHeight="1" s="45"/>
    <row r="10" ht="33.95" customHeight="1" s="45"/>
    <row r="11" ht="33.95" customHeight="1" s="45"/>
    <row r="12" ht="33.95" customHeight="1" s="45"/>
    <row r="13" ht="33.95" customHeight="1" s="45"/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26" customWidth="1" style="45" min="1" max="1"/>
    <col width="130" customWidth="1" style="45" min="2" max="2"/>
  </cols>
  <sheetData>
    <row r="1">
      <c r="A1" s="7" t="inlineStr">
        <is>
          <t>Area</t>
        </is>
      </c>
      <c r="B1" s="7" t="inlineStr">
        <is>
          <t>Fix</t>
        </is>
      </c>
    </row>
    <row r="2">
      <c r="A2" s="12" t="inlineStr">
        <is>
          <t>Shrinkage controls</t>
        </is>
      </c>
      <c r="B2" s="12" t="inlineStr">
        <is>
          <t>Added two instruction shrinkage percentages (&lt;10 FTE and &gt;=10 FTE), a source selector, and an editable Shrinkage sheet. FT Wise formulas use INDEX/MATCH on instruction labels instead of fragile fixed row numbers.</t>
        </is>
      </c>
    </row>
    <row r="3">
      <c r="A3" s="12" t="inlineStr">
        <is>
          <t>Fixed shift requests</t>
        </is>
      </c>
      <c r="B3" s="12" t="inlineStr">
        <is>
          <t>Added optional fixed shift count requests in a separate input tab. The script applies them only when Instructions!Use Fixed Shift Requests = Yes.</t>
        </is>
      </c>
    </row>
    <row r="4">
      <c r="A4" s="12" t="inlineStr">
        <is>
          <t>Excel repair issue</t>
        </is>
      </c>
      <c r="B4" s="12" t="inlineStr">
        <is>
          <t>Removed table XML remnants and simplified all sheet views to prevent Excel recovery messages about worksheet views or table parts.</t>
        </is>
      </c>
    </row>
    <row r="5">
      <c r="A5" s="12" t="inlineStr">
        <is>
          <t>No blank intervals</t>
        </is>
      </c>
      <c r="B5" s="12" t="inlineStr">
        <is>
          <t>Candidate shifts still exclude current-week staffing in blank/zero-requirement intervals.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9"/>
  <sheetViews>
    <sheetView showGridLines="0" workbookViewId="0">
      <selection activeCell="A1" sqref="A1"/>
    </sheetView>
  </sheetViews>
  <sheetFormatPr baseColWidth="8" defaultRowHeight="15"/>
  <cols>
    <col width="10" customWidth="1" style="45" min="1" max="2"/>
    <col width="18" customWidth="1" style="45" min="3" max="3"/>
    <col width="22" customWidth="1" style="45" min="4" max="4"/>
    <col width="10" customWidth="1" style="45" min="5" max="5"/>
    <col width="70" customWidth="1" style="45" min="6" max="6"/>
    <col width="24" customWidth="1" style="45" min="7" max="7"/>
    <col width="14" customWidth="1" style="45" min="8" max="8"/>
    <col width="24" customWidth="1" style="45" min="9" max="9"/>
    <col width="60" customWidth="1" style="45" min="10" max="10"/>
  </cols>
  <sheetData>
    <row r="1">
      <c r="A1" s="7" t="inlineStr">
        <is>
          <t>Day</t>
        </is>
      </c>
      <c r="B1" s="7" t="inlineStr">
        <is>
          <t>Hour</t>
        </is>
      </c>
      <c r="C1" s="7" t="inlineStr">
        <is>
          <t>Requirement Blank?</t>
        </is>
      </c>
      <c r="D1" s="7" t="inlineStr">
        <is>
          <t>Current Week Staffed Count</t>
        </is>
      </c>
      <c r="E1" s="7" t="inlineStr">
        <is>
          <t>Waste Flag</t>
        </is>
      </c>
      <c r="F1" s="7" t="inlineStr">
        <is>
          <t>Formula Notes</t>
        </is>
      </c>
    </row>
    <row r="2">
      <c r="A2" s="12" t="inlineStr">
        <is>
          <t>Sun</t>
        </is>
      </c>
      <c r="B2" s="12" t="inlineStr">
        <is>
          <t>00:00</t>
        </is>
      </c>
      <c r="C2" s="12" t="inlineStr">
        <is>
          <t>No</t>
        </is>
      </c>
      <c r="D2" s="12">
        <f>COUNTIFS('Scheduler Engine'!$N$2:$N$1751,1,'Scheduler Engine'!$L$2:$L$1751,"&lt;="&amp;(0*24+0),'Scheduler Engine'!$M$2:$M$1751,"&gt;"&amp;(0*24+0))</f>
        <v/>
      </c>
      <c r="E2" s="12">
        <f>IF(AND(C2="Yes",D2&gt;0),1,0)</f>
        <v/>
      </c>
      <c r="F2" s="12" t="inlineStr">
        <is>
          <t>Should be 0 for all blank intervals; previous-week Sunday carryover is excluded from current-week waste.</t>
        </is>
      </c>
    </row>
    <row r="3">
      <c r="A3" s="12" t="inlineStr">
        <is>
          <t>Sun</t>
        </is>
      </c>
      <c r="B3" s="12" t="inlineStr">
        <is>
          <t>01:00</t>
        </is>
      </c>
      <c r="C3" s="12" t="inlineStr">
        <is>
          <t>No</t>
        </is>
      </c>
      <c r="D3" s="12">
        <f>COUNTIFS('Scheduler Engine'!$N$2:$N$1751,1,'Scheduler Engine'!$L$2:$L$1751,"&lt;="&amp;(0*24+1),'Scheduler Engine'!$M$2:$M$1751,"&gt;"&amp;(0*24+1))</f>
        <v/>
      </c>
      <c r="E3" s="12">
        <f>IF(AND(C3="Yes",D3&gt;0),1,0)</f>
        <v/>
      </c>
      <c r="F3" s="12" t="inlineStr">
        <is>
          <t>Should be 0 for all blank intervals; previous-week Sunday carryover is excluded from current-week waste.</t>
        </is>
      </c>
    </row>
    <row r="4">
      <c r="A4" s="12" t="inlineStr">
        <is>
          <t>Sun</t>
        </is>
      </c>
      <c r="B4" s="12" t="inlineStr">
        <is>
          <t>02:00</t>
        </is>
      </c>
      <c r="C4" s="12" t="inlineStr">
        <is>
          <t>No</t>
        </is>
      </c>
      <c r="D4" s="12">
        <f>COUNTIFS('Scheduler Engine'!$N$2:$N$1751,1,'Scheduler Engine'!$L$2:$L$1751,"&lt;="&amp;(0*24+2),'Scheduler Engine'!$M$2:$M$1751,"&gt;"&amp;(0*24+2))</f>
        <v/>
      </c>
      <c r="E4" s="12">
        <f>IF(AND(C4="Yes",D4&gt;0),1,0)</f>
        <v/>
      </c>
      <c r="F4" s="12" t="inlineStr">
        <is>
          <t>Should be 0 for all blank intervals; previous-week Sunday carryover is excluded from current-week waste.</t>
        </is>
      </c>
    </row>
    <row r="5">
      <c r="A5" s="12" t="inlineStr">
        <is>
          <t>Sun</t>
        </is>
      </c>
      <c r="B5" s="12" t="inlineStr">
        <is>
          <t>03:00</t>
        </is>
      </c>
      <c r="C5" s="12" t="inlineStr">
        <is>
          <t>No</t>
        </is>
      </c>
      <c r="D5" s="12">
        <f>COUNTIFS('Scheduler Engine'!$N$2:$N$1751,1,'Scheduler Engine'!$L$2:$L$1751,"&lt;="&amp;(0*24+3),'Scheduler Engine'!$M$2:$M$1751,"&gt;"&amp;(0*24+3))</f>
        <v/>
      </c>
      <c r="E5" s="12">
        <f>IF(AND(C5="Yes",D5&gt;0),1,0)</f>
        <v/>
      </c>
      <c r="F5" s="12" t="inlineStr">
        <is>
          <t>Should be 0 for all blank intervals; previous-week Sunday carryover is excluded from current-week waste.</t>
        </is>
      </c>
    </row>
    <row r="6">
      <c r="A6" s="12" t="inlineStr">
        <is>
          <t>Sun</t>
        </is>
      </c>
      <c r="B6" s="12" t="inlineStr">
        <is>
          <t>04:00</t>
        </is>
      </c>
      <c r="C6" s="12" t="inlineStr">
        <is>
          <t>Yes</t>
        </is>
      </c>
      <c r="D6" s="12">
        <f>COUNTIFS('Scheduler Engine'!$N$2:$N$1751,1,'Scheduler Engine'!$L$2:$L$1751,"&lt;="&amp;(0*24+4),'Scheduler Engine'!$M$2:$M$1751,"&gt;"&amp;(0*24+4))</f>
        <v/>
      </c>
      <c r="E6" s="12">
        <f>IF(AND(C6="Yes",D6&gt;0),1,0)</f>
        <v/>
      </c>
      <c r="F6" s="12" t="inlineStr">
        <is>
          <t>Should be 0 for all blank intervals; previous-week Sunday carryover is excluded from current-week waste.</t>
        </is>
      </c>
    </row>
    <row r="7">
      <c r="A7" s="12" t="inlineStr">
        <is>
          <t>Sun</t>
        </is>
      </c>
      <c r="B7" s="12" t="inlineStr">
        <is>
          <t>05:00</t>
        </is>
      </c>
      <c r="C7" s="12" t="inlineStr">
        <is>
          <t>Yes</t>
        </is>
      </c>
      <c r="D7" s="12">
        <f>COUNTIFS('Scheduler Engine'!$N$2:$N$1751,1,'Scheduler Engine'!$L$2:$L$1751,"&lt;="&amp;(0*24+5),'Scheduler Engine'!$M$2:$M$1751,"&gt;"&amp;(0*24+5))</f>
        <v/>
      </c>
      <c r="E7" s="12">
        <f>IF(AND(C7="Yes",D7&gt;0),1,0)</f>
        <v/>
      </c>
      <c r="F7" s="12" t="inlineStr">
        <is>
          <t>Should be 0 for all blank intervals; previous-week Sunday carryover is excluded from current-week waste.</t>
        </is>
      </c>
    </row>
    <row r="8">
      <c r="A8" s="12" t="inlineStr">
        <is>
          <t>Sun</t>
        </is>
      </c>
      <c r="B8" s="12" t="inlineStr">
        <is>
          <t>06:00</t>
        </is>
      </c>
      <c r="C8" s="12" t="inlineStr">
        <is>
          <t>Yes</t>
        </is>
      </c>
      <c r="D8" s="12">
        <f>COUNTIFS('Scheduler Engine'!$N$2:$N$1751,1,'Scheduler Engine'!$L$2:$L$1751,"&lt;="&amp;(0*24+6),'Scheduler Engine'!$M$2:$M$1751,"&gt;"&amp;(0*24+6))</f>
        <v/>
      </c>
      <c r="E8" s="12">
        <f>IF(AND(C8="Yes",D8&gt;0),1,0)</f>
        <v/>
      </c>
      <c r="F8" s="12" t="inlineStr">
        <is>
          <t>Should be 0 for all blank intervals; previous-week Sunday carryover is excluded from current-week waste.</t>
        </is>
      </c>
    </row>
    <row r="9">
      <c r="A9" s="12" t="inlineStr">
        <is>
          <t>Sun</t>
        </is>
      </c>
      <c r="B9" s="12" t="inlineStr">
        <is>
          <t>07:00</t>
        </is>
      </c>
      <c r="C9" s="12" t="inlineStr">
        <is>
          <t>Yes</t>
        </is>
      </c>
      <c r="D9" s="12">
        <f>COUNTIFS('Scheduler Engine'!$N$2:$N$1751,1,'Scheduler Engine'!$L$2:$L$1751,"&lt;="&amp;(0*24+7),'Scheduler Engine'!$M$2:$M$1751,"&gt;"&amp;(0*24+7))</f>
        <v/>
      </c>
      <c r="E9" s="12">
        <f>IF(AND(C9="Yes",D9&gt;0),1,0)</f>
        <v/>
      </c>
      <c r="F9" s="12" t="inlineStr">
        <is>
          <t>Should be 0 for all blank intervals; previous-week Sunday carryover is excluded from current-week waste.</t>
        </is>
      </c>
    </row>
    <row r="10">
      <c r="A10" s="12" t="inlineStr">
        <is>
          <t>Sun</t>
        </is>
      </c>
      <c r="B10" s="12" t="inlineStr">
        <is>
          <t>08:00</t>
        </is>
      </c>
      <c r="C10" s="12" t="inlineStr">
        <is>
          <t>Yes</t>
        </is>
      </c>
      <c r="D10" s="12">
        <f>COUNTIFS('Scheduler Engine'!$N$2:$N$1751,1,'Scheduler Engine'!$L$2:$L$1751,"&lt;="&amp;(0*24+8),'Scheduler Engine'!$M$2:$M$1751,"&gt;"&amp;(0*24+8))</f>
        <v/>
      </c>
      <c r="E10" s="12">
        <f>IF(AND(C10="Yes",D10&gt;0),1,0)</f>
        <v/>
      </c>
      <c r="F10" s="12" t="inlineStr">
        <is>
          <t>Should be 0 for all blank intervals; previous-week Sunday carryover is excluded from current-week waste.</t>
        </is>
      </c>
    </row>
    <row r="11">
      <c r="A11" s="12" t="inlineStr">
        <is>
          <t>Sun</t>
        </is>
      </c>
      <c r="B11" s="12" t="inlineStr">
        <is>
          <t>09:00</t>
        </is>
      </c>
      <c r="C11" s="12" t="inlineStr">
        <is>
          <t>Yes</t>
        </is>
      </c>
      <c r="D11" s="12">
        <f>COUNTIFS('Scheduler Engine'!$N$2:$N$1751,1,'Scheduler Engine'!$L$2:$L$1751,"&lt;="&amp;(0*24+9),'Scheduler Engine'!$M$2:$M$1751,"&gt;"&amp;(0*24+9))</f>
        <v/>
      </c>
      <c r="E11" s="12">
        <f>IF(AND(C11="Yes",D11&gt;0),1,0)</f>
        <v/>
      </c>
      <c r="F11" s="12" t="inlineStr">
        <is>
          <t>Should be 0 for all blank intervals; previous-week Sunday carryover is excluded from current-week waste.</t>
        </is>
      </c>
    </row>
    <row r="12">
      <c r="A12" s="12" t="inlineStr">
        <is>
          <t>Sun</t>
        </is>
      </c>
      <c r="B12" s="12" t="inlineStr">
        <is>
          <t>10:00</t>
        </is>
      </c>
      <c r="C12" s="12" t="inlineStr">
        <is>
          <t>Yes</t>
        </is>
      </c>
      <c r="D12" s="12">
        <f>COUNTIFS('Scheduler Engine'!$N$2:$N$1751,1,'Scheduler Engine'!$L$2:$L$1751,"&lt;="&amp;(0*24+10),'Scheduler Engine'!$M$2:$M$1751,"&gt;"&amp;(0*24+10))</f>
        <v/>
      </c>
      <c r="E12" s="12">
        <f>IF(AND(C12="Yes",D12&gt;0),1,0)</f>
        <v/>
      </c>
      <c r="F12" s="12" t="inlineStr">
        <is>
          <t>Should be 0 for all blank intervals; previous-week Sunday carryover is excluded from current-week waste.</t>
        </is>
      </c>
    </row>
    <row r="13">
      <c r="A13" s="12" t="inlineStr">
        <is>
          <t>Sun</t>
        </is>
      </c>
      <c r="B13" s="12" t="inlineStr">
        <is>
          <t>11:00</t>
        </is>
      </c>
      <c r="C13" s="12" t="inlineStr">
        <is>
          <t>No</t>
        </is>
      </c>
      <c r="D13" s="12">
        <f>COUNTIFS('Scheduler Engine'!$N$2:$N$1751,1,'Scheduler Engine'!$L$2:$L$1751,"&lt;="&amp;(0*24+11),'Scheduler Engine'!$M$2:$M$1751,"&gt;"&amp;(0*24+11))</f>
        <v/>
      </c>
      <c r="E13" s="12">
        <f>IF(AND(C13="Yes",D13&gt;0),1,0)</f>
        <v/>
      </c>
      <c r="F13" s="12" t="inlineStr">
        <is>
          <t>Should be 0 for all blank intervals; previous-week Sunday carryover is excluded from current-week waste.</t>
        </is>
      </c>
    </row>
    <row r="14">
      <c r="A14" s="12" t="inlineStr">
        <is>
          <t>Sun</t>
        </is>
      </c>
      <c r="B14" s="12" t="inlineStr">
        <is>
          <t>12:00</t>
        </is>
      </c>
      <c r="C14" s="12" t="inlineStr">
        <is>
          <t>No</t>
        </is>
      </c>
      <c r="D14" s="12">
        <f>COUNTIFS('Scheduler Engine'!$N$2:$N$1751,1,'Scheduler Engine'!$L$2:$L$1751,"&lt;="&amp;(0*24+12),'Scheduler Engine'!$M$2:$M$1751,"&gt;"&amp;(0*24+12))</f>
        <v/>
      </c>
      <c r="E14" s="12">
        <f>IF(AND(C14="Yes",D14&gt;0),1,0)</f>
        <v/>
      </c>
      <c r="F14" s="12" t="inlineStr">
        <is>
          <t>Should be 0 for all blank intervals; previous-week Sunday carryover is excluded from current-week waste.</t>
        </is>
      </c>
    </row>
    <row r="15">
      <c r="A15" s="12" t="inlineStr">
        <is>
          <t>Sun</t>
        </is>
      </c>
      <c r="B15" s="12" t="inlineStr">
        <is>
          <t>13:00</t>
        </is>
      </c>
      <c r="C15" s="12" t="inlineStr">
        <is>
          <t>No</t>
        </is>
      </c>
      <c r="D15" s="12">
        <f>COUNTIFS('Scheduler Engine'!$N$2:$N$1751,1,'Scheduler Engine'!$L$2:$L$1751,"&lt;="&amp;(0*24+13),'Scheduler Engine'!$M$2:$M$1751,"&gt;"&amp;(0*24+13))</f>
        <v/>
      </c>
      <c r="E15" s="12">
        <f>IF(AND(C15="Yes",D15&gt;0),1,0)</f>
        <v/>
      </c>
      <c r="F15" s="12" t="inlineStr">
        <is>
          <t>Should be 0 for all blank intervals; previous-week Sunday carryover is excluded from current-week waste.</t>
        </is>
      </c>
    </row>
    <row r="16">
      <c r="A16" s="12" t="inlineStr">
        <is>
          <t>Sun</t>
        </is>
      </c>
      <c r="B16" s="12" t="inlineStr">
        <is>
          <t>14:00</t>
        </is>
      </c>
      <c r="C16" s="12" t="inlineStr">
        <is>
          <t>No</t>
        </is>
      </c>
      <c r="D16" s="12">
        <f>COUNTIFS('Scheduler Engine'!$N$2:$N$1751,1,'Scheduler Engine'!$L$2:$L$1751,"&lt;="&amp;(0*24+14),'Scheduler Engine'!$M$2:$M$1751,"&gt;"&amp;(0*24+14))</f>
        <v/>
      </c>
      <c r="E16" s="12">
        <f>IF(AND(C16="Yes",D16&gt;0),1,0)</f>
        <v/>
      </c>
      <c r="F16" s="12" t="inlineStr">
        <is>
          <t>Should be 0 for all blank intervals; previous-week Sunday carryover is excluded from current-week waste.</t>
        </is>
      </c>
    </row>
    <row r="17">
      <c r="A17" s="12" t="inlineStr">
        <is>
          <t>Sun</t>
        </is>
      </c>
      <c r="B17" s="12" t="inlineStr">
        <is>
          <t>15:00</t>
        </is>
      </c>
      <c r="C17" s="12" t="inlineStr">
        <is>
          <t>No</t>
        </is>
      </c>
      <c r="D17" s="12">
        <f>COUNTIFS('Scheduler Engine'!$N$2:$N$1751,1,'Scheduler Engine'!$L$2:$L$1751,"&lt;="&amp;(0*24+15),'Scheduler Engine'!$M$2:$M$1751,"&gt;"&amp;(0*24+15))</f>
        <v/>
      </c>
      <c r="E17" s="12">
        <f>IF(AND(C17="Yes",D17&gt;0),1,0)</f>
        <v/>
      </c>
      <c r="F17" s="12" t="inlineStr">
        <is>
          <t>Should be 0 for all blank intervals; previous-week Sunday carryover is excluded from current-week waste.</t>
        </is>
      </c>
    </row>
    <row r="18">
      <c r="A18" s="12" t="inlineStr">
        <is>
          <t>Sun</t>
        </is>
      </c>
      <c r="B18" s="12" t="inlineStr">
        <is>
          <t>16:00</t>
        </is>
      </c>
      <c r="C18" s="12" t="inlineStr">
        <is>
          <t>No</t>
        </is>
      </c>
      <c r="D18" s="12">
        <f>COUNTIFS('Scheduler Engine'!$N$2:$N$1751,1,'Scheduler Engine'!$L$2:$L$1751,"&lt;="&amp;(0*24+16),'Scheduler Engine'!$M$2:$M$1751,"&gt;"&amp;(0*24+16))</f>
        <v/>
      </c>
      <c r="E18" s="12">
        <f>IF(AND(C18="Yes",D18&gt;0),1,0)</f>
        <v/>
      </c>
      <c r="F18" s="12" t="inlineStr">
        <is>
          <t>Should be 0 for all blank intervals; previous-week Sunday carryover is excluded from current-week waste.</t>
        </is>
      </c>
    </row>
    <row r="19">
      <c r="A19" s="12" t="inlineStr">
        <is>
          <t>Sun</t>
        </is>
      </c>
      <c r="B19" s="12" t="inlineStr">
        <is>
          <t>17:00</t>
        </is>
      </c>
      <c r="C19" s="12" t="inlineStr">
        <is>
          <t>No</t>
        </is>
      </c>
      <c r="D19" s="12">
        <f>COUNTIFS('Scheduler Engine'!$N$2:$N$1751,1,'Scheduler Engine'!$L$2:$L$1751,"&lt;="&amp;(0*24+17),'Scheduler Engine'!$M$2:$M$1751,"&gt;"&amp;(0*24+17))</f>
        <v/>
      </c>
      <c r="E19" s="12">
        <f>IF(AND(C19="Yes",D19&gt;0),1,0)</f>
        <v/>
      </c>
      <c r="F19" s="12" t="inlineStr">
        <is>
          <t>Should be 0 for all blank intervals; previous-week Sunday carryover is excluded from current-week waste.</t>
        </is>
      </c>
    </row>
    <row r="20">
      <c r="A20" s="12" t="inlineStr">
        <is>
          <t>Sun</t>
        </is>
      </c>
      <c r="B20" s="12" t="inlineStr">
        <is>
          <t>18:00</t>
        </is>
      </c>
      <c r="C20" s="12" t="inlineStr">
        <is>
          <t>No</t>
        </is>
      </c>
      <c r="D20" s="12">
        <f>COUNTIFS('Scheduler Engine'!$N$2:$N$1751,1,'Scheduler Engine'!$L$2:$L$1751,"&lt;="&amp;(0*24+18),'Scheduler Engine'!$M$2:$M$1751,"&gt;"&amp;(0*24+18))</f>
        <v/>
      </c>
      <c r="E20" s="12">
        <f>IF(AND(C20="Yes",D20&gt;0),1,0)</f>
        <v/>
      </c>
      <c r="F20" s="12" t="inlineStr">
        <is>
          <t>Should be 0 for all blank intervals; previous-week Sunday carryover is excluded from current-week waste.</t>
        </is>
      </c>
    </row>
    <row r="21">
      <c r="A21" s="12" t="inlineStr">
        <is>
          <t>Sun</t>
        </is>
      </c>
      <c r="B21" s="12" t="inlineStr">
        <is>
          <t>19:00</t>
        </is>
      </c>
      <c r="C21" s="12" t="inlineStr">
        <is>
          <t>No</t>
        </is>
      </c>
      <c r="D21" s="12">
        <f>COUNTIFS('Scheduler Engine'!$N$2:$N$1751,1,'Scheduler Engine'!$L$2:$L$1751,"&lt;="&amp;(0*24+19),'Scheduler Engine'!$M$2:$M$1751,"&gt;"&amp;(0*24+19))</f>
        <v/>
      </c>
      <c r="E21" s="12">
        <f>IF(AND(C21="Yes",D21&gt;0),1,0)</f>
        <v/>
      </c>
      <c r="F21" s="12" t="inlineStr">
        <is>
          <t>Should be 0 for all blank intervals; previous-week Sunday carryover is excluded from current-week waste.</t>
        </is>
      </c>
    </row>
    <row r="22">
      <c r="A22" s="12" t="inlineStr">
        <is>
          <t>Sun</t>
        </is>
      </c>
      <c r="B22" s="12" t="inlineStr">
        <is>
          <t>20:00</t>
        </is>
      </c>
      <c r="C22" s="12" t="inlineStr">
        <is>
          <t>No</t>
        </is>
      </c>
      <c r="D22" s="12">
        <f>COUNTIFS('Scheduler Engine'!$N$2:$N$1751,1,'Scheduler Engine'!$L$2:$L$1751,"&lt;="&amp;(0*24+20),'Scheduler Engine'!$M$2:$M$1751,"&gt;"&amp;(0*24+20))</f>
        <v/>
      </c>
      <c r="E22" s="12">
        <f>IF(AND(C22="Yes",D22&gt;0),1,0)</f>
        <v/>
      </c>
      <c r="F22" s="12" t="inlineStr">
        <is>
          <t>Should be 0 for all blank intervals; previous-week Sunday carryover is excluded from current-week waste.</t>
        </is>
      </c>
    </row>
    <row r="23">
      <c r="A23" s="12" t="inlineStr">
        <is>
          <t>Sun</t>
        </is>
      </c>
      <c r="B23" s="12" t="inlineStr">
        <is>
          <t>21:00</t>
        </is>
      </c>
      <c r="C23" s="12" t="inlineStr">
        <is>
          <t>No</t>
        </is>
      </c>
      <c r="D23" s="12">
        <f>COUNTIFS('Scheduler Engine'!$N$2:$N$1751,1,'Scheduler Engine'!$L$2:$L$1751,"&lt;="&amp;(0*24+21),'Scheduler Engine'!$M$2:$M$1751,"&gt;"&amp;(0*24+21))</f>
        <v/>
      </c>
      <c r="E23" s="12">
        <f>IF(AND(C23="Yes",D23&gt;0),1,0)</f>
        <v/>
      </c>
      <c r="F23" s="12" t="inlineStr">
        <is>
          <t>Should be 0 for all blank intervals; previous-week Sunday carryover is excluded from current-week waste.</t>
        </is>
      </c>
    </row>
    <row r="24">
      <c r="A24" s="12" t="inlineStr">
        <is>
          <t>Sun</t>
        </is>
      </c>
      <c r="B24" s="12" t="inlineStr">
        <is>
          <t>22:00</t>
        </is>
      </c>
      <c r="C24" s="12" t="inlineStr">
        <is>
          <t>No</t>
        </is>
      </c>
      <c r="D24" s="12">
        <f>COUNTIFS('Scheduler Engine'!$N$2:$N$1751,1,'Scheduler Engine'!$L$2:$L$1751,"&lt;="&amp;(0*24+22),'Scheduler Engine'!$M$2:$M$1751,"&gt;"&amp;(0*24+22))</f>
        <v/>
      </c>
      <c r="E24" s="12">
        <f>IF(AND(C24="Yes",D24&gt;0),1,0)</f>
        <v/>
      </c>
      <c r="F24" s="12" t="inlineStr">
        <is>
          <t>Should be 0 for all blank intervals; previous-week Sunday carryover is excluded from current-week waste.</t>
        </is>
      </c>
    </row>
    <row r="25">
      <c r="A25" s="12" t="inlineStr">
        <is>
          <t>Sun</t>
        </is>
      </c>
      <c r="B25" s="12" t="inlineStr">
        <is>
          <t>23:00</t>
        </is>
      </c>
      <c r="C25" s="12" t="inlineStr">
        <is>
          <t>No</t>
        </is>
      </c>
      <c r="D25" s="12">
        <f>COUNTIFS('Scheduler Engine'!$N$2:$N$1751,1,'Scheduler Engine'!$L$2:$L$1751,"&lt;="&amp;(0*24+23),'Scheduler Engine'!$M$2:$M$1751,"&gt;"&amp;(0*24+23))</f>
        <v/>
      </c>
      <c r="E25" s="12">
        <f>IF(AND(C25="Yes",D25&gt;0),1,0)</f>
        <v/>
      </c>
      <c r="F25" s="12" t="inlineStr">
        <is>
          <t>Should be 0 for all blank intervals; previous-week Sunday carryover is excluded from current-week waste.</t>
        </is>
      </c>
    </row>
    <row r="26">
      <c r="A26" s="12" t="inlineStr">
        <is>
          <t>Mon</t>
        </is>
      </c>
      <c r="B26" s="12" t="inlineStr">
        <is>
          <t>00:00</t>
        </is>
      </c>
      <c r="C26" s="12" t="inlineStr">
        <is>
          <t>No</t>
        </is>
      </c>
      <c r="D26" s="12">
        <f>COUNTIFS('Scheduler Engine'!$N$2:$N$1751,1,'Scheduler Engine'!$L$2:$L$1751,"&lt;="&amp;(1*24+0),'Scheduler Engine'!$M$2:$M$1751,"&gt;"&amp;(1*24+0))</f>
        <v/>
      </c>
      <c r="E26" s="12">
        <f>IF(AND(C26="Yes",D26&gt;0),1,0)</f>
        <v/>
      </c>
      <c r="F26" s="12" t="inlineStr">
        <is>
          <t>Should be 0 for all blank intervals; previous-week Sunday carryover is excluded from current-week waste.</t>
        </is>
      </c>
    </row>
    <row r="27">
      <c r="A27" s="12" t="inlineStr">
        <is>
          <t>Mon</t>
        </is>
      </c>
      <c r="B27" s="12" t="inlineStr">
        <is>
          <t>01:00</t>
        </is>
      </c>
      <c r="C27" s="12" t="inlineStr">
        <is>
          <t>No</t>
        </is>
      </c>
      <c r="D27" s="12">
        <f>COUNTIFS('Scheduler Engine'!$N$2:$N$1751,1,'Scheduler Engine'!$L$2:$L$1751,"&lt;="&amp;(1*24+1),'Scheduler Engine'!$M$2:$M$1751,"&gt;"&amp;(1*24+1))</f>
        <v/>
      </c>
      <c r="E27" s="12">
        <f>IF(AND(C27="Yes",D27&gt;0),1,0)</f>
        <v/>
      </c>
      <c r="F27" s="12" t="inlineStr">
        <is>
          <t>Should be 0 for all blank intervals; previous-week Sunday carryover is excluded from current-week waste.</t>
        </is>
      </c>
    </row>
    <row r="28">
      <c r="A28" s="12" t="inlineStr">
        <is>
          <t>Mon</t>
        </is>
      </c>
      <c r="B28" s="12" t="inlineStr">
        <is>
          <t>02:00</t>
        </is>
      </c>
      <c r="C28" s="12" t="inlineStr">
        <is>
          <t>No</t>
        </is>
      </c>
      <c r="D28" s="12">
        <f>COUNTIFS('Scheduler Engine'!$N$2:$N$1751,1,'Scheduler Engine'!$L$2:$L$1751,"&lt;="&amp;(1*24+2),'Scheduler Engine'!$M$2:$M$1751,"&gt;"&amp;(1*24+2))</f>
        <v/>
      </c>
      <c r="E28" s="12">
        <f>IF(AND(C28="Yes",D28&gt;0),1,0)</f>
        <v/>
      </c>
      <c r="F28" s="12" t="inlineStr">
        <is>
          <t>Should be 0 for all blank intervals; previous-week Sunday carryover is excluded from current-week waste.</t>
        </is>
      </c>
    </row>
    <row r="29">
      <c r="A29" s="12" t="inlineStr">
        <is>
          <t>Mon</t>
        </is>
      </c>
      <c r="B29" s="12" t="inlineStr">
        <is>
          <t>03:00</t>
        </is>
      </c>
      <c r="C29" s="12" t="inlineStr">
        <is>
          <t>No</t>
        </is>
      </c>
      <c r="D29" s="12">
        <f>COUNTIFS('Scheduler Engine'!$N$2:$N$1751,1,'Scheduler Engine'!$L$2:$L$1751,"&lt;="&amp;(1*24+3),'Scheduler Engine'!$M$2:$M$1751,"&gt;"&amp;(1*24+3))</f>
        <v/>
      </c>
      <c r="E29" s="12">
        <f>IF(AND(C29="Yes",D29&gt;0),1,0)</f>
        <v/>
      </c>
      <c r="F29" s="12" t="inlineStr">
        <is>
          <t>Should be 0 for all blank intervals; previous-week Sunday carryover is excluded from current-week waste.</t>
        </is>
      </c>
    </row>
    <row r="30">
      <c r="A30" s="12" t="inlineStr">
        <is>
          <t>Mon</t>
        </is>
      </c>
      <c r="B30" s="12" t="inlineStr">
        <is>
          <t>04:00</t>
        </is>
      </c>
      <c r="C30" s="12" t="inlineStr">
        <is>
          <t>Yes</t>
        </is>
      </c>
      <c r="D30" s="12">
        <f>COUNTIFS('Scheduler Engine'!$N$2:$N$1751,1,'Scheduler Engine'!$L$2:$L$1751,"&lt;="&amp;(1*24+4),'Scheduler Engine'!$M$2:$M$1751,"&gt;"&amp;(1*24+4))</f>
        <v/>
      </c>
      <c r="E30" s="12">
        <f>IF(AND(C30="Yes",D30&gt;0),1,0)</f>
        <v/>
      </c>
      <c r="F30" s="12" t="inlineStr">
        <is>
          <t>Should be 0 for all blank intervals; previous-week Sunday carryover is excluded from current-week waste.</t>
        </is>
      </c>
    </row>
    <row r="31">
      <c r="A31" s="12" t="inlineStr">
        <is>
          <t>Mon</t>
        </is>
      </c>
      <c r="B31" s="12" t="inlineStr">
        <is>
          <t>05:00</t>
        </is>
      </c>
      <c r="C31" s="12" t="inlineStr">
        <is>
          <t>Yes</t>
        </is>
      </c>
      <c r="D31" s="12">
        <f>COUNTIFS('Scheduler Engine'!$N$2:$N$1751,1,'Scheduler Engine'!$L$2:$L$1751,"&lt;="&amp;(1*24+5),'Scheduler Engine'!$M$2:$M$1751,"&gt;"&amp;(1*24+5))</f>
        <v/>
      </c>
      <c r="E31" s="12">
        <f>IF(AND(C31="Yes",D31&gt;0),1,0)</f>
        <v/>
      </c>
      <c r="F31" s="12" t="inlineStr">
        <is>
          <t>Should be 0 for all blank intervals; previous-week Sunday carryover is excluded from current-week waste.</t>
        </is>
      </c>
    </row>
    <row r="32">
      <c r="A32" s="12" t="inlineStr">
        <is>
          <t>Mon</t>
        </is>
      </c>
      <c r="B32" s="12" t="inlineStr">
        <is>
          <t>06:00</t>
        </is>
      </c>
      <c r="C32" s="12" t="inlineStr">
        <is>
          <t>Yes</t>
        </is>
      </c>
      <c r="D32" s="12">
        <f>COUNTIFS('Scheduler Engine'!$N$2:$N$1751,1,'Scheduler Engine'!$L$2:$L$1751,"&lt;="&amp;(1*24+6),'Scheduler Engine'!$M$2:$M$1751,"&gt;"&amp;(1*24+6))</f>
        <v/>
      </c>
      <c r="E32" s="12">
        <f>IF(AND(C32="Yes",D32&gt;0),1,0)</f>
        <v/>
      </c>
      <c r="F32" s="12" t="inlineStr">
        <is>
          <t>Should be 0 for all blank intervals; previous-week Sunday carryover is excluded from current-week waste.</t>
        </is>
      </c>
    </row>
    <row r="33">
      <c r="A33" s="12" t="inlineStr">
        <is>
          <t>Mon</t>
        </is>
      </c>
      <c r="B33" s="12" t="inlineStr">
        <is>
          <t>07:00</t>
        </is>
      </c>
      <c r="C33" s="12" t="inlineStr">
        <is>
          <t>Yes</t>
        </is>
      </c>
      <c r="D33" s="12">
        <f>COUNTIFS('Scheduler Engine'!$N$2:$N$1751,1,'Scheduler Engine'!$L$2:$L$1751,"&lt;="&amp;(1*24+7),'Scheduler Engine'!$M$2:$M$1751,"&gt;"&amp;(1*24+7))</f>
        <v/>
      </c>
      <c r="E33" s="12">
        <f>IF(AND(C33="Yes",D33&gt;0),1,0)</f>
        <v/>
      </c>
      <c r="F33" s="12" t="inlineStr">
        <is>
          <t>Should be 0 for all blank intervals; previous-week Sunday carryover is excluded from current-week waste.</t>
        </is>
      </c>
    </row>
    <row r="34">
      <c r="A34" s="12" t="inlineStr">
        <is>
          <t>Mon</t>
        </is>
      </c>
      <c r="B34" s="12" t="inlineStr">
        <is>
          <t>08:00</t>
        </is>
      </c>
      <c r="C34" s="12" t="inlineStr">
        <is>
          <t>Yes</t>
        </is>
      </c>
      <c r="D34" s="12">
        <f>COUNTIFS('Scheduler Engine'!$N$2:$N$1751,1,'Scheduler Engine'!$L$2:$L$1751,"&lt;="&amp;(1*24+8),'Scheduler Engine'!$M$2:$M$1751,"&gt;"&amp;(1*24+8))</f>
        <v/>
      </c>
      <c r="E34" s="12">
        <f>IF(AND(C34="Yes",D34&gt;0),1,0)</f>
        <v/>
      </c>
      <c r="F34" s="12" t="inlineStr">
        <is>
          <t>Should be 0 for all blank intervals; previous-week Sunday carryover is excluded from current-week waste.</t>
        </is>
      </c>
    </row>
    <row r="35">
      <c r="A35" s="12" t="inlineStr">
        <is>
          <t>Mon</t>
        </is>
      </c>
      <c r="B35" s="12" t="inlineStr">
        <is>
          <t>09:00</t>
        </is>
      </c>
      <c r="C35" s="12" t="inlineStr">
        <is>
          <t>Yes</t>
        </is>
      </c>
      <c r="D35" s="12">
        <f>COUNTIFS('Scheduler Engine'!$N$2:$N$1751,1,'Scheduler Engine'!$L$2:$L$1751,"&lt;="&amp;(1*24+9),'Scheduler Engine'!$M$2:$M$1751,"&gt;"&amp;(1*24+9))</f>
        <v/>
      </c>
      <c r="E35" s="12">
        <f>IF(AND(C35="Yes",D35&gt;0),1,0)</f>
        <v/>
      </c>
      <c r="F35" s="12" t="inlineStr">
        <is>
          <t>Should be 0 for all blank intervals; previous-week Sunday carryover is excluded from current-week waste.</t>
        </is>
      </c>
    </row>
    <row r="36">
      <c r="A36" s="12" t="inlineStr">
        <is>
          <t>Mon</t>
        </is>
      </c>
      <c r="B36" s="12" t="inlineStr">
        <is>
          <t>10:00</t>
        </is>
      </c>
      <c r="C36" s="12" t="inlineStr">
        <is>
          <t>Yes</t>
        </is>
      </c>
      <c r="D36" s="12">
        <f>COUNTIFS('Scheduler Engine'!$N$2:$N$1751,1,'Scheduler Engine'!$L$2:$L$1751,"&lt;="&amp;(1*24+10),'Scheduler Engine'!$M$2:$M$1751,"&gt;"&amp;(1*24+10))</f>
        <v/>
      </c>
      <c r="E36" s="12">
        <f>IF(AND(C36="Yes",D36&gt;0),1,0)</f>
        <v/>
      </c>
      <c r="F36" s="12" t="inlineStr">
        <is>
          <t>Should be 0 for all blank intervals; previous-week Sunday carryover is excluded from current-week waste.</t>
        </is>
      </c>
    </row>
    <row r="37">
      <c r="A37" s="12" t="inlineStr">
        <is>
          <t>Mon</t>
        </is>
      </c>
      <c r="B37" s="12" t="inlineStr">
        <is>
          <t>11:00</t>
        </is>
      </c>
      <c r="C37" s="12" t="inlineStr">
        <is>
          <t>No</t>
        </is>
      </c>
      <c r="D37" s="12">
        <f>COUNTIFS('Scheduler Engine'!$N$2:$N$1751,1,'Scheduler Engine'!$L$2:$L$1751,"&lt;="&amp;(1*24+11),'Scheduler Engine'!$M$2:$M$1751,"&gt;"&amp;(1*24+11))</f>
        <v/>
      </c>
      <c r="E37" s="12">
        <f>IF(AND(C37="Yes",D37&gt;0),1,0)</f>
        <v/>
      </c>
      <c r="F37" s="12" t="inlineStr">
        <is>
          <t>Should be 0 for all blank intervals; previous-week Sunday carryover is excluded from current-week waste.</t>
        </is>
      </c>
    </row>
    <row r="38">
      <c r="A38" s="12" t="inlineStr">
        <is>
          <t>Mon</t>
        </is>
      </c>
      <c r="B38" s="12" t="inlineStr">
        <is>
          <t>12:00</t>
        </is>
      </c>
      <c r="C38" s="12" t="inlineStr">
        <is>
          <t>No</t>
        </is>
      </c>
      <c r="D38" s="12">
        <f>COUNTIFS('Scheduler Engine'!$N$2:$N$1751,1,'Scheduler Engine'!$L$2:$L$1751,"&lt;="&amp;(1*24+12),'Scheduler Engine'!$M$2:$M$1751,"&gt;"&amp;(1*24+12))</f>
        <v/>
      </c>
      <c r="E38" s="12">
        <f>IF(AND(C38="Yes",D38&gt;0),1,0)</f>
        <v/>
      </c>
      <c r="F38" s="12" t="inlineStr">
        <is>
          <t>Should be 0 for all blank intervals; previous-week Sunday carryover is excluded from current-week waste.</t>
        </is>
      </c>
    </row>
    <row r="39">
      <c r="A39" s="12" t="inlineStr">
        <is>
          <t>Mon</t>
        </is>
      </c>
      <c r="B39" s="12" t="inlineStr">
        <is>
          <t>13:00</t>
        </is>
      </c>
      <c r="C39" s="12" t="inlineStr">
        <is>
          <t>No</t>
        </is>
      </c>
      <c r="D39" s="12">
        <f>COUNTIFS('Scheduler Engine'!$N$2:$N$1751,1,'Scheduler Engine'!$L$2:$L$1751,"&lt;="&amp;(1*24+13),'Scheduler Engine'!$M$2:$M$1751,"&gt;"&amp;(1*24+13))</f>
        <v/>
      </c>
      <c r="E39" s="12">
        <f>IF(AND(C39="Yes",D39&gt;0),1,0)</f>
        <v/>
      </c>
      <c r="F39" s="12" t="inlineStr">
        <is>
          <t>Should be 0 for all blank intervals; previous-week Sunday carryover is excluded from current-week waste.</t>
        </is>
      </c>
    </row>
    <row r="40">
      <c r="A40" s="12" t="inlineStr">
        <is>
          <t>Mon</t>
        </is>
      </c>
      <c r="B40" s="12" t="inlineStr">
        <is>
          <t>14:00</t>
        </is>
      </c>
      <c r="C40" s="12" t="inlineStr">
        <is>
          <t>No</t>
        </is>
      </c>
      <c r="D40" s="12">
        <f>COUNTIFS('Scheduler Engine'!$N$2:$N$1751,1,'Scheduler Engine'!$L$2:$L$1751,"&lt;="&amp;(1*24+14),'Scheduler Engine'!$M$2:$M$1751,"&gt;"&amp;(1*24+14))</f>
        <v/>
      </c>
      <c r="E40" s="12">
        <f>IF(AND(C40="Yes",D40&gt;0),1,0)</f>
        <v/>
      </c>
      <c r="F40" s="12" t="inlineStr">
        <is>
          <t>Should be 0 for all blank intervals; previous-week Sunday carryover is excluded from current-week waste.</t>
        </is>
      </c>
    </row>
    <row r="41">
      <c r="A41" s="12" t="inlineStr">
        <is>
          <t>Mon</t>
        </is>
      </c>
      <c r="B41" s="12" t="inlineStr">
        <is>
          <t>15:00</t>
        </is>
      </c>
      <c r="C41" s="12" t="inlineStr">
        <is>
          <t>No</t>
        </is>
      </c>
      <c r="D41" s="12">
        <f>COUNTIFS('Scheduler Engine'!$N$2:$N$1751,1,'Scheduler Engine'!$L$2:$L$1751,"&lt;="&amp;(1*24+15),'Scheduler Engine'!$M$2:$M$1751,"&gt;"&amp;(1*24+15))</f>
        <v/>
      </c>
      <c r="E41" s="12">
        <f>IF(AND(C41="Yes",D41&gt;0),1,0)</f>
        <v/>
      </c>
      <c r="F41" s="12" t="inlineStr">
        <is>
          <t>Should be 0 for all blank intervals; previous-week Sunday carryover is excluded from current-week waste.</t>
        </is>
      </c>
    </row>
    <row r="42">
      <c r="A42" s="12" t="inlineStr">
        <is>
          <t>Mon</t>
        </is>
      </c>
      <c r="B42" s="12" t="inlineStr">
        <is>
          <t>16:00</t>
        </is>
      </c>
      <c r="C42" s="12" t="inlineStr">
        <is>
          <t>No</t>
        </is>
      </c>
      <c r="D42" s="12">
        <f>COUNTIFS('Scheduler Engine'!$N$2:$N$1751,1,'Scheduler Engine'!$L$2:$L$1751,"&lt;="&amp;(1*24+16),'Scheduler Engine'!$M$2:$M$1751,"&gt;"&amp;(1*24+16))</f>
        <v/>
      </c>
      <c r="E42" s="12">
        <f>IF(AND(C42="Yes",D42&gt;0),1,0)</f>
        <v/>
      </c>
      <c r="F42" s="12" t="inlineStr">
        <is>
          <t>Should be 0 for all blank intervals; previous-week Sunday carryover is excluded from current-week waste.</t>
        </is>
      </c>
    </row>
    <row r="43">
      <c r="A43" s="12" t="inlineStr">
        <is>
          <t>Mon</t>
        </is>
      </c>
      <c r="B43" s="12" t="inlineStr">
        <is>
          <t>17:00</t>
        </is>
      </c>
      <c r="C43" s="12" t="inlineStr">
        <is>
          <t>No</t>
        </is>
      </c>
      <c r="D43" s="12">
        <f>COUNTIFS('Scheduler Engine'!$N$2:$N$1751,1,'Scheduler Engine'!$L$2:$L$1751,"&lt;="&amp;(1*24+17),'Scheduler Engine'!$M$2:$M$1751,"&gt;"&amp;(1*24+17))</f>
        <v/>
      </c>
      <c r="E43" s="12">
        <f>IF(AND(C43="Yes",D43&gt;0),1,0)</f>
        <v/>
      </c>
      <c r="F43" s="12" t="inlineStr">
        <is>
          <t>Should be 0 for all blank intervals; previous-week Sunday carryover is excluded from current-week waste.</t>
        </is>
      </c>
    </row>
    <row r="44">
      <c r="A44" s="12" t="inlineStr">
        <is>
          <t>Mon</t>
        </is>
      </c>
      <c r="B44" s="12" t="inlineStr">
        <is>
          <t>18:00</t>
        </is>
      </c>
      <c r="C44" s="12" t="inlineStr">
        <is>
          <t>No</t>
        </is>
      </c>
      <c r="D44" s="12">
        <f>COUNTIFS('Scheduler Engine'!$N$2:$N$1751,1,'Scheduler Engine'!$L$2:$L$1751,"&lt;="&amp;(1*24+18),'Scheduler Engine'!$M$2:$M$1751,"&gt;"&amp;(1*24+18))</f>
        <v/>
      </c>
      <c r="E44" s="12">
        <f>IF(AND(C44="Yes",D44&gt;0),1,0)</f>
        <v/>
      </c>
      <c r="F44" s="12" t="inlineStr">
        <is>
          <t>Should be 0 for all blank intervals; previous-week Sunday carryover is excluded from current-week waste.</t>
        </is>
      </c>
    </row>
    <row r="45">
      <c r="A45" s="12" t="inlineStr">
        <is>
          <t>Mon</t>
        </is>
      </c>
      <c r="B45" s="12" t="inlineStr">
        <is>
          <t>19:00</t>
        </is>
      </c>
      <c r="C45" s="12" t="inlineStr">
        <is>
          <t>No</t>
        </is>
      </c>
      <c r="D45" s="12">
        <f>COUNTIFS('Scheduler Engine'!$N$2:$N$1751,1,'Scheduler Engine'!$L$2:$L$1751,"&lt;="&amp;(1*24+19),'Scheduler Engine'!$M$2:$M$1751,"&gt;"&amp;(1*24+19))</f>
        <v/>
      </c>
      <c r="E45" s="12">
        <f>IF(AND(C45="Yes",D45&gt;0),1,0)</f>
        <v/>
      </c>
      <c r="F45" s="12" t="inlineStr">
        <is>
          <t>Should be 0 for all blank intervals; previous-week Sunday carryover is excluded from current-week waste.</t>
        </is>
      </c>
    </row>
    <row r="46">
      <c r="A46" s="12" t="inlineStr">
        <is>
          <t>Mon</t>
        </is>
      </c>
      <c r="B46" s="12" t="inlineStr">
        <is>
          <t>20:00</t>
        </is>
      </c>
      <c r="C46" s="12" t="inlineStr">
        <is>
          <t>No</t>
        </is>
      </c>
      <c r="D46" s="12">
        <f>COUNTIFS('Scheduler Engine'!$N$2:$N$1751,1,'Scheduler Engine'!$L$2:$L$1751,"&lt;="&amp;(1*24+20),'Scheduler Engine'!$M$2:$M$1751,"&gt;"&amp;(1*24+20))</f>
        <v/>
      </c>
      <c r="E46" s="12">
        <f>IF(AND(C46="Yes",D46&gt;0),1,0)</f>
        <v/>
      </c>
      <c r="F46" s="12" t="inlineStr">
        <is>
          <t>Should be 0 for all blank intervals; previous-week Sunday carryover is excluded from current-week waste.</t>
        </is>
      </c>
    </row>
    <row r="47">
      <c r="A47" s="12" t="inlineStr">
        <is>
          <t>Mon</t>
        </is>
      </c>
      <c r="B47" s="12" t="inlineStr">
        <is>
          <t>21:00</t>
        </is>
      </c>
      <c r="C47" s="12" t="inlineStr">
        <is>
          <t>No</t>
        </is>
      </c>
      <c r="D47" s="12">
        <f>COUNTIFS('Scheduler Engine'!$N$2:$N$1751,1,'Scheduler Engine'!$L$2:$L$1751,"&lt;="&amp;(1*24+21),'Scheduler Engine'!$M$2:$M$1751,"&gt;"&amp;(1*24+21))</f>
        <v/>
      </c>
      <c r="E47" s="12">
        <f>IF(AND(C47="Yes",D47&gt;0),1,0)</f>
        <v/>
      </c>
      <c r="F47" s="12" t="inlineStr">
        <is>
          <t>Should be 0 for all blank intervals; previous-week Sunday carryover is excluded from current-week waste.</t>
        </is>
      </c>
    </row>
    <row r="48">
      <c r="A48" s="12" t="inlineStr">
        <is>
          <t>Mon</t>
        </is>
      </c>
      <c r="B48" s="12" t="inlineStr">
        <is>
          <t>22:00</t>
        </is>
      </c>
      <c r="C48" s="12" t="inlineStr">
        <is>
          <t>No</t>
        </is>
      </c>
      <c r="D48" s="12">
        <f>COUNTIFS('Scheduler Engine'!$N$2:$N$1751,1,'Scheduler Engine'!$L$2:$L$1751,"&lt;="&amp;(1*24+22),'Scheduler Engine'!$M$2:$M$1751,"&gt;"&amp;(1*24+22))</f>
        <v/>
      </c>
      <c r="E48" s="12">
        <f>IF(AND(C48="Yes",D48&gt;0),1,0)</f>
        <v/>
      </c>
      <c r="F48" s="12" t="inlineStr">
        <is>
          <t>Should be 0 for all blank intervals; previous-week Sunday carryover is excluded from current-week waste.</t>
        </is>
      </c>
    </row>
    <row r="49">
      <c r="A49" s="12" t="inlineStr">
        <is>
          <t>Mon</t>
        </is>
      </c>
      <c r="B49" s="12" t="inlineStr">
        <is>
          <t>23:00</t>
        </is>
      </c>
      <c r="C49" s="12" t="inlineStr">
        <is>
          <t>No</t>
        </is>
      </c>
      <c r="D49" s="12">
        <f>COUNTIFS('Scheduler Engine'!$N$2:$N$1751,1,'Scheduler Engine'!$L$2:$L$1751,"&lt;="&amp;(1*24+23),'Scheduler Engine'!$M$2:$M$1751,"&gt;"&amp;(1*24+23))</f>
        <v/>
      </c>
      <c r="E49" s="12">
        <f>IF(AND(C49="Yes",D49&gt;0),1,0)</f>
        <v/>
      </c>
      <c r="F49" s="12" t="inlineStr">
        <is>
          <t>Should be 0 for all blank intervals; previous-week Sunday carryover is excluded from current-week waste.</t>
        </is>
      </c>
    </row>
    <row r="50">
      <c r="A50" s="12" t="inlineStr">
        <is>
          <t>Tue</t>
        </is>
      </c>
      <c r="B50" s="12" t="inlineStr">
        <is>
          <t>00:00</t>
        </is>
      </c>
      <c r="C50" s="12" t="inlineStr">
        <is>
          <t>No</t>
        </is>
      </c>
      <c r="D50" s="12">
        <f>COUNTIFS('Scheduler Engine'!$N$2:$N$1751,1,'Scheduler Engine'!$L$2:$L$1751,"&lt;="&amp;(2*24+0),'Scheduler Engine'!$M$2:$M$1751,"&gt;"&amp;(2*24+0))</f>
        <v/>
      </c>
      <c r="E50" s="12">
        <f>IF(AND(C50="Yes",D50&gt;0),1,0)</f>
        <v/>
      </c>
      <c r="F50" s="12" t="inlineStr">
        <is>
          <t>Should be 0 for all blank intervals; previous-week Sunday carryover is excluded from current-week waste.</t>
        </is>
      </c>
    </row>
    <row r="51">
      <c r="A51" s="12" t="inlineStr">
        <is>
          <t>Tue</t>
        </is>
      </c>
      <c r="B51" s="12" t="inlineStr">
        <is>
          <t>01:00</t>
        </is>
      </c>
      <c r="C51" s="12" t="inlineStr">
        <is>
          <t>No</t>
        </is>
      </c>
      <c r="D51" s="12">
        <f>COUNTIFS('Scheduler Engine'!$N$2:$N$1751,1,'Scheduler Engine'!$L$2:$L$1751,"&lt;="&amp;(2*24+1),'Scheduler Engine'!$M$2:$M$1751,"&gt;"&amp;(2*24+1))</f>
        <v/>
      </c>
      <c r="E51" s="12">
        <f>IF(AND(C51="Yes",D51&gt;0),1,0)</f>
        <v/>
      </c>
      <c r="F51" s="12" t="inlineStr">
        <is>
          <t>Should be 0 for all blank intervals; previous-week Sunday carryover is excluded from current-week waste.</t>
        </is>
      </c>
    </row>
    <row r="52">
      <c r="A52" s="12" t="inlineStr">
        <is>
          <t>Tue</t>
        </is>
      </c>
      <c r="B52" s="12" t="inlineStr">
        <is>
          <t>02:00</t>
        </is>
      </c>
      <c r="C52" s="12" t="inlineStr">
        <is>
          <t>No</t>
        </is>
      </c>
      <c r="D52" s="12">
        <f>COUNTIFS('Scheduler Engine'!$N$2:$N$1751,1,'Scheduler Engine'!$L$2:$L$1751,"&lt;="&amp;(2*24+2),'Scheduler Engine'!$M$2:$M$1751,"&gt;"&amp;(2*24+2))</f>
        <v/>
      </c>
      <c r="E52" s="12">
        <f>IF(AND(C52="Yes",D52&gt;0),1,0)</f>
        <v/>
      </c>
      <c r="F52" s="12" t="inlineStr">
        <is>
          <t>Should be 0 for all blank intervals; previous-week Sunday carryover is excluded from current-week waste.</t>
        </is>
      </c>
    </row>
    <row r="53">
      <c r="A53" s="12" t="inlineStr">
        <is>
          <t>Tue</t>
        </is>
      </c>
      <c r="B53" s="12" t="inlineStr">
        <is>
          <t>03:00</t>
        </is>
      </c>
      <c r="C53" s="12" t="inlineStr">
        <is>
          <t>No</t>
        </is>
      </c>
      <c r="D53" s="12">
        <f>COUNTIFS('Scheduler Engine'!$N$2:$N$1751,1,'Scheduler Engine'!$L$2:$L$1751,"&lt;="&amp;(2*24+3),'Scheduler Engine'!$M$2:$M$1751,"&gt;"&amp;(2*24+3))</f>
        <v/>
      </c>
      <c r="E53" s="12">
        <f>IF(AND(C53="Yes",D53&gt;0),1,0)</f>
        <v/>
      </c>
      <c r="F53" s="12" t="inlineStr">
        <is>
          <t>Should be 0 for all blank intervals; previous-week Sunday carryover is excluded from current-week waste.</t>
        </is>
      </c>
    </row>
    <row r="54">
      <c r="A54" s="12" t="inlineStr">
        <is>
          <t>Tue</t>
        </is>
      </c>
      <c r="B54" s="12" t="inlineStr">
        <is>
          <t>04:00</t>
        </is>
      </c>
      <c r="C54" s="12" t="inlineStr">
        <is>
          <t>No</t>
        </is>
      </c>
      <c r="D54" s="12">
        <f>COUNTIFS('Scheduler Engine'!$N$2:$N$1751,1,'Scheduler Engine'!$L$2:$L$1751,"&lt;="&amp;(2*24+4),'Scheduler Engine'!$M$2:$M$1751,"&gt;"&amp;(2*24+4))</f>
        <v/>
      </c>
      <c r="E54" s="12">
        <f>IF(AND(C54="Yes",D54&gt;0),1,0)</f>
        <v/>
      </c>
      <c r="F54" s="12" t="inlineStr">
        <is>
          <t>Should be 0 for all blank intervals; previous-week Sunday carryover is excluded from current-week waste.</t>
        </is>
      </c>
    </row>
    <row r="55">
      <c r="A55" s="12" t="inlineStr">
        <is>
          <t>Tue</t>
        </is>
      </c>
      <c r="B55" s="12" t="inlineStr">
        <is>
          <t>05:00</t>
        </is>
      </c>
      <c r="C55" s="12" t="inlineStr">
        <is>
          <t>No</t>
        </is>
      </c>
      <c r="D55" s="12">
        <f>COUNTIFS('Scheduler Engine'!$N$2:$N$1751,1,'Scheduler Engine'!$L$2:$L$1751,"&lt;="&amp;(2*24+5),'Scheduler Engine'!$M$2:$M$1751,"&gt;"&amp;(2*24+5))</f>
        <v/>
      </c>
      <c r="E55" s="12">
        <f>IF(AND(C55="Yes",D55&gt;0),1,0)</f>
        <v/>
      </c>
      <c r="F55" s="12" t="inlineStr">
        <is>
          <t>Should be 0 for all blank intervals; previous-week Sunday carryover is excluded from current-week waste.</t>
        </is>
      </c>
    </row>
    <row r="56">
      <c r="A56" s="12" t="inlineStr">
        <is>
          <t>Tue</t>
        </is>
      </c>
      <c r="B56" s="12" t="inlineStr">
        <is>
          <t>06:00</t>
        </is>
      </c>
      <c r="C56" s="12" t="inlineStr">
        <is>
          <t>No</t>
        </is>
      </c>
      <c r="D56" s="12">
        <f>COUNTIFS('Scheduler Engine'!$N$2:$N$1751,1,'Scheduler Engine'!$L$2:$L$1751,"&lt;="&amp;(2*24+6),'Scheduler Engine'!$M$2:$M$1751,"&gt;"&amp;(2*24+6))</f>
        <v/>
      </c>
      <c r="E56" s="12">
        <f>IF(AND(C56="Yes",D56&gt;0),1,0)</f>
        <v/>
      </c>
      <c r="F56" s="12" t="inlineStr">
        <is>
          <t>Should be 0 for all blank intervals; previous-week Sunday carryover is excluded from current-week waste.</t>
        </is>
      </c>
    </row>
    <row r="57">
      <c r="A57" s="12" t="inlineStr">
        <is>
          <t>Tue</t>
        </is>
      </c>
      <c r="B57" s="12" t="inlineStr">
        <is>
          <t>07:00</t>
        </is>
      </c>
      <c r="C57" s="12" t="inlineStr">
        <is>
          <t>Yes</t>
        </is>
      </c>
      <c r="D57" s="12">
        <f>COUNTIFS('Scheduler Engine'!$N$2:$N$1751,1,'Scheduler Engine'!$L$2:$L$1751,"&lt;="&amp;(2*24+7),'Scheduler Engine'!$M$2:$M$1751,"&gt;"&amp;(2*24+7))</f>
        <v/>
      </c>
      <c r="E57" s="12">
        <f>IF(AND(C57="Yes",D57&gt;0),1,0)</f>
        <v/>
      </c>
      <c r="F57" s="12" t="inlineStr">
        <is>
          <t>Should be 0 for all blank intervals; previous-week Sunday carryover is excluded from current-week waste.</t>
        </is>
      </c>
    </row>
    <row r="58">
      <c r="A58" s="12" t="inlineStr">
        <is>
          <t>Tue</t>
        </is>
      </c>
      <c r="B58" s="12" t="inlineStr">
        <is>
          <t>08:00</t>
        </is>
      </c>
      <c r="C58" s="12" t="inlineStr">
        <is>
          <t>Yes</t>
        </is>
      </c>
      <c r="D58" s="12">
        <f>COUNTIFS('Scheduler Engine'!$N$2:$N$1751,1,'Scheduler Engine'!$L$2:$L$1751,"&lt;="&amp;(2*24+8),'Scheduler Engine'!$M$2:$M$1751,"&gt;"&amp;(2*24+8))</f>
        <v/>
      </c>
      <c r="E58" s="12">
        <f>IF(AND(C58="Yes",D58&gt;0),1,0)</f>
        <v/>
      </c>
      <c r="F58" s="12" t="inlineStr">
        <is>
          <t>Should be 0 for all blank intervals; previous-week Sunday carryover is excluded from current-week waste.</t>
        </is>
      </c>
    </row>
    <row r="59">
      <c r="A59" s="12" t="inlineStr">
        <is>
          <t>Tue</t>
        </is>
      </c>
      <c r="B59" s="12" t="inlineStr">
        <is>
          <t>09:00</t>
        </is>
      </c>
      <c r="C59" s="12" t="inlineStr">
        <is>
          <t>Yes</t>
        </is>
      </c>
      <c r="D59" s="12">
        <f>COUNTIFS('Scheduler Engine'!$N$2:$N$1751,1,'Scheduler Engine'!$L$2:$L$1751,"&lt;="&amp;(2*24+9),'Scheduler Engine'!$M$2:$M$1751,"&gt;"&amp;(2*24+9))</f>
        <v/>
      </c>
      <c r="E59" s="12">
        <f>IF(AND(C59="Yes",D59&gt;0),1,0)</f>
        <v/>
      </c>
      <c r="F59" s="12" t="inlineStr">
        <is>
          <t>Should be 0 for all blank intervals; previous-week Sunday carryover is excluded from current-week waste.</t>
        </is>
      </c>
    </row>
    <row r="60">
      <c r="A60" s="12" t="inlineStr">
        <is>
          <t>Tue</t>
        </is>
      </c>
      <c r="B60" s="12" t="inlineStr">
        <is>
          <t>10:00</t>
        </is>
      </c>
      <c r="C60" s="12" t="inlineStr">
        <is>
          <t>Yes</t>
        </is>
      </c>
      <c r="D60" s="12">
        <f>COUNTIFS('Scheduler Engine'!$N$2:$N$1751,1,'Scheduler Engine'!$L$2:$L$1751,"&lt;="&amp;(2*24+10),'Scheduler Engine'!$M$2:$M$1751,"&gt;"&amp;(2*24+10))</f>
        <v/>
      </c>
      <c r="E60" s="12">
        <f>IF(AND(C60="Yes",D60&gt;0),1,0)</f>
        <v/>
      </c>
      <c r="F60" s="12" t="inlineStr">
        <is>
          <t>Should be 0 for all blank intervals; previous-week Sunday carryover is excluded from current-week waste.</t>
        </is>
      </c>
    </row>
    <row r="61">
      <c r="A61" s="12" t="inlineStr">
        <is>
          <t>Tue</t>
        </is>
      </c>
      <c r="B61" s="12" t="inlineStr">
        <is>
          <t>11:00</t>
        </is>
      </c>
      <c r="C61" s="12" t="inlineStr">
        <is>
          <t>No</t>
        </is>
      </c>
      <c r="D61" s="12">
        <f>COUNTIFS('Scheduler Engine'!$N$2:$N$1751,1,'Scheduler Engine'!$L$2:$L$1751,"&lt;="&amp;(2*24+11),'Scheduler Engine'!$M$2:$M$1751,"&gt;"&amp;(2*24+11))</f>
        <v/>
      </c>
      <c r="E61" s="12">
        <f>IF(AND(C61="Yes",D61&gt;0),1,0)</f>
        <v/>
      </c>
      <c r="F61" s="12" t="inlineStr">
        <is>
          <t>Should be 0 for all blank intervals; previous-week Sunday carryover is excluded from current-week waste.</t>
        </is>
      </c>
    </row>
    <row r="62">
      <c r="A62" s="12" t="inlineStr">
        <is>
          <t>Tue</t>
        </is>
      </c>
      <c r="B62" s="12" t="inlineStr">
        <is>
          <t>12:00</t>
        </is>
      </c>
      <c r="C62" s="12" t="inlineStr">
        <is>
          <t>No</t>
        </is>
      </c>
      <c r="D62" s="12">
        <f>COUNTIFS('Scheduler Engine'!$N$2:$N$1751,1,'Scheduler Engine'!$L$2:$L$1751,"&lt;="&amp;(2*24+12),'Scheduler Engine'!$M$2:$M$1751,"&gt;"&amp;(2*24+12))</f>
        <v/>
      </c>
      <c r="E62" s="12">
        <f>IF(AND(C62="Yes",D62&gt;0),1,0)</f>
        <v/>
      </c>
      <c r="F62" s="12" t="inlineStr">
        <is>
          <t>Should be 0 for all blank intervals; previous-week Sunday carryover is excluded from current-week waste.</t>
        </is>
      </c>
    </row>
    <row r="63">
      <c r="A63" s="12" t="inlineStr">
        <is>
          <t>Tue</t>
        </is>
      </c>
      <c r="B63" s="12" t="inlineStr">
        <is>
          <t>13:00</t>
        </is>
      </c>
      <c r="C63" s="12" t="inlineStr">
        <is>
          <t>No</t>
        </is>
      </c>
      <c r="D63" s="12">
        <f>COUNTIFS('Scheduler Engine'!$N$2:$N$1751,1,'Scheduler Engine'!$L$2:$L$1751,"&lt;="&amp;(2*24+13),'Scheduler Engine'!$M$2:$M$1751,"&gt;"&amp;(2*24+13))</f>
        <v/>
      </c>
      <c r="E63" s="12">
        <f>IF(AND(C63="Yes",D63&gt;0),1,0)</f>
        <v/>
      </c>
      <c r="F63" s="12" t="inlineStr">
        <is>
          <t>Should be 0 for all blank intervals; previous-week Sunday carryover is excluded from current-week waste.</t>
        </is>
      </c>
    </row>
    <row r="64">
      <c r="A64" s="12" t="inlineStr">
        <is>
          <t>Tue</t>
        </is>
      </c>
      <c r="B64" s="12" t="inlineStr">
        <is>
          <t>14:00</t>
        </is>
      </c>
      <c r="C64" s="12" t="inlineStr">
        <is>
          <t>No</t>
        </is>
      </c>
      <c r="D64" s="12">
        <f>COUNTIFS('Scheduler Engine'!$N$2:$N$1751,1,'Scheduler Engine'!$L$2:$L$1751,"&lt;="&amp;(2*24+14),'Scheduler Engine'!$M$2:$M$1751,"&gt;"&amp;(2*24+14))</f>
        <v/>
      </c>
      <c r="E64" s="12">
        <f>IF(AND(C64="Yes",D64&gt;0),1,0)</f>
        <v/>
      </c>
      <c r="F64" s="12" t="inlineStr">
        <is>
          <t>Should be 0 for all blank intervals; previous-week Sunday carryover is excluded from current-week waste.</t>
        </is>
      </c>
    </row>
    <row r="65">
      <c r="A65" s="12" t="inlineStr">
        <is>
          <t>Tue</t>
        </is>
      </c>
      <c r="B65" s="12" t="inlineStr">
        <is>
          <t>15:00</t>
        </is>
      </c>
      <c r="C65" s="12" t="inlineStr">
        <is>
          <t>No</t>
        </is>
      </c>
      <c r="D65" s="12">
        <f>COUNTIFS('Scheduler Engine'!$N$2:$N$1751,1,'Scheduler Engine'!$L$2:$L$1751,"&lt;="&amp;(2*24+15),'Scheduler Engine'!$M$2:$M$1751,"&gt;"&amp;(2*24+15))</f>
        <v/>
      </c>
      <c r="E65" s="12">
        <f>IF(AND(C65="Yes",D65&gt;0),1,0)</f>
        <v/>
      </c>
      <c r="F65" s="12" t="inlineStr">
        <is>
          <t>Should be 0 for all blank intervals; previous-week Sunday carryover is excluded from current-week waste.</t>
        </is>
      </c>
    </row>
    <row r="66">
      <c r="A66" s="12" t="inlineStr">
        <is>
          <t>Tue</t>
        </is>
      </c>
      <c r="B66" s="12" t="inlineStr">
        <is>
          <t>16:00</t>
        </is>
      </c>
      <c r="C66" s="12" t="inlineStr">
        <is>
          <t>No</t>
        </is>
      </c>
      <c r="D66" s="12">
        <f>COUNTIFS('Scheduler Engine'!$N$2:$N$1751,1,'Scheduler Engine'!$L$2:$L$1751,"&lt;="&amp;(2*24+16),'Scheduler Engine'!$M$2:$M$1751,"&gt;"&amp;(2*24+16))</f>
        <v/>
      </c>
      <c r="E66" s="12">
        <f>IF(AND(C66="Yes",D66&gt;0),1,0)</f>
        <v/>
      </c>
      <c r="F66" s="12" t="inlineStr">
        <is>
          <t>Should be 0 for all blank intervals; previous-week Sunday carryover is excluded from current-week waste.</t>
        </is>
      </c>
    </row>
    <row r="67">
      <c r="A67" s="12" t="inlineStr">
        <is>
          <t>Tue</t>
        </is>
      </c>
      <c r="B67" s="12" t="inlineStr">
        <is>
          <t>17:00</t>
        </is>
      </c>
      <c r="C67" s="12" t="inlineStr">
        <is>
          <t>No</t>
        </is>
      </c>
      <c r="D67" s="12">
        <f>COUNTIFS('Scheduler Engine'!$N$2:$N$1751,1,'Scheduler Engine'!$L$2:$L$1751,"&lt;="&amp;(2*24+17),'Scheduler Engine'!$M$2:$M$1751,"&gt;"&amp;(2*24+17))</f>
        <v/>
      </c>
      <c r="E67" s="12">
        <f>IF(AND(C67="Yes",D67&gt;0),1,0)</f>
        <v/>
      </c>
      <c r="F67" s="12" t="inlineStr">
        <is>
          <t>Should be 0 for all blank intervals; previous-week Sunday carryover is excluded from current-week waste.</t>
        </is>
      </c>
    </row>
    <row r="68">
      <c r="A68" s="12" t="inlineStr">
        <is>
          <t>Tue</t>
        </is>
      </c>
      <c r="B68" s="12" t="inlineStr">
        <is>
          <t>18:00</t>
        </is>
      </c>
      <c r="C68" s="12" t="inlineStr">
        <is>
          <t>No</t>
        </is>
      </c>
      <c r="D68" s="12">
        <f>COUNTIFS('Scheduler Engine'!$N$2:$N$1751,1,'Scheduler Engine'!$L$2:$L$1751,"&lt;="&amp;(2*24+18),'Scheduler Engine'!$M$2:$M$1751,"&gt;"&amp;(2*24+18))</f>
        <v/>
      </c>
      <c r="E68" s="12">
        <f>IF(AND(C68="Yes",D68&gt;0),1,0)</f>
        <v/>
      </c>
      <c r="F68" s="12" t="inlineStr">
        <is>
          <t>Should be 0 for all blank intervals; previous-week Sunday carryover is excluded from current-week waste.</t>
        </is>
      </c>
    </row>
    <row r="69">
      <c r="A69" s="12" t="inlineStr">
        <is>
          <t>Tue</t>
        </is>
      </c>
      <c r="B69" s="12" t="inlineStr">
        <is>
          <t>19:00</t>
        </is>
      </c>
      <c r="C69" s="12" t="inlineStr">
        <is>
          <t>No</t>
        </is>
      </c>
      <c r="D69" s="12">
        <f>COUNTIFS('Scheduler Engine'!$N$2:$N$1751,1,'Scheduler Engine'!$L$2:$L$1751,"&lt;="&amp;(2*24+19),'Scheduler Engine'!$M$2:$M$1751,"&gt;"&amp;(2*24+19))</f>
        <v/>
      </c>
      <c r="E69" s="12">
        <f>IF(AND(C69="Yes",D69&gt;0),1,0)</f>
        <v/>
      </c>
      <c r="F69" s="12" t="inlineStr">
        <is>
          <t>Should be 0 for all blank intervals; previous-week Sunday carryover is excluded from current-week waste.</t>
        </is>
      </c>
    </row>
    <row r="70">
      <c r="A70" s="12" t="inlineStr">
        <is>
          <t>Tue</t>
        </is>
      </c>
      <c r="B70" s="12" t="inlineStr">
        <is>
          <t>20:00</t>
        </is>
      </c>
      <c r="C70" s="12" t="inlineStr">
        <is>
          <t>No</t>
        </is>
      </c>
      <c r="D70" s="12">
        <f>COUNTIFS('Scheduler Engine'!$N$2:$N$1751,1,'Scheduler Engine'!$L$2:$L$1751,"&lt;="&amp;(2*24+20),'Scheduler Engine'!$M$2:$M$1751,"&gt;"&amp;(2*24+20))</f>
        <v/>
      </c>
      <c r="E70" s="12">
        <f>IF(AND(C70="Yes",D70&gt;0),1,0)</f>
        <v/>
      </c>
      <c r="F70" s="12" t="inlineStr">
        <is>
          <t>Should be 0 for all blank intervals; previous-week Sunday carryover is excluded from current-week waste.</t>
        </is>
      </c>
    </row>
    <row r="71">
      <c r="A71" s="12" t="inlineStr">
        <is>
          <t>Tue</t>
        </is>
      </c>
      <c r="B71" s="12" t="inlineStr">
        <is>
          <t>21:00</t>
        </is>
      </c>
      <c r="C71" s="12" t="inlineStr">
        <is>
          <t>No</t>
        </is>
      </c>
      <c r="D71" s="12">
        <f>COUNTIFS('Scheduler Engine'!$N$2:$N$1751,1,'Scheduler Engine'!$L$2:$L$1751,"&lt;="&amp;(2*24+21),'Scheduler Engine'!$M$2:$M$1751,"&gt;"&amp;(2*24+21))</f>
        <v/>
      </c>
      <c r="E71" s="12">
        <f>IF(AND(C71="Yes",D71&gt;0),1,0)</f>
        <v/>
      </c>
      <c r="F71" s="12" t="inlineStr">
        <is>
          <t>Should be 0 for all blank intervals; previous-week Sunday carryover is excluded from current-week waste.</t>
        </is>
      </c>
    </row>
    <row r="72">
      <c r="A72" s="12" t="inlineStr">
        <is>
          <t>Tue</t>
        </is>
      </c>
      <c r="B72" s="12" t="inlineStr">
        <is>
          <t>22:00</t>
        </is>
      </c>
      <c r="C72" s="12" t="inlineStr">
        <is>
          <t>No</t>
        </is>
      </c>
      <c r="D72" s="12">
        <f>COUNTIFS('Scheduler Engine'!$N$2:$N$1751,1,'Scheduler Engine'!$L$2:$L$1751,"&lt;="&amp;(2*24+22),'Scheduler Engine'!$M$2:$M$1751,"&gt;"&amp;(2*24+22))</f>
        <v/>
      </c>
      <c r="E72" s="12">
        <f>IF(AND(C72="Yes",D72&gt;0),1,0)</f>
        <v/>
      </c>
      <c r="F72" s="12" t="inlineStr">
        <is>
          <t>Should be 0 for all blank intervals; previous-week Sunday carryover is excluded from current-week waste.</t>
        </is>
      </c>
    </row>
    <row r="73">
      <c r="A73" s="12" t="inlineStr">
        <is>
          <t>Tue</t>
        </is>
      </c>
      <c r="B73" s="12" t="inlineStr">
        <is>
          <t>23:00</t>
        </is>
      </c>
      <c r="C73" s="12" t="inlineStr">
        <is>
          <t>No</t>
        </is>
      </c>
      <c r="D73" s="12">
        <f>COUNTIFS('Scheduler Engine'!$N$2:$N$1751,1,'Scheduler Engine'!$L$2:$L$1751,"&lt;="&amp;(2*24+23),'Scheduler Engine'!$M$2:$M$1751,"&gt;"&amp;(2*24+23))</f>
        <v/>
      </c>
      <c r="E73" s="12">
        <f>IF(AND(C73="Yes",D73&gt;0),1,0)</f>
        <v/>
      </c>
      <c r="F73" s="12" t="inlineStr">
        <is>
          <t>Should be 0 for all blank intervals; previous-week Sunday carryover is excluded from current-week waste.</t>
        </is>
      </c>
    </row>
    <row r="74">
      <c r="A74" s="12" t="inlineStr">
        <is>
          <t>Wed</t>
        </is>
      </c>
      <c r="B74" s="12" t="inlineStr">
        <is>
          <t>00:00</t>
        </is>
      </c>
      <c r="C74" s="12" t="inlineStr">
        <is>
          <t>No</t>
        </is>
      </c>
      <c r="D74" s="12">
        <f>COUNTIFS('Scheduler Engine'!$N$2:$N$1751,1,'Scheduler Engine'!$L$2:$L$1751,"&lt;="&amp;(3*24+0),'Scheduler Engine'!$M$2:$M$1751,"&gt;"&amp;(3*24+0))</f>
        <v/>
      </c>
      <c r="E74" s="12">
        <f>IF(AND(C74="Yes",D74&gt;0),1,0)</f>
        <v/>
      </c>
      <c r="F74" s="12" t="inlineStr">
        <is>
          <t>Should be 0 for all blank intervals; previous-week Sunday carryover is excluded from current-week waste.</t>
        </is>
      </c>
    </row>
    <row r="75">
      <c r="A75" s="12" t="inlineStr">
        <is>
          <t>Wed</t>
        </is>
      </c>
      <c r="B75" s="12" t="inlineStr">
        <is>
          <t>01:00</t>
        </is>
      </c>
      <c r="C75" s="12" t="inlineStr">
        <is>
          <t>No</t>
        </is>
      </c>
      <c r="D75" s="12">
        <f>COUNTIFS('Scheduler Engine'!$N$2:$N$1751,1,'Scheduler Engine'!$L$2:$L$1751,"&lt;="&amp;(3*24+1),'Scheduler Engine'!$M$2:$M$1751,"&gt;"&amp;(3*24+1))</f>
        <v/>
      </c>
      <c r="E75" s="12">
        <f>IF(AND(C75="Yes",D75&gt;0),1,0)</f>
        <v/>
      </c>
      <c r="F75" s="12" t="inlineStr">
        <is>
          <t>Should be 0 for all blank intervals; previous-week Sunday carryover is excluded from current-week waste.</t>
        </is>
      </c>
    </row>
    <row r="76">
      <c r="A76" s="12" t="inlineStr">
        <is>
          <t>Wed</t>
        </is>
      </c>
      <c r="B76" s="12" t="inlineStr">
        <is>
          <t>02:00</t>
        </is>
      </c>
      <c r="C76" s="12" t="inlineStr">
        <is>
          <t>No</t>
        </is>
      </c>
      <c r="D76" s="12">
        <f>COUNTIFS('Scheduler Engine'!$N$2:$N$1751,1,'Scheduler Engine'!$L$2:$L$1751,"&lt;="&amp;(3*24+2),'Scheduler Engine'!$M$2:$M$1751,"&gt;"&amp;(3*24+2))</f>
        <v/>
      </c>
      <c r="E76" s="12">
        <f>IF(AND(C76="Yes",D76&gt;0),1,0)</f>
        <v/>
      </c>
      <c r="F76" s="12" t="inlineStr">
        <is>
          <t>Should be 0 for all blank intervals; previous-week Sunday carryover is excluded from current-week waste.</t>
        </is>
      </c>
    </row>
    <row r="77">
      <c r="A77" s="12" t="inlineStr">
        <is>
          <t>Wed</t>
        </is>
      </c>
      <c r="B77" s="12" t="inlineStr">
        <is>
          <t>03:00</t>
        </is>
      </c>
      <c r="C77" s="12" t="inlineStr">
        <is>
          <t>No</t>
        </is>
      </c>
      <c r="D77" s="12">
        <f>COUNTIFS('Scheduler Engine'!$N$2:$N$1751,1,'Scheduler Engine'!$L$2:$L$1751,"&lt;="&amp;(3*24+3),'Scheduler Engine'!$M$2:$M$1751,"&gt;"&amp;(3*24+3))</f>
        <v/>
      </c>
      <c r="E77" s="12">
        <f>IF(AND(C77="Yes",D77&gt;0),1,0)</f>
        <v/>
      </c>
      <c r="F77" s="12" t="inlineStr">
        <is>
          <t>Should be 0 for all blank intervals; previous-week Sunday carryover is excluded from current-week waste.</t>
        </is>
      </c>
    </row>
    <row r="78">
      <c r="A78" s="12" t="inlineStr">
        <is>
          <t>Wed</t>
        </is>
      </c>
      <c r="B78" s="12" t="inlineStr">
        <is>
          <t>04:00</t>
        </is>
      </c>
      <c r="C78" s="12" t="inlineStr">
        <is>
          <t>No</t>
        </is>
      </c>
      <c r="D78" s="12">
        <f>COUNTIFS('Scheduler Engine'!$N$2:$N$1751,1,'Scheduler Engine'!$L$2:$L$1751,"&lt;="&amp;(3*24+4),'Scheduler Engine'!$M$2:$M$1751,"&gt;"&amp;(3*24+4))</f>
        <v/>
      </c>
      <c r="E78" s="12">
        <f>IF(AND(C78="Yes",D78&gt;0),1,0)</f>
        <v/>
      </c>
      <c r="F78" s="12" t="inlineStr">
        <is>
          <t>Should be 0 for all blank intervals; previous-week Sunday carryover is excluded from current-week waste.</t>
        </is>
      </c>
    </row>
    <row r="79">
      <c r="A79" s="12" t="inlineStr">
        <is>
          <t>Wed</t>
        </is>
      </c>
      <c r="B79" s="12" t="inlineStr">
        <is>
          <t>05:00</t>
        </is>
      </c>
      <c r="C79" s="12" t="inlineStr">
        <is>
          <t>No</t>
        </is>
      </c>
      <c r="D79" s="12">
        <f>COUNTIFS('Scheduler Engine'!$N$2:$N$1751,1,'Scheduler Engine'!$L$2:$L$1751,"&lt;="&amp;(3*24+5),'Scheduler Engine'!$M$2:$M$1751,"&gt;"&amp;(3*24+5))</f>
        <v/>
      </c>
      <c r="E79" s="12">
        <f>IF(AND(C79="Yes",D79&gt;0),1,0)</f>
        <v/>
      </c>
      <c r="F79" s="12" t="inlineStr">
        <is>
          <t>Should be 0 for all blank intervals; previous-week Sunday carryover is excluded from current-week waste.</t>
        </is>
      </c>
    </row>
    <row r="80">
      <c r="A80" s="12" t="inlineStr">
        <is>
          <t>Wed</t>
        </is>
      </c>
      <c r="B80" s="12" t="inlineStr">
        <is>
          <t>06:00</t>
        </is>
      </c>
      <c r="C80" s="12" t="inlineStr">
        <is>
          <t>No</t>
        </is>
      </c>
      <c r="D80" s="12">
        <f>COUNTIFS('Scheduler Engine'!$N$2:$N$1751,1,'Scheduler Engine'!$L$2:$L$1751,"&lt;="&amp;(3*24+6),'Scheduler Engine'!$M$2:$M$1751,"&gt;"&amp;(3*24+6))</f>
        <v/>
      </c>
      <c r="E80" s="12">
        <f>IF(AND(C80="Yes",D80&gt;0),1,0)</f>
        <v/>
      </c>
      <c r="F80" s="12" t="inlineStr">
        <is>
          <t>Should be 0 for all blank intervals; previous-week Sunday carryover is excluded from current-week waste.</t>
        </is>
      </c>
    </row>
    <row r="81">
      <c r="A81" s="12" t="inlineStr">
        <is>
          <t>Wed</t>
        </is>
      </c>
      <c r="B81" s="12" t="inlineStr">
        <is>
          <t>07:00</t>
        </is>
      </c>
      <c r="C81" s="12" t="inlineStr">
        <is>
          <t>Yes</t>
        </is>
      </c>
      <c r="D81" s="12">
        <f>COUNTIFS('Scheduler Engine'!$N$2:$N$1751,1,'Scheduler Engine'!$L$2:$L$1751,"&lt;="&amp;(3*24+7),'Scheduler Engine'!$M$2:$M$1751,"&gt;"&amp;(3*24+7))</f>
        <v/>
      </c>
      <c r="E81" s="12">
        <f>IF(AND(C81="Yes",D81&gt;0),1,0)</f>
        <v/>
      </c>
      <c r="F81" s="12" t="inlineStr">
        <is>
          <t>Should be 0 for all blank intervals; previous-week Sunday carryover is excluded from current-week waste.</t>
        </is>
      </c>
    </row>
    <row r="82">
      <c r="A82" s="12" t="inlineStr">
        <is>
          <t>Wed</t>
        </is>
      </c>
      <c r="B82" s="12" t="inlineStr">
        <is>
          <t>08:00</t>
        </is>
      </c>
      <c r="C82" s="12" t="inlineStr">
        <is>
          <t>Yes</t>
        </is>
      </c>
      <c r="D82" s="12">
        <f>COUNTIFS('Scheduler Engine'!$N$2:$N$1751,1,'Scheduler Engine'!$L$2:$L$1751,"&lt;="&amp;(3*24+8),'Scheduler Engine'!$M$2:$M$1751,"&gt;"&amp;(3*24+8))</f>
        <v/>
      </c>
      <c r="E82" s="12">
        <f>IF(AND(C82="Yes",D82&gt;0),1,0)</f>
        <v/>
      </c>
      <c r="F82" s="12" t="inlineStr">
        <is>
          <t>Should be 0 for all blank intervals; previous-week Sunday carryover is excluded from current-week waste.</t>
        </is>
      </c>
    </row>
    <row r="83">
      <c r="A83" s="12" t="inlineStr">
        <is>
          <t>Wed</t>
        </is>
      </c>
      <c r="B83" s="12" t="inlineStr">
        <is>
          <t>09:00</t>
        </is>
      </c>
      <c r="C83" s="12" t="inlineStr">
        <is>
          <t>Yes</t>
        </is>
      </c>
      <c r="D83" s="12">
        <f>COUNTIFS('Scheduler Engine'!$N$2:$N$1751,1,'Scheduler Engine'!$L$2:$L$1751,"&lt;="&amp;(3*24+9),'Scheduler Engine'!$M$2:$M$1751,"&gt;"&amp;(3*24+9))</f>
        <v/>
      </c>
      <c r="E83" s="12">
        <f>IF(AND(C83="Yes",D83&gt;0),1,0)</f>
        <v/>
      </c>
      <c r="F83" s="12" t="inlineStr">
        <is>
          <t>Should be 0 for all blank intervals; previous-week Sunday carryover is excluded from current-week waste.</t>
        </is>
      </c>
    </row>
    <row r="84">
      <c r="A84" s="12" t="inlineStr">
        <is>
          <t>Wed</t>
        </is>
      </c>
      <c r="B84" s="12" t="inlineStr">
        <is>
          <t>10:00</t>
        </is>
      </c>
      <c r="C84" s="12" t="inlineStr">
        <is>
          <t>Yes</t>
        </is>
      </c>
      <c r="D84" s="12">
        <f>COUNTIFS('Scheduler Engine'!$N$2:$N$1751,1,'Scheduler Engine'!$L$2:$L$1751,"&lt;="&amp;(3*24+10),'Scheduler Engine'!$M$2:$M$1751,"&gt;"&amp;(3*24+10))</f>
        <v/>
      </c>
      <c r="E84" s="12">
        <f>IF(AND(C84="Yes",D84&gt;0),1,0)</f>
        <v/>
      </c>
      <c r="F84" s="12" t="inlineStr">
        <is>
          <t>Should be 0 for all blank intervals; previous-week Sunday carryover is excluded from current-week waste.</t>
        </is>
      </c>
    </row>
    <row r="85">
      <c r="A85" s="12" t="inlineStr">
        <is>
          <t>Wed</t>
        </is>
      </c>
      <c r="B85" s="12" t="inlineStr">
        <is>
          <t>11:00</t>
        </is>
      </c>
      <c r="C85" s="12" t="inlineStr">
        <is>
          <t>No</t>
        </is>
      </c>
      <c r="D85" s="12">
        <f>COUNTIFS('Scheduler Engine'!$N$2:$N$1751,1,'Scheduler Engine'!$L$2:$L$1751,"&lt;="&amp;(3*24+11),'Scheduler Engine'!$M$2:$M$1751,"&gt;"&amp;(3*24+11))</f>
        <v/>
      </c>
      <c r="E85" s="12">
        <f>IF(AND(C85="Yes",D85&gt;0),1,0)</f>
        <v/>
      </c>
      <c r="F85" s="12" t="inlineStr">
        <is>
          <t>Should be 0 for all blank intervals; previous-week Sunday carryover is excluded from current-week waste.</t>
        </is>
      </c>
    </row>
    <row r="86">
      <c r="A86" s="12" t="inlineStr">
        <is>
          <t>Wed</t>
        </is>
      </c>
      <c r="B86" s="12" t="inlineStr">
        <is>
          <t>12:00</t>
        </is>
      </c>
      <c r="C86" s="12" t="inlineStr">
        <is>
          <t>No</t>
        </is>
      </c>
      <c r="D86" s="12">
        <f>COUNTIFS('Scheduler Engine'!$N$2:$N$1751,1,'Scheduler Engine'!$L$2:$L$1751,"&lt;="&amp;(3*24+12),'Scheduler Engine'!$M$2:$M$1751,"&gt;"&amp;(3*24+12))</f>
        <v/>
      </c>
      <c r="E86" s="12">
        <f>IF(AND(C86="Yes",D86&gt;0),1,0)</f>
        <v/>
      </c>
      <c r="F86" s="12" t="inlineStr">
        <is>
          <t>Should be 0 for all blank intervals; previous-week Sunday carryover is excluded from current-week waste.</t>
        </is>
      </c>
    </row>
    <row r="87">
      <c r="A87" s="12" t="inlineStr">
        <is>
          <t>Wed</t>
        </is>
      </c>
      <c r="B87" s="12" t="inlineStr">
        <is>
          <t>13:00</t>
        </is>
      </c>
      <c r="C87" s="12" t="inlineStr">
        <is>
          <t>No</t>
        </is>
      </c>
      <c r="D87" s="12">
        <f>COUNTIFS('Scheduler Engine'!$N$2:$N$1751,1,'Scheduler Engine'!$L$2:$L$1751,"&lt;="&amp;(3*24+13),'Scheduler Engine'!$M$2:$M$1751,"&gt;"&amp;(3*24+13))</f>
        <v/>
      </c>
      <c r="E87" s="12">
        <f>IF(AND(C87="Yes",D87&gt;0),1,0)</f>
        <v/>
      </c>
      <c r="F87" s="12" t="inlineStr">
        <is>
          <t>Should be 0 for all blank intervals; previous-week Sunday carryover is excluded from current-week waste.</t>
        </is>
      </c>
    </row>
    <row r="88">
      <c r="A88" s="12" t="inlineStr">
        <is>
          <t>Wed</t>
        </is>
      </c>
      <c r="B88" s="12" t="inlineStr">
        <is>
          <t>14:00</t>
        </is>
      </c>
      <c r="C88" s="12" t="inlineStr">
        <is>
          <t>No</t>
        </is>
      </c>
      <c r="D88" s="12">
        <f>COUNTIFS('Scheduler Engine'!$N$2:$N$1751,1,'Scheduler Engine'!$L$2:$L$1751,"&lt;="&amp;(3*24+14),'Scheduler Engine'!$M$2:$M$1751,"&gt;"&amp;(3*24+14))</f>
        <v/>
      </c>
      <c r="E88" s="12">
        <f>IF(AND(C88="Yes",D88&gt;0),1,0)</f>
        <v/>
      </c>
      <c r="F88" s="12" t="inlineStr">
        <is>
          <t>Should be 0 for all blank intervals; previous-week Sunday carryover is excluded from current-week waste.</t>
        </is>
      </c>
    </row>
    <row r="89">
      <c r="A89" s="12" t="inlineStr">
        <is>
          <t>Wed</t>
        </is>
      </c>
      <c r="B89" s="12" t="inlineStr">
        <is>
          <t>15:00</t>
        </is>
      </c>
      <c r="C89" s="12" t="inlineStr">
        <is>
          <t>No</t>
        </is>
      </c>
      <c r="D89" s="12">
        <f>COUNTIFS('Scheduler Engine'!$N$2:$N$1751,1,'Scheduler Engine'!$L$2:$L$1751,"&lt;="&amp;(3*24+15),'Scheduler Engine'!$M$2:$M$1751,"&gt;"&amp;(3*24+15))</f>
        <v/>
      </c>
      <c r="E89" s="12">
        <f>IF(AND(C89="Yes",D89&gt;0),1,0)</f>
        <v/>
      </c>
      <c r="F89" s="12" t="inlineStr">
        <is>
          <t>Should be 0 for all blank intervals; previous-week Sunday carryover is excluded from current-week waste.</t>
        </is>
      </c>
    </row>
    <row r="90">
      <c r="A90" s="12" t="inlineStr">
        <is>
          <t>Wed</t>
        </is>
      </c>
      <c r="B90" s="12" t="inlineStr">
        <is>
          <t>16:00</t>
        </is>
      </c>
      <c r="C90" s="12" t="inlineStr">
        <is>
          <t>No</t>
        </is>
      </c>
      <c r="D90" s="12">
        <f>COUNTIFS('Scheduler Engine'!$N$2:$N$1751,1,'Scheduler Engine'!$L$2:$L$1751,"&lt;="&amp;(3*24+16),'Scheduler Engine'!$M$2:$M$1751,"&gt;"&amp;(3*24+16))</f>
        <v/>
      </c>
      <c r="E90" s="12">
        <f>IF(AND(C90="Yes",D90&gt;0),1,0)</f>
        <v/>
      </c>
      <c r="F90" s="12" t="inlineStr">
        <is>
          <t>Should be 0 for all blank intervals; previous-week Sunday carryover is excluded from current-week waste.</t>
        </is>
      </c>
    </row>
    <row r="91">
      <c r="A91" s="12" t="inlineStr">
        <is>
          <t>Wed</t>
        </is>
      </c>
      <c r="B91" s="12" t="inlineStr">
        <is>
          <t>17:00</t>
        </is>
      </c>
      <c r="C91" s="12" t="inlineStr">
        <is>
          <t>No</t>
        </is>
      </c>
      <c r="D91" s="12">
        <f>COUNTIFS('Scheduler Engine'!$N$2:$N$1751,1,'Scheduler Engine'!$L$2:$L$1751,"&lt;="&amp;(3*24+17),'Scheduler Engine'!$M$2:$M$1751,"&gt;"&amp;(3*24+17))</f>
        <v/>
      </c>
      <c r="E91" s="12">
        <f>IF(AND(C91="Yes",D91&gt;0),1,0)</f>
        <v/>
      </c>
      <c r="F91" s="12" t="inlineStr">
        <is>
          <t>Should be 0 for all blank intervals; previous-week Sunday carryover is excluded from current-week waste.</t>
        </is>
      </c>
    </row>
    <row r="92">
      <c r="A92" s="12" t="inlineStr">
        <is>
          <t>Wed</t>
        </is>
      </c>
      <c r="B92" s="12" t="inlineStr">
        <is>
          <t>18:00</t>
        </is>
      </c>
      <c r="C92" s="12" t="inlineStr">
        <is>
          <t>No</t>
        </is>
      </c>
      <c r="D92" s="12">
        <f>COUNTIFS('Scheduler Engine'!$N$2:$N$1751,1,'Scheduler Engine'!$L$2:$L$1751,"&lt;="&amp;(3*24+18),'Scheduler Engine'!$M$2:$M$1751,"&gt;"&amp;(3*24+18))</f>
        <v/>
      </c>
      <c r="E92" s="12">
        <f>IF(AND(C92="Yes",D92&gt;0),1,0)</f>
        <v/>
      </c>
      <c r="F92" s="12" t="inlineStr">
        <is>
          <t>Should be 0 for all blank intervals; previous-week Sunday carryover is excluded from current-week waste.</t>
        </is>
      </c>
    </row>
    <row r="93">
      <c r="A93" s="12" t="inlineStr">
        <is>
          <t>Wed</t>
        </is>
      </c>
      <c r="B93" s="12" t="inlineStr">
        <is>
          <t>19:00</t>
        </is>
      </c>
      <c r="C93" s="12" t="inlineStr">
        <is>
          <t>No</t>
        </is>
      </c>
      <c r="D93" s="12">
        <f>COUNTIFS('Scheduler Engine'!$N$2:$N$1751,1,'Scheduler Engine'!$L$2:$L$1751,"&lt;="&amp;(3*24+19),'Scheduler Engine'!$M$2:$M$1751,"&gt;"&amp;(3*24+19))</f>
        <v/>
      </c>
      <c r="E93" s="12">
        <f>IF(AND(C93="Yes",D93&gt;0),1,0)</f>
        <v/>
      </c>
      <c r="F93" s="12" t="inlineStr">
        <is>
          <t>Should be 0 for all blank intervals; previous-week Sunday carryover is excluded from current-week waste.</t>
        </is>
      </c>
    </row>
    <row r="94">
      <c r="A94" s="12" t="inlineStr">
        <is>
          <t>Wed</t>
        </is>
      </c>
      <c r="B94" s="12" t="inlineStr">
        <is>
          <t>20:00</t>
        </is>
      </c>
      <c r="C94" s="12" t="inlineStr">
        <is>
          <t>No</t>
        </is>
      </c>
      <c r="D94" s="12">
        <f>COUNTIFS('Scheduler Engine'!$N$2:$N$1751,1,'Scheduler Engine'!$L$2:$L$1751,"&lt;="&amp;(3*24+20),'Scheduler Engine'!$M$2:$M$1751,"&gt;"&amp;(3*24+20))</f>
        <v/>
      </c>
      <c r="E94" s="12">
        <f>IF(AND(C94="Yes",D94&gt;0),1,0)</f>
        <v/>
      </c>
      <c r="F94" s="12" t="inlineStr">
        <is>
          <t>Should be 0 for all blank intervals; previous-week Sunday carryover is excluded from current-week waste.</t>
        </is>
      </c>
    </row>
    <row r="95">
      <c r="A95" s="12" t="inlineStr">
        <is>
          <t>Wed</t>
        </is>
      </c>
      <c r="B95" s="12" t="inlineStr">
        <is>
          <t>21:00</t>
        </is>
      </c>
      <c r="C95" s="12" t="inlineStr">
        <is>
          <t>No</t>
        </is>
      </c>
      <c r="D95" s="12">
        <f>COUNTIFS('Scheduler Engine'!$N$2:$N$1751,1,'Scheduler Engine'!$L$2:$L$1751,"&lt;="&amp;(3*24+21),'Scheduler Engine'!$M$2:$M$1751,"&gt;"&amp;(3*24+21))</f>
        <v/>
      </c>
      <c r="E95" s="12">
        <f>IF(AND(C95="Yes",D95&gt;0),1,0)</f>
        <v/>
      </c>
      <c r="F95" s="12" t="inlineStr">
        <is>
          <t>Should be 0 for all blank intervals; previous-week Sunday carryover is excluded from current-week waste.</t>
        </is>
      </c>
    </row>
    <row r="96">
      <c r="A96" s="12" t="inlineStr">
        <is>
          <t>Wed</t>
        </is>
      </c>
      <c r="B96" s="12" t="inlineStr">
        <is>
          <t>22:00</t>
        </is>
      </c>
      <c r="C96" s="12" t="inlineStr">
        <is>
          <t>No</t>
        </is>
      </c>
      <c r="D96" s="12">
        <f>COUNTIFS('Scheduler Engine'!$N$2:$N$1751,1,'Scheduler Engine'!$L$2:$L$1751,"&lt;="&amp;(3*24+22),'Scheduler Engine'!$M$2:$M$1751,"&gt;"&amp;(3*24+22))</f>
        <v/>
      </c>
      <c r="E96" s="12">
        <f>IF(AND(C96="Yes",D96&gt;0),1,0)</f>
        <v/>
      </c>
      <c r="F96" s="12" t="inlineStr">
        <is>
          <t>Should be 0 for all blank intervals; previous-week Sunday carryover is excluded from current-week waste.</t>
        </is>
      </c>
    </row>
    <row r="97">
      <c r="A97" s="12" t="inlineStr">
        <is>
          <t>Wed</t>
        </is>
      </c>
      <c r="B97" s="12" t="inlineStr">
        <is>
          <t>23:00</t>
        </is>
      </c>
      <c r="C97" s="12" t="inlineStr">
        <is>
          <t>No</t>
        </is>
      </c>
      <c r="D97" s="12">
        <f>COUNTIFS('Scheduler Engine'!$N$2:$N$1751,1,'Scheduler Engine'!$L$2:$L$1751,"&lt;="&amp;(3*24+23),'Scheduler Engine'!$M$2:$M$1751,"&gt;"&amp;(3*24+23))</f>
        <v/>
      </c>
      <c r="E97" s="12">
        <f>IF(AND(C97="Yes",D97&gt;0),1,0)</f>
        <v/>
      </c>
      <c r="F97" s="12" t="inlineStr">
        <is>
          <t>Should be 0 for all blank intervals; previous-week Sunday carryover is excluded from current-week waste.</t>
        </is>
      </c>
    </row>
    <row r="98">
      <c r="A98" s="12" t="inlineStr">
        <is>
          <t>Thu</t>
        </is>
      </c>
      <c r="B98" s="12" t="inlineStr">
        <is>
          <t>00:00</t>
        </is>
      </c>
      <c r="C98" s="12" t="inlineStr">
        <is>
          <t>No</t>
        </is>
      </c>
      <c r="D98" s="12">
        <f>COUNTIFS('Scheduler Engine'!$N$2:$N$1751,1,'Scheduler Engine'!$L$2:$L$1751,"&lt;="&amp;(4*24+0),'Scheduler Engine'!$M$2:$M$1751,"&gt;"&amp;(4*24+0))</f>
        <v/>
      </c>
      <c r="E98" s="12">
        <f>IF(AND(C98="Yes",D98&gt;0),1,0)</f>
        <v/>
      </c>
      <c r="F98" s="12" t="inlineStr">
        <is>
          <t>Should be 0 for all blank intervals; previous-week Sunday carryover is excluded from current-week waste.</t>
        </is>
      </c>
    </row>
    <row r="99">
      <c r="A99" s="12" t="inlineStr">
        <is>
          <t>Thu</t>
        </is>
      </c>
      <c r="B99" s="12" t="inlineStr">
        <is>
          <t>01:00</t>
        </is>
      </c>
      <c r="C99" s="12" t="inlineStr">
        <is>
          <t>No</t>
        </is>
      </c>
      <c r="D99" s="12">
        <f>COUNTIFS('Scheduler Engine'!$N$2:$N$1751,1,'Scheduler Engine'!$L$2:$L$1751,"&lt;="&amp;(4*24+1),'Scheduler Engine'!$M$2:$M$1751,"&gt;"&amp;(4*24+1))</f>
        <v/>
      </c>
      <c r="E99" s="12">
        <f>IF(AND(C99="Yes",D99&gt;0),1,0)</f>
        <v/>
      </c>
      <c r="F99" s="12" t="inlineStr">
        <is>
          <t>Should be 0 for all blank intervals; previous-week Sunday carryover is excluded from current-week waste.</t>
        </is>
      </c>
    </row>
    <row r="100">
      <c r="A100" s="12" t="inlineStr">
        <is>
          <t>Thu</t>
        </is>
      </c>
      <c r="B100" s="12" t="inlineStr">
        <is>
          <t>02:00</t>
        </is>
      </c>
      <c r="C100" s="12" t="inlineStr">
        <is>
          <t>No</t>
        </is>
      </c>
      <c r="D100" s="12">
        <f>COUNTIFS('Scheduler Engine'!$N$2:$N$1751,1,'Scheduler Engine'!$L$2:$L$1751,"&lt;="&amp;(4*24+2),'Scheduler Engine'!$M$2:$M$1751,"&gt;"&amp;(4*24+2))</f>
        <v/>
      </c>
      <c r="E100" s="12">
        <f>IF(AND(C100="Yes",D100&gt;0),1,0)</f>
        <v/>
      </c>
      <c r="F100" s="12" t="inlineStr">
        <is>
          <t>Should be 0 for all blank intervals; previous-week Sunday carryover is excluded from current-week waste.</t>
        </is>
      </c>
    </row>
    <row r="101">
      <c r="A101" s="12" t="inlineStr">
        <is>
          <t>Thu</t>
        </is>
      </c>
      <c r="B101" s="12" t="inlineStr">
        <is>
          <t>03:00</t>
        </is>
      </c>
      <c r="C101" s="12" t="inlineStr">
        <is>
          <t>No</t>
        </is>
      </c>
      <c r="D101" s="12">
        <f>COUNTIFS('Scheduler Engine'!$N$2:$N$1751,1,'Scheduler Engine'!$L$2:$L$1751,"&lt;="&amp;(4*24+3),'Scheduler Engine'!$M$2:$M$1751,"&gt;"&amp;(4*24+3))</f>
        <v/>
      </c>
      <c r="E101" s="12">
        <f>IF(AND(C101="Yes",D101&gt;0),1,0)</f>
        <v/>
      </c>
      <c r="F101" s="12" t="inlineStr">
        <is>
          <t>Should be 0 for all blank intervals; previous-week Sunday carryover is excluded from current-week waste.</t>
        </is>
      </c>
    </row>
    <row r="102">
      <c r="A102" s="12" t="inlineStr">
        <is>
          <t>Thu</t>
        </is>
      </c>
      <c r="B102" s="12" t="inlineStr">
        <is>
          <t>04:00</t>
        </is>
      </c>
      <c r="C102" s="12" t="inlineStr">
        <is>
          <t>No</t>
        </is>
      </c>
      <c r="D102" s="12">
        <f>COUNTIFS('Scheduler Engine'!$N$2:$N$1751,1,'Scheduler Engine'!$L$2:$L$1751,"&lt;="&amp;(4*24+4),'Scheduler Engine'!$M$2:$M$1751,"&gt;"&amp;(4*24+4))</f>
        <v/>
      </c>
      <c r="E102" s="12">
        <f>IF(AND(C102="Yes",D102&gt;0),1,0)</f>
        <v/>
      </c>
      <c r="F102" s="12" t="inlineStr">
        <is>
          <t>Should be 0 for all blank intervals; previous-week Sunday carryover is excluded from current-week waste.</t>
        </is>
      </c>
    </row>
    <row r="103">
      <c r="A103" s="12" t="inlineStr">
        <is>
          <t>Thu</t>
        </is>
      </c>
      <c r="B103" s="12" t="inlineStr">
        <is>
          <t>05:00</t>
        </is>
      </c>
      <c r="C103" s="12" t="inlineStr">
        <is>
          <t>No</t>
        </is>
      </c>
      <c r="D103" s="12">
        <f>COUNTIFS('Scheduler Engine'!$N$2:$N$1751,1,'Scheduler Engine'!$L$2:$L$1751,"&lt;="&amp;(4*24+5),'Scheduler Engine'!$M$2:$M$1751,"&gt;"&amp;(4*24+5))</f>
        <v/>
      </c>
      <c r="E103" s="12">
        <f>IF(AND(C103="Yes",D103&gt;0),1,0)</f>
        <v/>
      </c>
      <c r="F103" s="12" t="inlineStr">
        <is>
          <t>Should be 0 for all blank intervals; previous-week Sunday carryover is excluded from current-week waste.</t>
        </is>
      </c>
    </row>
    <row r="104">
      <c r="A104" s="12" t="inlineStr">
        <is>
          <t>Thu</t>
        </is>
      </c>
      <c r="B104" s="12" t="inlineStr">
        <is>
          <t>06:00</t>
        </is>
      </c>
      <c r="C104" s="12" t="inlineStr">
        <is>
          <t>No</t>
        </is>
      </c>
      <c r="D104" s="12">
        <f>COUNTIFS('Scheduler Engine'!$N$2:$N$1751,1,'Scheduler Engine'!$L$2:$L$1751,"&lt;="&amp;(4*24+6),'Scheduler Engine'!$M$2:$M$1751,"&gt;"&amp;(4*24+6))</f>
        <v/>
      </c>
      <c r="E104" s="12">
        <f>IF(AND(C104="Yes",D104&gt;0),1,0)</f>
        <v/>
      </c>
      <c r="F104" s="12" t="inlineStr">
        <is>
          <t>Should be 0 for all blank intervals; previous-week Sunday carryover is excluded from current-week waste.</t>
        </is>
      </c>
    </row>
    <row r="105">
      <c r="A105" s="12" t="inlineStr">
        <is>
          <t>Thu</t>
        </is>
      </c>
      <c r="B105" s="12" t="inlineStr">
        <is>
          <t>07:00</t>
        </is>
      </c>
      <c r="C105" s="12" t="inlineStr">
        <is>
          <t>Yes</t>
        </is>
      </c>
      <c r="D105" s="12">
        <f>COUNTIFS('Scheduler Engine'!$N$2:$N$1751,1,'Scheduler Engine'!$L$2:$L$1751,"&lt;="&amp;(4*24+7),'Scheduler Engine'!$M$2:$M$1751,"&gt;"&amp;(4*24+7))</f>
        <v/>
      </c>
      <c r="E105" s="12">
        <f>IF(AND(C105="Yes",D105&gt;0),1,0)</f>
        <v/>
      </c>
      <c r="F105" s="12" t="inlineStr">
        <is>
          <t>Should be 0 for all blank intervals; previous-week Sunday carryover is excluded from current-week waste.</t>
        </is>
      </c>
    </row>
    <row r="106">
      <c r="A106" s="12" t="inlineStr">
        <is>
          <t>Thu</t>
        </is>
      </c>
      <c r="B106" s="12" t="inlineStr">
        <is>
          <t>08:00</t>
        </is>
      </c>
      <c r="C106" s="12" t="inlineStr">
        <is>
          <t>Yes</t>
        </is>
      </c>
      <c r="D106" s="12">
        <f>COUNTIFS('Scheduler Engine'!$N$2:$N$1751,1,'Scheduler Engine'!$L$2:$L$1751,"&lt;="&amp;(4*24+8),'Scheduler Engine'!$M$2:$M$1751,"&gt;"&amp;(4*24+8))</f>
        <v/>
      </c>
      <c r="E106" s="12">
        <f>IF(AND(C106="Yes",D106&gt;0),1,0)</f>
        <v/>
      </c>
      <c r="F106" s="12" t="inlineStr">
        <is>
          <t>Should be 0 for all blank intervals; previous-week Sunday carryover is excluded from current-week waste.</t>
        </is>
      </c>
    </row>
    <row r="107">
      <c r="A107" s="12" t="inlineStr">
        <is>
          <t>Thu</t>
        </is>
      </c>
      <c r="B107" s="12" t="inlineStr">
        <is>
          <t>09:00</t>
        </is>
      </c>
      <c r="C107" s="12" t="inlineStr">
        <is>
          <t>Yes</t>
        </is>
      </c>
      <c r="D107" s="12">
        <f>COUNTIFS('Scheduler Engine'!$N$2:$N$1751,1,'Scheduler Engine'!$L$2:$L$1751,"&lt;="&amp;(4*24+9),'Scheduler Engine'!$M$2:$M$1751,"&gt;"&amp;(4*24+9))</f>
        <v/>
      </c>
      <c r="E107" s="12">
        <f>IF(AND(C107="Yes",D107&gt;0),1,0)</f>
        <v/>
      </c>
      <c r="F107" s="12" t="inlineStr">
        <is>
          <t>Should be 0 for all blank intervals; previous-week Sunday carryover is excluded from current-week waste.</t>
        </is>
      </c>
    </row>
    <row r="108">
      <c r="A108" s="12" t="inlineStr">
        <is>
          <t>Thu</t>
        </is>
      </c>
      <c r="B108" s="12" t="inlineStr">
        <is>
          <t>10:00</t>
        </is>
      </c>
      <c r="C108" s="12" t="inlineStr">
        <is>
          <t>Yes</t>
        </is>
      </c>
      <c r="D108" s="12">
        <f>COUNTIFS('Scheduler Engine'!$N$2:$N$1751,1,'Scheduler Engine'!$L$2:$L$1751,"&lt;="&amp;(4*24+10),'Scheduler Engine'!$M$2:$M$1751,"&gt;"&amp;(4*24+10))</f>
        <v/>
      </c>
      <c r="E108" s="12">
        <f>IF(AND(C108="Yes",D108&gt;0),1,0)</f>
        <v/>
      </c>
      <c r="F108" s="12" t="inlineStr">
        <is>
          <t>Should be 0 for all blank intervals; previous-week Sunday carryover is excluded from current-week waste.</t>
        </is>
      </c>
    </row>
    <row r="109">
      <c r="A109" s="12" t="inlineStr">
        <is>
          <t>Thu</t>
        </is>
      </c>
      <c r="B109" s="12" t="inlineStr">
        <is>
          <t>11:00</t>
        </is>
      </c>
      <c r="C109" s="12" t="inlineStr">
        <is>
          <t>No</t>
        </is>
      </c>
      <c r="D109" s="12">
        <f>COUNTIFS('Scheduler Engine'!$N$2:$N$1751,1,'Scheduler Engine'!$L$2:$L$1751,"&lt;="&amp;(4*24+11),'Scheduler Engine'!$M$2:$M$1751,"&gt;"&amp;(4*24+11))</f>
        <v/>
      </c>
      <c r="E109" s="12">
        <f>IF(AND(C109="Yes",D109&gt;0),1,0)</f>
        <v/>
      </c>
      <c r="F109" s="12" t="inlineStr">
        <is>
          <t>Should be 0 for all blank intervals; previous-week Sunday carryover is excluded from current-week waste.</t>
        </is>
      </c>
    </row>
    <row r="110">
      <c r="A110" s="12" t="inlineStr">
        <is>
          <t>Thu</t>
        </is>
      </c>
      <c r="B110" s="12" t="inlineStr">
        <is>
          <t>12:00</t>
        </is>
      </c>
      <c r="C110" s="12" t="inlineStr">
        <is>
          <t>No</t>
        </is>
      </c>
      <c r="D110" s="12">
        <f>COUNTIFS('Scheduler Engine'!$N$2:$N$1751,1,'Scheduler Engine'!$L$2:$L$1751,"&lt;="&amp;(4*24+12),'Scheduler Engine'!$M$2:$M$1751,"&gt;"&amp;(4*24+12))</f>
        <v/>
      </c>
      <c r="E110" s="12">
        <f>IF(AND(C110="Yes",D110&gt;0),1,0)</f>
        <v/>
      </c>
      <c r="F110" s="12" t="inlineStr">
        <is>
          <t>Should be 0 for all blank intervals; previous-week Sunday carryover is excluded from current-week waste.</t>
        </is>
      </c>
    </row>
    <row r="111">
      <c r="A111" s="12" t="inlineStr">
        <is>
          <t>Thu</t>
        </is>
      </c>
      <c r="B111" s="12" t="inlineStr">
        <is>
          <t>13:00</t>
        </is>
      </c>
      <c r="C111" s="12" t="inlineStr">
        <is>
          <t>No</t>
        </is>
      </c>
      <c r="D111" s="12">
        <f>COUNTIFS('Scheduler Engine'!$N$2:$N$1751,1,'Scheduler Engine'!$L$2:$L$1751,"&lt;="&amp;(4*24+13),'Scheduler Engine'!$M$2:$M$1751,"&gt;"&amp;(4*24+13))</f>
        <v/>
      </c>
      <c r="E111" s="12">
        <f>IF(AND(C111="Yes",D111&gt;0),1,0)</f>
        <v/>
      </c>
      <c r="F111" s="12" t="inlineStr">
        <is>
          <t>Should be 0 for all blank intervals; previous-week Sunday carryover is excluded from current-week waste.</t>
        </is>
      </c>
    </row>
    <row r="112">
      <c r="A112" s="12" t="inlineStr">
        <is>
          <t>Thu</t>
        </is>
      </c>
      <c r="B112" s="12" t="inlineStr">
        <is>
          <t>14:00</t>
        </is>
      </c>
      <c r="C112" s="12" t="inlineStr">
        <is>
          <t>No</t>
        </is>
      </c>
      <c r="D112" s="12">
        <f>COUNTIFS('Scheduler Engine'!$N$2:$N$1751,1,'Scheduler Engine'!$L$2:$L$1751,"&lt;="&amp;(4*24+14),'Scheduler Engine'!$M$2:$M$1751,"&gt;"&amp;(4*24+14))</f>
        <v/>
      </c>
      <c r="E112" s="12">
        <f>IF(AND(C112="Yes",D112&gt;0),1,0)</f>
        <v/>
      </c>
      <c r="F112" s="12" t="inlineStr">
        <is>
          <t>Should be 0 for all blank intervals; previous-week Sunday carryover is excluded from current-week waste.</t>
        </is>
      </c>
    </row>
    <row r="113">
      <c r="A113" s="12" t="inlineStr">
        <is>
          <t>Thu</t>
        </is>
      </c>
      <c r="B113" s="12" t="inlineStr">
        <is>
          <t>15:00</t>
        </is>
      </c>
      <c r="C113" s="12" t="inlineStr">
        <is>
          <t>No</t>
        </is>
      </c>
      <c r="D113" s="12">
        <f>COUNTIFS('Scheduler Engine'!$N$2:$N$1751,1,'Scheduler Engine'!$L$2:$L$1751,"&lt;="&amp;(4*24+15),'Scheduler Engine'!$M$2:$M$1751,"&gt;"&amp;(4*24+15))</f>
        <v/>
      </c>
      <c r="E113" s="12">
        <f>IF(AND(C113="Yes",D113&gt;0),1,0)</f>
        <v/>
      </c>
      <c r="F113" s="12" t="inlineStr">
        <is>
          <t>Should be 0 for all blank intervals; previous-week Sunday carryover is excluded from current-week waste.</t>
        </is>
      </c>
    </row>
    <row r="114">
      <c r="A114" s="12" t="inlineStr">
        <is>
          <t>Thu</t>
        </is>
      </c>
      <c r="B114" s="12" t="inlineStr">
        <is>
          <t>16:00</t>
        </is>
      </c>
      <c r="C114" s="12" t="inlineStr">
        <is>
          <t>No</t>
        </is>
      </c>
      <c r="D114" s="12">
        <f>COUNTIFS('Scheduler Engine'!$N$2:$N$1751,1,'Scheduler Engine'!$L$2:$L$1751,"&lt;="&amp;(4*24+16),'Scheduler Engine'!$M$2:$M$1751,"&gt;"&amp;(4*24+16))</f>
        <v/>
      </c>
      <c r="E114" s="12">
        <f>IF(AND(C114="Yes",D114&gt;0),1,0)</f>
        <v/>
      </c>
      <c r="F114" s="12" t="inlineStr">
        <is>
          <t>Should be 0 for all blank intervals; previous-week Sunday carryover is excluded from current-week waste.</t>
        </is>
      </c>
    </row>
    <row r="115">
      <c r="A115" s="12" t="inlineStr">
        <is>
          <t>Thu</t>
        </is>
      </c>
      <c r="B115" s="12" t="inlineStr">
        <is>
          <t>17:00</t>
        </is>
      </c>
      <c r="C115" s="12" t="inlineStr">
        <is>
          <t>No</t>
        </is>
      </c>
      <c r="D115" s="12">
        <f>COUNTIFS('Scheduler Engine'!$N$2:$N$1751,1,'Scheduler Engine'!$L$2:$L$1751,"&lt;="&amp;(4*24+17),'Scheduler Engine'!$M$2:$M$1751,"&gt;"&amp;(4*24+17))</f>
        <v/>
      </c>
      <c r="E115" s="12">
        <f>IF(AND(C115="Yes",D115&gt;0),1,0)</f>
        <v/>
      </c>
      <c r="F115" s="12" t="inlineStr">
        <is>
          <t>Should be 0 for all blank intervals; previous-week Sunday carryover is excluded from current-week waste.</t>
        </is>
      </c>
    </row>
    <row r="116">
      <c r="A116" s="12" t="inlineStr">
        <is>
          <t>Thu</t>
        </is>
      </c>
      <c r="B116" s="12" t="inlineStr">
        <is>
          <t>18:00</t>
        </is>
      </c>
      <c r="C116" s="12" t="inlineStr">
        <is>
          <t>No</t>
        </is>
      </c>
      <c r="D116" s="12">
        <f>COUNTIFS('Scheduler Engine'!$N$2:$N$1751,1,'Scheduler Engine'!$L$2:$L$1751,"&lt;="&amp;(4*24+18),'Scheduler Engine'!$M$2:$M$1751,"&gt;"&amp;(4*24+18))</f>
        <v/>
      </c>
      <c r="E116" s="12">
        <f>IF(AND(C116="Yes",D116&gt;0),1,0)</f>
        <v/>
      </c>
      <c r="F116" s="12" t="inlineStr">
        <is>
          <t>Should be 0 for all blank intervals; previous-week Sunday carryover is excluded from current-week waste.</t>
        </is>
      </c>
    </row>
    <row r="117">
      <c r="A117" s="12" t="inlineStr">
        <is>
          <t>Thu</t>
        </is>
      </c>
      <c r="B117" s="12" t="inlineStr">
        <is>
          <t>19:00</t>
        </is>
      </c>
      <c r="C117" s="12" t="inlineStr">
        <is>
          <t>No</t>
        </is>
      </c>
      <c r="D117" s="12">
        <f>COUNTIFS('Scheduler Engine'!$N$2:$N$1751,1,'Scheduler Engine'!$L$2:$L$1751,"&lt;="&amp;(4*24+19),'Scheduler Engine'!$M$2:$M$1751,"&gt;"&amp;(4*24+19))</f>
        <v/>
      </c>
      <c r="E117" s="12">
        <f>IF(AND(C117="Yes",D117&gt;0),1,0)</f>
        <v/>
      </c>
      <c r="F117" s="12" t="inlineStr">
        <is>
          <t>Should be 0 for all blank intervals; previous-week Sunday carryover is excluded from current-week waste.</t>
        </is>
      </c>
    </row>
    <row r="118">
      <c r="A118" s="12" t="inlineStr">
        <is>
          <t>Thu</t>
        </is>
      </c>
      <c r="B118" s="12" t="inlineStr">
        <is>
          <t>20:00</t>
        </is>
      </c>
      <c r="C118" s="12" t="inlineStr">
        <is>
          <t>No</t>
        </is>
      </c>
      <c r="D118" s="12">
        <f>COUNTIFS('Scheduler Engine'!$N$2:$N$1751,1,'Scheduler Engine'!$L$2:$L$1751,"&lt;="&amp;(4*24+20),'Scheduler Engine'!$M$2:$M$1751,"&gt;"&amp;(4*24+20))</f>
        <v/>
      </c>
      <c r="E118" s="12">
        <f>IF(AND(C118="Yes",D118&gt;0),1,0)</f>
        <v/>
      </c>
      <c r="F118" s="12" t="inlineStr">
        <is>
          <t>Should be 0 for all blank intervals; previous-week Sunday carryover is excluded from current-week waste.</t>
        </is>
      </c>
    </row>
    <row r="119">
      <c r="A119" s="12" t="inlineStr">
        <is>
          <t>Thu</t>
        </is>
      </c>
      <c r="B119" s="12" t="inlineStr">
        <is>
          <t>21:00</t>
        </is>
      </c>
      <c r="C119" s="12" t="inlineStr">
        <is>
          <t>No</t>
        </is>
      </c>
      <c r="D119" s="12">
        <f>COUNTIFS('Scheduler Engine'!$N$2:$N$1751,1,'Scheduler Engine'!$L$2:$L$1751,"&lt;="&amp;(4*24+21),'Scheduler Engine'!$M$2:$M$1751,"&gt;"&amp;(4*24+21))</f>
        <v/>
      </c>
      <c r="E119" s="12">
        <f>IF(AND(C119="Yes",D119&gt;0),1,0)</f>
        <v/>
      </c>
      <c r="F119" s="12" t="inlineStr">
        <is>
          <t>Should be 0 for all blank intervals; previous-week Sunday carryover is excluded from current-week waste.</t>
        </is>
      </c>
    </row>
    <row r="120">
      <c r="A120" s="12" t="inlineStr">
        <is>
          <t>Thu</t>
        </is>
      </c>
      <c r="B120" s="12" t="inlineStr">
        <is>
          <t>22:00</t>
        </is>
      </c>
      <c r="C120" s="12" t="inlineStr">
        <is>
          <t>No</t>
        </is>
      </c>
      <c r="D120" s="12">
        <f>COUNTIFS('Scheduler Engine'!$N$2:$N$1751,1,'Scheduler Engine'!$L$2:$L$1751,"&lt;="&amp;(4*24+22),'Scheduler Engine'!$M$2:$M$1751,"&gt;"&amp;(4*24+22))</f>
        <v/>
      </c>
      <c r="E120" s="12">
        <f>IF(AND(C120="Yes",D120&gt;0),1,0)</f>
        <v/>
      </c>
      <c r="F120" s="12" t="inlineStr">
        <is>
          <t>Should be 0 for all blank intervals; previous-week Sunday carryover is excluded from current-week waste.</t>
        </is>
      </c>
    </row>
    <row r="121">
      <c r="A121" s="12" t="inlineStr">
        <is>
          <t>Thu</t>
        </is>
      </c>
      <c r="B121" s="12" t="inlineStr">
        <is>
          <t>23:00</t>
        </is>
      </c>
      <c r="C121" s="12" t="inlineStr">
        <is>
          <t>No</t>
        </is>
      </c>
      <c r="D121" s="12">
        <f>COUNTIFS('Scheduler Engine'!$N$2:$N$1751,1,'Scheduler Engine'!$L$2:$L$1751,"&lt;="&amp;(4*24+23),'Scheduler Engine'!$M$2:$M$1751,"&gt;"&amp;(4*24+23))</f>
        <v/>
      </c>
      <c r="E121" s="12">
        <f>IF(AND(C121="Yes",D121&gt;0),1,0)</f>
        <v/>
      </c>
      <c r="F121" s="12" t="inlineStr">
        <is>
          <t>Should be 0 for all blank intervals; previous-week Sunday carryover is excluded from current-week waste.</t>
        </is>
      </c>
    </row>
    <row r="122">
      <c r="A122" s="12" t="inlineStr">
        <is>
          <t>Fri</t>
        </is>
      </c>
      <c r="B122" s="12" t="inlineStr">
        <is>
          <t>00:00</t>
        </is>
      </c>
      <c r="C122" s="12" t="inlineStr">
        <is>
          <t>No</t>
        </is>
      </c>
      <c r="D122" s="12">
        <f>COUNTIFS('Scheduler Engine'!$N$2:$N$1751,1,'Scheduler Engine'!$L$2:$L$1751,"&lt;="&amp;(5*24+0),'Scheduler Engine'!$M$2:$M$1751,"&gt;"&amp;(5*24+0))</f>
        <v/>
      </c>
      <c r="E122" s="12">
        <f>IF(AND(C122="Yes",D122&gt;0),1,0)</f>
        <v/>
      </c>
      <c r="F122" s="12" t="inlineStr">
        <is>
          <t>Should be 0 for all blank intervals; previous-week Sunday carryover is excluded from current-week waste.</t>
        </is>
      </c>
    </row>
    <row r="123">
      <c r="A123" s="12" t="inlineStr">
        <is>
          <t>Fri</t>
        </is>
      </c>
      <c r="B123" s="12" t="inlineStr">
        <is>
          <t>01:00</t>
        </is>
      </c>
      <c r="C123" s="12" t="inlineStr">
        <is>
          <t>No</t>
        </is>
      </c>
      <c r="D123" s="12">
        <f>COUNTIFS('Scheduler Engine'!$N$2:$N$1751,1,'Scheduler Engine'!$L$2:$L$1751,"&lt;="&amp;(5*24+1),'Scheduler Engine'!$M$2:$M$1751,"&gt;"&amp;(5*24+1))</f>
        <v/>
      </c>
      <c r="E123" s="12">
        <f>IF(AND(C123="Yes",D123&gt;0),1,0)</f>
        <v/>
      </c>
      <c r="F123" s="12" t="inlineStr">
        <is>
          <t>Should be 0 for all blank intervals; previous-week Sunday carryover is excluded from current-week waste.</t>
        </is>
      </c>
    </row>
    <row r="124">
      <c r="A124" s="12" t="inlineStr">
        <is>
          <t>Fri</t>
        </is>
      </c>
      <c r="B124" s="12" t="inlineStr">
        <is>
          <t>02:00</t>
        </is>
      </c>
      <c r="C124" s="12" t="inlineStr">
        <is>
          <t>No</t>
        </is>
      </c>
      <c r="D124" s="12">
        <f>COUNTIFS('Scheduler Engine'!$N$2:$N$1751,1,'Scheduler Engine'!$L$2:$L$1751,"&lt;="&amp;(5*24+2),'Scheduler Engine'!$M$2:$M$1751,"&gt;"&amp;(5*24+2))</f>
        <v/>
      </c>
      <c r="E124" s="12">
        <f>IF(AND(C124="Yes",D124&gt;0),1,0)</f>
        <v/>
      </c>
      <c r="F124" s="12" t="inlineStr">
        <is>
          <t>Should be 0 for all blank intervals; previous-week Sunday carryover is excluded from current-week waste.</t>
        </is>
      </c>
    </row>
    <row r="125">
      <c r="A125" s="12" t="inlineStr">
        <is>
          <t>Fri</t>
        </is>
      </c>
      <c r="B125" s="12" t="inlineStr">
        <is>
          <t>03:00</t>
        </is>
      </c>
      <c r="C125" s="12" t="inlineStr">
        <is>
          <t>No</t>
        </is>
      </c>
      <c r="D125" s="12">
        <f>COUNTIFS('Scheduler Engine'!$N$2:$N$1751,1,'Scheduler Engine'!$L$2:$L$1751,"&lt;="&amp;(5*24+3),'Scheduler Engine'!$M$2:$M$1751,"&gt;"&amp;(5*24+3))</f>
        <v/>
      </c>
      <c r="E125" s="12">
        <f>IF(AND(C125="Yes",D125&gt;0),1,0)</f>
        <v/>
      </c>
      <c r="F125" s="12" t="inlineStr">
        <is>
          <t>Should be 0 for all blank intervals; previous-week Sunday carryover is excluded from current-week waste.</t>
        </is>
      </c>
    </row>
    <row r="126">
      <c r="A126" s="12" t="inlineStr">
        <is>
          <t>Fri</t>
        </is>
      </c>
      <c r="B126" s="12" t="inlineStr">
        <is>
          <t>04:00</t>
        </is>
      </c>
      <c r="C126" s="12" t="inlineStr">
        <is>
          <t>No</t>
        </is>
      </c>
      <c r="D126" s="12">
        <f>COUNTIFS('Scheduler Engine'!$N$2:$N$1751,1,'Scheduler Engine'!$L$2:$L$1751,"&lt;="&amp;(5*24+4),'Scheduler Engine'!$M$2:$M$1751,"&gt;"&amp;(5*24+4))</f>
        <v/>
      </c>
      <c r="E126" s="12">
        <f>IF(AND(C126="Yes",D126&gt;0),1,0)</f>
        <v/>
      </c>
      <c r="F126" s="12" t="inlineStr">
        <is>
          <t>Should be 0 for all blank intervals; previous-week Sunday carryover is excluded from current-week waste.</t>
        </is>
      </c>
    </row>
    <row r="127">
      <c r="A127" s="12" t="inlineStr">
        <is>
          <t>Fri</t>
        </is>
      </c>
      <c r="B127" s="12" t="inlineStr">
        <is>
          <t>05:00</t>
        </is>
      </c>
      <c r="C127" s="12" t="inlineStr">
        <is>
          <t>No</t>
        </is>
      </c>
      <c r="D127" s="12">
        <f>COUNTIFS('Scheduler Engine'!$N$2:$N$1751,1,'Scheduler Engine'!$L$2:$L$1751,"&lt;="&amp;(5*24+5),'Scheduler Engine'!$M$2:$M$1751,"&gt;"&amp;(5*24+5))</f>
        <v/>
      </c>
      <c r="E127" s="12">
        <f>IF(AND(C127="Yes",D127&gt;0),1,0)</f>
        <v/>
      </c>
      <c r="F127" s="12" t="inlineStr">
        <is>
          <t>Should be 0 for all blank intervals; previous-week Sunday carryover is excluded from current-week waste.</t>
        </is>
      </c>
    </row>
    <row r="128">
      <c r="A128" s="12" t="inlineStr">
        <is>
          <t>Fri</t>
        </is>
      </c>
      <c r="B128" s="12" t="inlineStr">
        <is>
          <t>06:00</t>
        </is>
      </c>
      <c r="C128" s="12" t="inlineStr">
        <is>
          <t>No</t>
        </is>
      </c>
      <c r="D128" s="12">
        <f>COUNTIFS('Scheduler Engine'!$N$2:$N$1751,1,'Scheduler Engine'!$L$2:$L$1751,"&lt;="&amp;(5*24+6),'Scheduler Engine'!$M$2:$M$1751,"&gt;"&amp;(5*24+6))</f>
        <v/>
      </c>
      <c r="E128" s="12">
        <f>IF(AND(C128="Yes",D128&gt;0),1,0)</f>
        <v/>
      </c>
      <c r="F128" s="12" t="inlineStr">
        <is>
          <t>Should be 0 for all blank intervals; previous-week Sunday carryover is excluded from current-week waste.</t>
        </is>
      </c>
    </row>
    <row r="129">
      <c r="A129" s="12" t="inlineStr">
        <is>
          <t>Fri</t>
        </is>
      </c>
      <c r="B129" s="12" t="inlineStr">
        <is>
          <t>07:00</t>
        </is>
      </c>
      <c r="C129" s="12" t="inlineStr">
        <is>
          <t>Yes</t>
        </is>
      </c>
      <c r="D129" s="12">
        <f>COUNTIFS('Scheduler Engine'!$N$2:$N$1751,1,'Scheduler Engine'!$L$2:$L$1751,"&lt;="&amp;(5*24+7),'Scheduler Engine'!$M$2:$M$1751,"&gt;"&amp;(5*24+7))</f>
        <v/>
      </c>
      <c r="E129" s="12">
        <f>IF(AND(C129="Yes",D129&gt;0),1,0)</f>
        <v/>
      </c>
      <c r="F129" s="12" t="inlineStr">
        <is>
          <t>Should be 0 for all blank intervals; previous-week Sunday carryover is excluded from current-week waste.</t>
        </is>
      </c>
    </row>
    <row r="130">
      <c r="A130" s="12" t="inlineStr">
        <is>
          <t>Fri</t>
        </is>
      </c>
      <c r="B130" s="12" t="inlineStr">
        <is>
          <t>08:00</t>
        </is>
      </c>
      <c r="C130" s="12" t="inlineStr">
        <is>
          <t>Yes</t>
        </is>
      </c>
      <c r="D130" s="12">
        <f>COUNTIFS('Scheduler Engine'!$N$2:$N$1751,1,'Scheduler Engine'!$L$2:$L$1751,"&lt;="&amp;(5*24+8),'Scheduler Engine'!$M$2:$M$1751,"&gt;"&amp;(5*24+8))</f>
        <v/>
      </c>
      <c r="E130" s="12">
        <f>IF(AND(C130="Yes",D130&gt;0),1,0)</f>
        <v/>
      </c>
      <c r="F130" s="12" t="inlineStr">
        <is>
          <t>Should be 0 for all blank intervals; previous-week Sunday carryover is excluded from current-week waste.</t>
        </is>
      </c>
    </row>
    <row r="131">
      <c r="A131" s="12" t="inlineStr">
        <is>
          <t>Fri</t>
        </is>
      </c>
      <c r="B131" s="12" t="inlineStr">
        <is>
          <t>09:00</t>
        </is>
      </c>
      <c r="C131" s="12" t="inlineStr">
        <is>
          <t>Yes</t>
        </is>
      </c>
      <c r="D131" s="12">
        <f>COUNTIFS('Scheduler Engine'!$N$2:$N$1751,1,'Scheduler Engine'!$L$2:$L$1751,"&lt;="&amp;(5*24+9),'Scheduler Engine'!$M$2:$M$1751,"&gt;"&amp;(5*24+9))</f>
        <v/>
      </c>
      <c r="E131" s="12">
        <f>IF(AND(C131="Yes",D131&gt;0),1,0)</f>
        <v/>
      </c>
      <c r="F131" s="12" t="inlineStr">
        <is>
          <t>Should be 0 for all blank intervals; previous-week Sunday carryover is excluded from current-week waste.</t>
        </is>
      </c>
    </row>
    <row r="132">
      <c r="A132" s="12" t="inlineStr">
        <is>
          <t>Fri</t>
        </is>
      </c>
      <c r="B132" s="12" t="inlineStr">
        <is>
          <t>10:00</t>
        </is>
      </c>
      <c r="C132" s="12" t="inlineStr">
        <is>
          <t>Yes</t>
        </is>
      </c>
      <c r="D132" s="12">
        <f>COUNTIFS('Scheduler Engine'!$N$2:$N$1751,1,'Scheduler Engine'!$L$2:$L$1751,"&lt;="&amp;(5*24+10),'Scheduler Engine'!$M$2:$M$1751,"&gt;"&amp;(5*24+10))</f>
        <v/>
      </c>
      <c r="E132" s="12">
        <f>IF(AND(C132="Yes",D132&gt;0),1,0)</f>
        <v/>
      </c>
      <c r="F132" s="12" t="inlineStr">
        <is>
          <t>Should be 0 for all blank intervals; previous-week Sunday carryover is excluded from current-week waste.</t>
        </is>
      </c>
    </row>
    <row r="133">
      <c r="A133" s="12" t="inlineStr">
        <is>
          <t>Fri</t>
        </is>
      </c>
      <c r="B133" s="12" t="inlineStr">
        <is>
          <t>11:00</t>
        </is>
      </c>
      <c r="C133" s="12" t="inlineStr">
        <is>
          <t>No</t>
        </is>
      </c>
      <c r="D133" s="12">
        <f>COUNTIFS('Scheduler Engine'!$N$2:$N$1751,1,'Scheduler Engine'!$L$2:$L$1751,"&lt;="&amp;(5*24+11),'Scheduler Engine'!$M$2:$M$1751,"&gt;"&amp;(5*24+11))</f>
        <v/>
      </c>
      <c r="E133" s="12">
        <f>IF(AND(C133="Yes",D133&gt;0),1,0)</f>
        <v/>
      </c>
      <c r="F133" s="12" t="inlineStr">
        <is>
          <t>Should be 0 for all blank intervals; previous-week Sunday carryover is excluded from current-week waste.</t>
        </is>
      </c>
    </row>
    <row r="134">
      <c r="A134" s="12" t="inlineStr">
        <is>
          <t>Fri</t>
        </is>
      </c>
      <c r="B134" s="12" t="inlineStr">
        <is>
          <t>12:00</t>
        </is>
      </c>
      <c r="C134" s="12" t="inlineStr">
        <is>
          <t>No</t>
        </is>
      </c>
      <c r="D134" s="12">
        <f>COUNTIFS('Scheduler Engine'!$N$2:$N$1751,1,'Scheduler Engine'!$L$2:$L$1751,"&lt;="&amp;(5*24+12),'Scheduler Engine'!$M$2:$M$1751,"&gt;"&amp;(5*24+12))</f>
        <v/>
      </c>
      <c r="E134" s="12">
        <f>IF(AND(C134="Yes",D134&gt;0),1,0)</f>
        <v/>
      </c>
      <c r="F134" s="12" t="inlineStr">
        <is>
          <t>Should be 0 for all blank intervals; previous-week Sunday carryover is excluded from current-week waste.</t>
        </is>
      </c>
    </row>
    <row r="135">
      <c r="A135" s="12" t="inlineStr">
        <is>
          <t>Fri</t>
        </is>
      </c>
      <c r="B135" s="12" t="inlineStr">
        <is>
          <t>13:00</t>
        </is>
      </c>
      <c r="C135" s="12" t="inlineStr">
        <is>
          <t>No</t>
        </is>
      </c>
      <c r="D135" s="12">
        <f>COUNTIFS('Scheduler Engine'!$N$2:$N$1751,1,'Scheduler Engine'!$L$2:$L$1751,"&lt;="&amp;(5*24+13),'Scheduler Engine'!$M$2:$M$1751,"&gt;"&amp;(5*24+13))</f>
        <v/>
      </c>
      <c r="E135" s="12">
        <f>IF(AND(C135="Yes",D135&gt;0),1,0)</f>
        <v/>
      </c>
      <c r="F135" s="12" t="inlineStr">
        <is>
          <t>Should be 0 for all blank intervals; previous-week Sunday carryover is excluded from current-week waste.</t>
        </is>
      </c>
    </row>
    <row r="136">
      <c r="A136" s="12" t="inlineStr">
        <is>
          <t>Fri</t>
        </is>
      </c>
      <c r="B136" s="12" t="inlineStr">
        <is>
          <t>14:00</t>
        </is>
      </c>
      <c r="C136" s="12" t="inlineStr">
        <is>
          <t>No</t>
        </is>
      </c>
      <c r="D136" s="12">
        <f>COUNTIFS('Scheduler Engine'!$N$2:$N$1751,1,'Scheduler Engine'!$L$2:$L$1751,"&lt;="&amp;(5*24+14),'Scheduler Engine'!$M$2:$M$1751,"&gt;"&amp;(5*24+14))</f>
        <v/>
      </c>
      <c r="E136" s="12">
        <f>IF(AND(C136="Yes",D136&gt;0),1,0)</f>
        <v/>
      </c>
      <c r="F136" s="12" t="inlineStr">
        <is>
          <t>Should be 0 for all blank intervals; previous-week Sunday carryover is excluded from current-week waste.</t>
        </is>
      </c>
    </row>
    <row r="137">
      <c r="A137" s="12" t="inlineStr">
        <is>
          <t>Fri</t>
        </is>
      </c>
      <c r="B137" s="12" t="inlineStr">
        <is>
          <t>15:00</t>
        </is>
      </c>
      <c r="C137" s="12" t="inlineStr">
        <is>
          <t>No</t>
        </is>
      </c>
      <c r="D137" s="12">
        <f>COUNTIFS('Scheduler Engine'!$N$2:$N$1751,1,'Scheduler Engine'!$L$2:$L$1751,"&lt;="&amp;(5*24+15),'Scheduler Engine'!$M$2:$M$1751,"&gt;"&amp;(5*24+15))</f>
        <v/>
      </c>
      <c r="E137" s="12">
        <f>IF(AND(C137="Yes",D137&gt;0),1,0)</f>
        <v/>
      </c>
      <c r="F137" s="12" t="inlineStr">
        <is>
          <t>Should be 0 for all blank intervals; previous-week Sunday carryover is excluded from current-week waste.</t>
        </is>
      </c>
    </row>
    <row r="138">
      <c r="A138" s="12" t="inlineStr">
        <is>
          <t>Fri</t>
        </is>
      </c>
      <c r="B138" s="12" t="inlineStr">
        <is>
          <t>16:00</t>
        </is>
      </c>
      <c r="C138" s="12" t="inlineStr">
        <is>
          <t>No</t>
        </is>
      </c>
      <c r="D138" s="12">
        <f>COUNTIFS('Scheduler Engine'!$N$2:$N$1751,1,'Scheduler Engine'!$L$2:$L$1751,"&lt;="&amp;(5*24+16),'Scheduler Engine'!$M$2:$M$1751,"&gt;"&amp;(5*24+16))</f>
        <v/>
      </c>
      <c r="E138" s="12">
        <f>IF(AND(C138="Yes",D138&gt;0),1,0)</f>
        <v/>
      </c>
      <c r="F138" s="12" t="inlineStr">
        <is>
          <t>Should be 0 for all blank intervals; previous-week Sunday carryover is excluded from current-week waste.</t>
        </is>
      </c>
    </row>
    <row r="139">
      <c r="A139" s="12" t="inlineStr">
        <is>
          <t>Fri</t>
        </is>
      </c>
      <c r="B139" s="12" t="inlineStr">
        <is>
          <t>17:00</t>
        </is>
      </c>
      <c r="C139" s="12" t="inlineStr">
        <is>
          <t>No</t>
        </is>
      </c>
      <c r="D139" s="12">
        <f>COUNTIFS('Scheduler Engine'!$N$2:$N$1751,1,'Scheduler Engine'!$L$2:$L$1751,"&lt;="&amp;(5*24+17),'Scheduler Engine'!$M$2:$M$1751,"&gt;"&amp;(5*24+17))</f>
        <v/>
      </c>
      <c r="E139" s="12">
        <f>IF(AND(C139="Yes",D139&gt;0),1,0)</f>
        <v/>
      </c>
      <c r="F139" s="12" t="inlineStr">
        <is>
          <t>Should be 0 for all blank intervals; previous-week Sunday carryover is excluded from current-week waste.</t>
        </is>
      </c>
    </row>
    <row r="140">
      <c r="A140" s="12" t="inlineStr">
        <is>
          <t>Fri</t>
        </is>
      </c>
      <c r="B140" s="12" t="inlineStr">
        <is>
          <t>18:00</t>
        </is>
      </c>
      <c r="C140" s="12" t="inlineStr">
        <is>
          <t>No</t>
        </is>
      </c>
      <c r="D140" s="12">
        <f>COUNTIFS('Scheduler Engine'!$N$2:$N$1751,1,'Scheduler Engine'!$L$2:$L$1751,"&lt;="&amp;(5*24+18),'Scheduler Engine'!$M$2:$M$1751,"&gt;"&amp;(5*24+18))</f>
        <v/>
      </c>
      <c r="E140" s="12">
        <f>IF(AND(C140="Yes",D140&gt;0),1,0)</f>
        <v/>
      </c>
      <c r="F140" s="12" t="inlineStr">
        <is>
          <t>Should be 0 for all blank intervals; previous-week Sunday carryover is excluded from current-week waste.</t>
        </is>
      </c>
    </row>
    <row r="141">
      <c r="A141" s="12" t="inlineStr">
        <is>
          <t>Fri</t>
        </is>
      </c>
      <c r="B141" s="12" t="inlineStr">
        <is>
          <t>19:00</t>
        </is>
      </c>
      <c r="C141" s="12" t="inlineStr">
        <is>
          <t>No</t>
        </is>
      </c>
      <c r="D141" s="12">
        <f>COUNTIFS('Scheduler Engine'!$N$2:$N$1751,1,'Scheduler Engine'!$L$2:$L$1751,"&lt;="&amp;(5*24+19),'Scheduler Engine'!$M$2:$M$1751,"&gt;"&amp;(5*24+19))</f>
        <v/>
      </c>
      <c r="E141" s="12">
        <f>IF(AND(C141="Yes",D141&gt;0),1,0)</f>
        <v/>
      </c>
      <c r="F141" s="12" t="inlineStr">
        <is>
          <t>Should be 0 for all blank intervals; previous-week Sunday carryover is excluded from current-week waste.</t>
        </is>
      </c>
    </row>
    <row r="142">
      <c r="A142" s="12" t="inlineStr">
        <is>
          <t>Fri</t>
        </is>
      </c>
      <c r="B142" s="12" t="inlineStr">
        <is>
          <t>20:00</t>
        </is>
      </c>
      <c r="C142" s="12" t="inlineStr">
        <is>
          <t>No</t>
        </is>
      </c>
      <c r="D142" s="12">
        <f>COUNTIFS('Scheduler Engine'!$N$2:$N$1751,1,'Scheduler Engine'!$L$2:$L$1751,"&lt;="&amp;(5*24+20),'Scheduler Engine'!$M$2:$M$1751,"&gt;"&amp;(5*24+20))</f>
        <v/>
      </c>
      <c r="E142" s="12">
        <f>IF(AND(C142="Yes",D142&gt;0),1,0)</f>
        <v/>
      </c>
      <c r="F142" s="12" t="inlineStr">
        <is>
          <t>Should be 0 for all blank intervals; previous-week Sunday carryover is excluded from current-week waste.</t>
        </is>
      </c>
    </row>
    <row r="143">
      <c r="A143" s="12" t="inlineStr">
        <is>
          <t>Fri</t>
        </is>
      </c>
      <c r="B143" s="12" t="inlineStr">
        <is>
          <t>21:00</t>
        </is>
      </c>
      <c r="C143" s="12" t="inlineStr">
        <is>
          <t>No</t>
        </is>
      </c>
      <c r="D143" s="12">
        <f>COUNTIFS('Scheduler Engine'!$N$2:$N$1751,1,'Scheduler Engine'!$L$2:$L$1751,"&lt;="&amp;(5*24+21),'Scheduler Engine'!$M$2:$M$1751,"&gt;"&amp;(5*24+21))</f>
        <v/>
      </c>
      <c r="E143" s="12">
        <f>IF(AND(C143="Yes",D143&gt;0),1,0)</f>
        <v/>
      </c>
      <c r="F143" s="12" t="inlineStr">
        <is>
          <t>Should be 0 for all blank intervals; previous-week Sunday carryover is excluded from current-week waste.</t>
        </is>
      </c>
    </row>
    <row r="144">
      <c r="A144" s="12" t="inlineStr">
        <is>
          <t>Fri</t>
        </is>
      </c>
      <c r="B144" s="12" t="inlineStr">
        <is>
          <t>22:00</t>
        </is>
      </c>
      <c r="C144" s="12" t="inlineStr">
        <is>
          <t>No</t>
        </is>
      </c>
      <c r="D144" s="12">
        <f>COUNTIFS('Scheduler Engine'!$N$2:$N$1751,1,'Scheduler Engine'!$L$2:$L$1751,"&lt;="&amp;(5*24+22),'Scheduler Engine'!$M$2:$M$1751,"&gt;"&amp;(5*24+22))</f>
        <v/>
      </c>
      <c r="E144" s="12">
        <f>IF(AND(C144="Yes",D144&gt;0),1,0)</f>
        <v/>
      </c>
      <c r="F144" s="12" t="inlineStr">
        <is>
          <t>Should be 0 for all blank intervals; previous-week Sunday carryover is excluded from current-week waste.</t>
        </is>
      </c>
    </row>
    <row r="145">
      <c r="A145" s="12" t="inlineStr">
        <is>
          <t>Fri</t>
        </is>
      </c>
      <c r="B145" s="12" t="inlineStr">
        <is>
          <t>23:00</t>
        </is>
      </c>
      <c r="C145" s="12" t="inlineStr">
        <is>
          <t>No</t>
        </is>
      </c>
      <c r="D145" s="12">
        <f>COUNTIFS('Scheduler Engine'!$N$2:$N$1751,1,'Scheduler Engine'!$L$2:$L$1751,"&lt;="&amp;(5*24+23),'Scheduler Engine'!$M$2:$M$1751,"&gt;"&amp;(5*24+23))</f>
        <v/>
      </c>
      <c r="E145" s="12">
        <f>IF(AND(C145="Yes",D145&gt;0),1,0)</f>
        <v/>
      </c>
      <c r="F145" s="12" t="inlineStr">
        <is>
          <t>Should be 0 for all blank intervals; previous-week Sunday carryover is excluded from current-week waste.</t>
        </is>
      </c>
    </row>
    <row r="146">
      <c r="A146" s="12" t="inlineStr">
        <is>
          <t>Sat</t>
        </is>
      </c>
      <c r="B146" s="12" t="inlineStr">
        <is>
          <t>00:00</t>
        </is>
      </c>
      <c r="C146" s="12" t="inlineStr">
        <is>
          <t>No</t>
        </is>
      </c>
      <c r="D146" s="12">
        <f>COUNTIFS('Scheduler Engine'!$N$2:$N$1751,1,'Scheduler Engine'!$L$2:$L$1751,"&lt;="&amp;(6*24+0),'Scheduler Engine'!$M$2:$M$1751,"&gt;"&amp;(6*24+0))</f>
        <v/>
      </c>
      <c r="E146" s="12">
        <f>IF(AND(C146="Yes",D146&gt;0),1,0)</f>
        <v/>
      </c>
      <c r="F146" s="12" t="inlineStr">
        <is>
          <t>Should be 0 for all blank intervals; previous-week Sunday carryover is excluded from current-week waste.</t>
        </is>
      </c>
    </row>
    <row r="147">
      <c r="A147" s="12" t="inlineStr">
        <is>
          <t>Sat</t>
        </is>
      </c>
      <c r="B147" s="12" t="inlineStr">
        <is>
          <t>01:00</t>
        </is>
      </c>
      <c r="C147" s="12" t="inlineStr">
        <is>
          <t>No</t>
        </is>
      </c>
      <c r="D147" s="12">
        <f>COUNTIFS('Scheduler Engine'!$N$2:$N$1751,1,'Scheduler Engine'!$L$2:$L$1751,"&lt;="&amp;(6*24+1),'Scheduler Engine'!$M$2:$M$1751,"&gt;"&amp;(6*24+1))</f>
        <v/>
      </c>
      <c r="E147" s="12">
        <f>IF(AND(C147="Yes",D147&gt;0),1,0)</f>
        <v/>
      </c>
      <c r="F147" s="12" t="inlineStr">
        <is>
          <t>Should be 0 for all blank intervals; previous-week Sunday carryover is excluded from current-week waste.</t>
        </is>
      </c>
    </row>
    <row r="148">
      <c r="A148" s="12" t="inlineStr">
        <is>
          <t>Sat</t>
        </is>
      </c>
      <c r="B148" s="12" t="inlineStr">
        <is>
          <t>02:00</t>
        </is>
      </c>
      <c r="C148" s="12" t="inlineStr">
        <is>
          <t>No</t>
        </is>
      </c>
      <c r="D148" s="12">
        <f>COUNTIFS('Scheduler Engine'!$N$2:$N$1751,1,'Scheduler Engine'!$L$2:$L$1751,"&lt;="&amp;(6*24+2),'Scheduler Engine'!$M$2:$M$1751,"&gt;"&amp;(6*24+2))</f>
        <v/>
      </c>
      <c r="E148" s="12">
        <f>IF(AND(C148="Yes",D148&gt;0),1,0)</f>
        <v/>
      </c>
      <c r="F148" s="12" t="inlineStr">
        <is>
          <t>Should be 0 for all blank intervals; previous-week Sunday carryover is excluded from current-week waste.</t>
        </is>
      </c>
    </row>
    <row r="149">
      <c r="A149" s="12" t="inlineStr">
        <is>
          <t>Sat</t>
        </is>
      </c>
      <c r="B149" s="12" t="inlineStr">
        <is>
          <t>03:00</t>
        </is>
      </c>
      <c r="C149" s="12" t="inlineStr">
        <is>
          <t>No</t>
        </is>
      </c>
      <c r="D149" s="12">
        <f>COUNTIFS('Scheduler Engine'!$N$2:$N$1751,1,'Scheduler Engine'!$L$2:$L$1751,"&lt;="&amp;(6*24+3),'Scheduler Engine'!$M$2:$M$1751,"&gt;"&amp;(6*24+3))</f>
        <v/>
      </c>
      <c r="E149" s="12">
        <f>IF(AND(C149="Yes",D149&gt;0),1,0)</f>
        <v/>
      </c>
      <c r="F149" s="12" t="inlineStr">
        <is>
          <t>Should be 0 for all blank intervals; previous-week Sunday carryover is excluded from current-week waste.</t>
        </is>
      </c>
    </row>
    <row r="150">
      <c r="A150" s="12" t="inlineStr">
        <is>
          <t>Sat</t>
        </is>
      </c>
      <c r="B150" s="12" t="inlineStr">
        <is>
          <t>04:00</t>
        </is>
      </c>
      <c r="C150" s="12" t="inlineStr">
        <is>
          <t>No</t>
        </is>
      </c>
      <c r="D150" s="12">
        <f>COUNTIFS('Scheduler Engine'!$N$2:$N$1751,1,'Scheduler Engine'!$L$2:$L$1751,"&lt;="&amp;(6*24+4),'Scheduler Engine'!$M$2:$M$1751,"&gt;"&amp;(6*24+4))</f>
        <v/>
      </c>
      <c r="E150" s="12">
        <f>IF(AND(C150="Yes",D150&gt;0),1,0)</f>
        <v/>
      </c>
      <c r="F150" s="12" t="inlineStr">
        <is>
          <t>Should be 0 for all blank intervals; previous-week Sunday carryover is excluded from current-week waste.</t>
        </is>
      </c>
    </row>
    <row r="151">
      <c r="A151" s="12" t="inlineStr">
        <is>
          <t>Sat</t>
        </is>
      </c>
      <c r="B151" s="12" t="inlineStr">
        <is>
          <t>05:00</t>
        </is>
      </c>
      <c r="C151" s="12" t="inlineStr">
        <is>
          <t>No</t>
        </is>
      </c>
      <c r="D151" s="12">
        <f>COUNTIFS('Scheduler Engine'!$N$2:$N$1751,1,'Scheduler Engine'!$L$2:$L$1751,"&lt;="&amp;(6*24+5),'Scheduler Engine'!$M$2:$M$1751,"&gt;"&amp;(6*24+5))</f>
        <v/>
      </c>
      <c r="E151" s="12">
        <f>IF(AND(C151="Yes",D151&gt;0),1,0)</f>
        <v/>
      </c>
      <c r="F151" s="12" t="inlineStr">
        <is>
          <t>Should be 0 for all blank intervals; previous-week Sunday carryover is excluded from current-week waste.</t>
        </is>
      </c>
    </row>
    <row r="152">
      <c r="A152" s="12" t="inlineStr">
        <is>
          <t>Sat</t>
        </is>
      </c>
      <c r="B152" s="12" t="inlineStr">
        <is>
          <t>06:00</t>
        </is>
      </c>
      <c r="C152" s="12" t="inlineStr">
        <is>
          <t>No</t>
        </is>
      </c>
      <c r="D152" s="12">
        <f>COUNTIFS('Scheduler Engine'!$N$2:$N$1751,1,'Scheduler Engine'!$L$2:$L$1751,"&lt;="&amp;(6*24+6),'Scheduler Engine'!$M$2:$M$1751,"&gt;"&amp;(6*24+6))</f>
        <v/>
      </c>
      <c r="E152" s="12">
        <f>IF(AND(C152="Yes",D152&gt;0),1,0)</f>
        <v/>
      </c>
      <c r="F152" s="12" t="inlineStr">
        <is>
          <t>Should be 0 for all blank intervals; previous-week Sunday carryover is excluded from current-week waste.</t>
        </is>
      </c>
    </row>
    <row r="153">
      <c r="A153" s="12" t="inlineStr">
        <is>
          <t>Sat</t>
        </is>
      </c>
      <c r="B153" s="12" t="inlineStr">
        <is>
          <t>07:00</t>
        </is>
      </c>
      <c r="C153" s="12" t="inlineStr">
        <is>
          <t>Yes</t>
        </is>
      </c>
      <c r="D153" s="12">
        <f>COUNTIFS('Scheduler Engine'!$N$2:$N$1751,1,'Scheduler Engine'!$L$2:$L$1751,"&lt;="&amp;(6*24+7),'Scheduler Engine'!$M$2:$M$1751,"&gt;"&amp;(6*24+7))</f>
        <v/>
      </c>
      <c r="E153" s="12">
        <f>IF(AND(C153="Yes",D153&gt;0),1,0)</f>
        <v/>
      </c>
      <c r="F153" s="12" t="inlineStr">
        <is>
          <t>Should be 0 for all blank intervals; previous-week Sunday carryover is excluded from current-week waste.</t>
        </is>
      </c>
    </row>
    <row r="154">
      <c r="A154" s="12" t="inlineStr">
        <is>
          <t>Sat</t>
        </is>
      </c>
      <c r="B154" s="12" t="inlineStr">
        <is>
          <t>08:00</t>
        </is>
      </c>
      <c r="C154" s="12" t="inlineStr">
        <is>
          <t>Yes</t>
        </is>
      </c>
      <c r="D154" s="12">
        <f>COUNTIFS('Scheduler Engine'!$N$2:$N$1751,1,'Scheduler Engine'!$L$2:$L$1751,"&lt;="&amp;(6*24+8),'Scheduler Engine'!$M$2:$M$1751,"&gt;"&amp;(6*24+8))</f>
        <v/>
      </c>
      <c r="E154" s="12">
        <f>IF(AND(C154="Yes",D154&gt;0),1,0)</f>
        <v/>
      </c>
      <c r="F154" s="12" t="inlineStr">
        <is>
          <t>Should be 0 for all blank intervals; previous-week Sunday carryover is excluded from current-week waste.</t>
        </is>
      </c>
    </row>
    <row r="155">
      <c r="A155" s="12" t="inlineStr">
        <is>
          <t>Sat</t>
        </is>
      </c>
      <c r="B155" s="12" t="inlineStr">
        <is>
          <t>09:00</t>
        </is>
      </c>
      <c r="C155" s="12" t="inlineStr">
        <is>
          <t>Yes</t>
        </is>
      </c>
      <c r="D155" s="12">
        <f>COUNTIFS('Scheduler Engine'!$N$2:$N$1751,1,'Scheduler Engine'!$L$2:$L$1751,"&lt;="&amp;(6*24+9),'Scheduler Engine'!$M$2:$M$1751,"&gt;"&amp;(6*24+9))</f>
        <v/>
      </c>
      <c r="E155" s="12">
        <f>IF(AND(C155="Yes",D155&gt;0),1,0)</f>
        <v/>
      </c>
      <c r="F155" s="12" t="inlineStr">
        <is>
          <t>Should be 0 for all blank intervals; previous-week Sunday carryover is excluded from current-week waste.</t>
        </is>
      </c>
    </row>
    <row r="156">
      <c r="A156" s="12" t="inlineStr">
        <is>
          <t>Sat</t>
        </is>
      </c>
      <c r="B156" s="12" t="inlineStr">
        <is>
          <t>10:00</t>
        </is>
      </c>
      <c r="C156" s="12" t="inlineStr">
        <is>
          <t>Yes</t>
        </is>
      </c>
      <c r="D156" s="12">
        <f>COUNTIFS('Scheduler Engine'!$N$2:$N$1751,1,'Scheduler Engine'!$L$2:$L$1751,"&lt;="&amp;(6*24+10),'Scheduler Engine'!$M$2:$M$1751,"&gt;"&amp;(6*24+10))</f>
        <v/>
      </c>
      <c r="E156" s="12">
        <f>IF(AND(C156="Yes",D156&gt;0),1,0)</f>
        <v/>
      </c>
      <c r="F156" s="12" t="inlineStr">
        <is>
          <t>Should be 0 for all blank intervals; previous-week Sunday carryover is excluded from current-week waste.</t>
        </is>
      </c>
    </row>
    <row r="157">
      <c r="A157" s="12" t="inlineStr">
        <is>
          <t>Sat</t>
        </is>
      </c>
      <c r="B157" s="12" t="inlineStr">
        <is>
          <t>11:00</t>
        </is>
      </c>
      <c r="C157" s="12" t="inlineStr">
        <is>
          <t>No</t>
        </is>
      </c>
      <c r="D157" s="12">
        <f>COUNTIFS('Scheduler Engine'!$N$2:$N$1751,1,'Scheduler Engine'!$L$2:$L$1751,"&lt;="&amp;(6*24+11),'Scheduler Engine'!$M$2:$M$1751,"&gt;"&amp;(6*24+11))</f>
        <v/>
      </c>
      <c r="E157" s="12">
        <f>IF(AND(C157="Yes",D157&gt;0),1,0)</f>
        <v/>
      </c>
      <c r="F157" s="12" t="inlineStr">
        <is>
          <t>Should be 0 for all blank intervals; previous-week Sunday carryover is excluded from current-week waste.</t>
        </is>
      </c>
    </row>
    <row r="158">
      <c r="A158" s="12" t="inlineStr">
        <is>
          <t>Sat</t>
        </is>
      </c>
      <c r="B158" s="12" t="inlineStr">
        <is>
          <t>12:00</t>
        </is>
      </c>
      <c r="C158" s="12" t="inlineStr">
        <is>
          <t>No</t>
        </is>
      </c>
      <c r="D158" s="12">
        <f>COUNTIFS('Scheduler Engine'!$N$2:$N$1751,1,'Scheduler Engine'!$L$2:$L$1751,"&lt;="&amp;(6*24+12),'Scheduler Engine'!$M$2:$M$1751,"&gt;"&amp;(6*24+12))</f>
        <v/>
      </c>
      <c r="E158" s="12">
        <f>IF(AND(C158="Yes",D158&gt;0),1,0)</f>
        <v/>
      </c>
      <c r="F158" s="12" t="inlineStr">
        <is>
          <t>Should be 0 for all blank intervals; previous-week Sunday carryover is excluded from current-week waste.</t>
        </is>
      </c>
    </row>
    <row r="159">
      <c r="A159" s="12" t="inlineStr">
        <is>
          <t>Sat</t>
        </is>
      </c>
      <c r="B159" s="12" t="inlineStr">
        <is>
          <t>13:00</t>
        </is>
      </c>
      <c r="C159" s="12" t="inlineStr">
        <is>
          <t>No</t>
        </is>
      </c>
      <c r="D159" s="12">
        <f>COUNTIFS('Scheduler Engine'!$N$2:$N$1751,1,'Scheduler Engine'!$L$2:$L$1751,"&lt;="&amp;(6*24+13),'Scheduler Engine'!$M$2:$M$1751,"&gt;"&amp;(6*24+13))</f>
        <v/>
      </c>
      <c r="E159" s="12">
        <f>IF(AND(C159="Yes",D159&gt;0),1,0)</f>
        <v/>
      </c>
      <c r="F159" s="12" t="inlineStr">
        <is>
          <t>Should be 0 for all blank intervals; previous-week Sunday carryover is excluded from current-week waste.</t>
        </is>
      </c>
    </row>
    <row r="160">
      <c r="A160" s="12" t="inlineStr">
        <is>
          <t>Sat</t>
        </is>
      </c>
      <c r="B160" s="12" t="inlineStr">
        <is>
          <t>14:00</t>
        </is>
      </c>
      <c r="C160" s="12" t="inlineStr">
        <is>
          <t>No</t>
        </is>
      </c>
      <c r="D160" s="12">
        <f>COUNTIFS('Scheduler Engine'!$N$2:$N$1751,1,'Scheduler Engine'!$L$2:$L$1751,"&lt;="&amp;(6*24+14),'Scheduler Engine'!$M$2:$M$1751,"&gt;"&amp;(6*24+14))</f>
        <v/>
      </c>
      <c r="E160" s="12">
        <f>IF(AND(C160="Yes",D160&gt;0),1,0)</f>
        <v/>
      </c>
      <c r="F160" s="12" t="inlineStr">
        <is>
          <t>Should be 0 for all blank intervals; previous-week Sunday carryover is excluded from current-week waste.</t>
        </is>
      </c>
    </row>
    <row r="161">
      <c r="A161" s="12" t="inlineStr">
        <is>
          <t>Sat</t>
        </is>
      </c>
      <c r="B161" s="12" t="inlineStr">
        <is>
          <t>15:00</t>
        </is>
      </c>
      <c r="C161" s="12" t="inlineStr">
        <is>
          <t>No</t>
        </is>
      </c>
      <c r="D161" s="12">
        <f>COUNTIFS('Scheduler Engine'!$N$2:$N$1751,1,'Scheduler Engine'!$L$2:$L$1751,"&lt;="&amp;(6*24+15),'Scheduler Engine'!$M$2:$M$1751,"&gt;"&amp;(6*24+15))</f>
        <v/>
      </c>
      <c r="E161" s="12">
        <f>IF(AND(C161="Yes",D161&gt;0),1,0)</f>
        <v/>
      </c>
      <c r="F161" s="12" t="inlineStr">
        <is>
          <t>Should be 0 for all blank intervals; previous-week Sunday carryover is excluded from current-week waste.</t>
        </is>
      </c>
    </row>
    <row r="162">
      <c r="A162" s="12" t="inlineStr">
        <is>
          <t>Sat</t>
        </is>
      </c>
      <c r="B162" s="12" t="inlineStr">
        <is>
          <t>16:00</t>
        </is>
      </c>
      <c r="C162" s="12" t="inlineStr">
        <is>
          <t>No</t>
        </is>
      </c>
      <c r="D162" s="12">
        <f>COUNTIFS('Scheduler Engine'!$N$2:$N$1751,1,'Scheduler Engine'!$L$2:$L$1751,"&lt;="&amp;(6*24+16),'Scheduler Engine'!$M$2:$M$1751,"&gt;"&amp;(6*24+16))</f>
        <v/>
      </c>
      <c r="E162" s="12">
        <f>IF(AND(C162="Yes",D162&gt;0),1,0)</f>
        <v/>
      </c>
      <c r="F162" s="12" t="inlineStr">
        <is>
          <t>Should be 0 for all blank intervals; previous-week Sunday carryover is excluded from current-week waste.</t>
        </is>
      </c>
    </row>
    <row r="163">
      <c r="A163" s="12" t="inlineStr">
        <is>
          <t>Sat</t>
        </is>
      </c>
      <c r="B163" s="12" t="inlineStr">
        <is>
          <t>17:00</t>
        </is>
      </c>
      <c r="C163" s="12" t="inlineStr">
        <is>
          <t>No</t>
        </is>
      </c>
      <c r="D163" s="12">
        <f>COUNTIFS('Scheduler Engine'!$N$2:$N$1751,1,'Scheduler Engine'!$L$2:$L$1751,"&lt;="&amp;(6*24+17),'Scheduler Engine'!$M$2:$M$1751,"&gt;"&amp;(6*24+17))</f>
        <v/>
      </c>
      <c r="E163" s="12">
        <f>IF(AND(C163="Yes",D163&gt;0),1,0)</f>
        <v/>
      </c>
      <c r="F163" s="12" t="inlineStr">
        <is>
          <t>Should be 0 for all blank intervals; previous-week Sunday carryover is excluded from current-week waste.</t>
        </is>
      </c>
    </row>
    <row r="164">
      <c r="A164" s="12" t="inlineStr">
        <is>
          <t>Sat</t>
        </is>
      </c>
      <c r="B164" s="12" t="inlineStr">
        <is>
          <t>18:00</t>
        </is>
      </c>
      <c r="C164" s="12" t="inlineStr">
        <is>
          <t>No</t>
        </is>
      </c>
      <c r="D164" s="12">
        <f>COUNTIFS('Scheduler Engine'!$N$2:$N$1751,1,'Scheduler Engine'!$L$2:$L$1751,"&lt;="&amp;(6*24+18),'Scheduler Engine'!$M$2:$M$1751,"&gt;"&amp;(6*24+18))</f>
        <v/>
      </c>
      <c r="E164" s="12">
        <f>IF(AND(C164="Yes",D164&gt;0),1,0)</f>
        <v/>
      </c>
      <c r="F164" s="12" t="inlineStr">
        <is>
          <t>Should be 0 for all blank intervals; previous-week Sunday carryover is excluded from current-week waste.</t>
        </is>
      </c>
    </row>
    <row r="165">
      <c r="A165" s="12" t="inlineStr">
        <is>
          <t>Sat</t>
        </is>
      </c>
      <c r="B165" s="12" t="inlineStr">
        <is>
          <t>19:00</t>
        </is>
      </c>
      <c r="C165" s="12" t="inlineStr">
        <is>
          <t>No</t>
        </is>
      </c>
      <c r="D165" s="12">
        <f>COUNTIFS('Scheduler Engine'!$N$2:$N$1751,1,'Scheduler Engine'!$L$2:$L$1751,"&lt;="&amp;(6*24+19),'Scheduler Engine'!$M$2:$M$1751,"&gt;"&amp;(6*24+19))</f>
        <v/>
      </c>
      <c r="E165" s="12">
        <f>IF(AND(C165="Yes",D165&gt;0),1,0)</f>
        <v/>
      </c>
      <c r="F165" s="12" t="inlineStr">
        <is>
          <t>Should be 0 for all blank intervals; previous-week Sunday carryover is excluded from current-week waste.</t>
        </is>
      </c>
    </row>
    <row r="166">
      <c r="A166" s="12" t="inlineStr">
        <is>
          <t>Sat</t>
        </is>
      </c>
      <c r="B166" s="12" t="inlineStr">
        <is>
          <t>20:00</t>
        </is>
      </c>
      <c r="C166" s="12" t="inlineStr">
        <is>
          <t>No</t>
        </is>
      </c>
      <c r="D166" s="12">
        <f>COUNTIFS('Scheduler Engine'!$N$2:$N$1751,1,'Scheduler Engine'!$L$2:$L$1751,"&lt;="&amp;(6*24+20),'Scheduler Engine'!$M$2:$M$1751,"&gt;"&amp;(6*24+20))</f>
        <v/>
      </c>
      <c r="E166" s="12">
        <f>IF(AND(C166="Yes",D166&gt;0),1,0)</f>
        <v/>
      </c>
      <c r="F166" s="12" t="inlineStr">
        <is>
          <t>Should be 0 for all blank intervals; previous-week Sunday carryover is excluded from current-week waste.</t>
        </is>
      </c>
    </row>
    <row r="167">
      <c r="A167" s="12" t="inlineStr">
        <is>
          <t>Sat</t>
        </is>
      </c>
      <c r="B167" s="12" t="inlineStr">
        <is>
          <t>21:00</t>
        </is>
      </c>
      <c r="C167" s="12" t="inlineStr">
        <is>
          <t>No</t>
        </is>
      </c>
      <c r="D167" s="12">
        <f>COUNTIFS('Scheduler Engine'!$N$2:$N$1751,1,'Scheduler Engine'!$L$2:$L$1751,"&lt;="&amp;(6*24+21),'Scheduler Engine'!$M$2:$M$1751,"&gt;"&amp;(6*24+21))</f>
        <v/>
      </c>
      <c r="E167" s="12">
        <f>IF(AND(C167="Yes",D167&gt;0),1,0)</f>
        <v/>
      </c>
      <c r="F167" s="12" t="inlineStr">
        <is>
          <t>Should be 0 for all blank intervals; previous-week Sunday carryover is excluded from current-week waste.</t>
        </is>
      </c>
    </row>
    <row r="168">
      <c r="A168" s="12" t="inlineStr">
        <is>
          <t>Sat</t>
        </is>
      </c>
      <c r="B168" s="12" t="inlineStr">
        <is>
          <t>22:00</t>
        </is>
      </c>
      <c r="C168" s="12" t="inlineStr">
        <is>
          <t>No</t>
        </is>
      </c>
      <c r="D168" s="12">
        <f>COUNTIFS('Scheduler Engine'!$N$2:$N$1751,1,'Scheduler Engine'!$L$2:$L$1751,"&lt;="&amp;(6*24+22),'Scheduler Engine'!$M$2:$M$1751,"&gt;"&amp;(6*24+22))</f>
        <v/>
      </c>
      <c r="E168" s="12">
        <f>IF(AND(C168="Yes",D168&gt;0),1,0)</f>
        <v/>
      </c>
      <c r="F168" s="12" t="inlineStr">
        <is>
          <t>Should be 0 for all blank intervals; previous-week Sunday carryover is excluded from current-week waste.</t>
        </is>
      </c>
    </row>
    <row r="169">
      <c r="A169" s="12" t="inlineStr">
        <is>
          <t>Sat</t>
        </is>
      </c>
      <c r="B169" s="12" t="inlineStr">
        <is>
          <t>23:00</t>
        </is>
      </c>
      <c r="C169" s="12" t="inlineStr">
        <is>
          <t>No</t>
        </is>
      </c>
      <c r="D169" s="12">
        <f>COUNTIFS('Scheduler Engine'!$N$2:$N$1751,1,'Scheduler Engine'!$L$2:$L$1751,"&lt;="&amp;(6*24+23),'Scheduler Engine'!$M$2:$M$1751,"&gt;"&amp;(6*24+23))</f>
        <v/>
      </c>
      <c r="E169" s="12">
        <f>IF(AND(C169="Yes",D169&gt;0),1,0)</f>
        <v/>
      </c>
      <c r="F169" s="12" t="inlineStr">
        <is>
          <t>Should be 0 for all blank intervals; previous-week Sunday carryover is excluded from current-week waste.</t>
        </is>
      </c>
    </row>
  </sheetData>
  <conditionalFormatting sqref="I3:I170">
    <cfRule type="expression" priority="1" dxfId="0">
      <formula>I3="WASTE"</formula>
    </cfRule>
  </conditionalFormatting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20" customWidth="1" style="45" min="1" max="8"/>
    <col width="14" customWidth="1" style="45" min="9" max="9"/>
    <col width="90" customWidth="1" style="45" min="10" max="10"/>
  </cols>
  <sheetData>
    <row r="1">
      <c r="A1" s="48" t="inlineStr">
        <is>
          <t>Run</t>
        </is>
      </c>
      <c r="B1" s="48" t="inlineStr">
        <is>
          <t>Target Wins</t>
        </is>
      </c>
      <c r="C1" s="48" t="inlineStr">
        <is>
          <t>100% Wins</t>
        </is>
      </c>
      <c r="D1" s="48" t="inlineStr">
        <is>
          <t>80% Wins</t>
        </is>
      </c>
      <c r="E1" s="48" t="inlineStr">
        <is>
          <t>70% Wins</t>
        </is>
      </c>
      <c r="F1" s="48" t="inlineStr">
        <is>
          <t>Lowest %</t>
        </is>
      </c>
      <c r="G1" s="48" t="inlineStr">
        <is>
          <t>Shortage to Target</t>
        </is>
      </c>
      <c r="H1" s="48" t="inlineStr">
        <is>
          <t>Comment</t>
        </is>
      </c>
    </row>
    <row r="2">
      <c r="A2" t="inlineStr">
        <is>
          <t>V9 Target-90 MILP</t>
        </is>
      </c>
      <c r="B2" t="inlineStr">
        <is>
          <t>116/126</t>
        </is>
      </c>
      <c r="C2" t="inlineStr">
        <is>
          <t>85/126</t>
        </is>
      </c>
      <c r="D2" t="inlineStr">
        <is>
          <t>126/126</t>
        </is>
      </c>
      <c r="E2" t="inlineStr">
        <is>
          <t>126/126</t>
        </is>
      </c>
      <c r="F2" s="54" t="n">
        <v>0.8466569767441861</v>
      </c>
      <c r="G2" t="n">
        <v>3.141015275574096</v>
      </c>
      <c r="H2" t="inlineStr">
        <is>
          <t>Selected. Fixes prior zero-coverage intervals by optimizing weekly patterns first.</t>
        </is>
      </c>
    </row>
    <row r="6" ht="30" customHeight="1" s="45"/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:H1"/>
    </sheetView>
  </sheetViews>
  <sheetFormatPr baseColWidth="8" defaultRowHeight="15"/>
  <cols>
    <col width="12" customWidth="1" style="45" min="1" max="1"/>
    <col width="10" customWidth="1" style="45" min="2" max="2"/>
    <col width="28" customWidth="1" style="45" min="3" max="3"/>
    <col width="12" customWidth="1" style="45" min="4" max="4"/>
    <col width="16" customWidth="1" style="45" min="5" max="6"/>
    <col width="14" customWidth="1" style="45" min="7" max="8"/>
  </cols>
  <sheetData>
    <row r="1" ht="17.25" customHeight="1" s="45">
      <c r="A1" s="52" t="inlineStr">
        <is>
          <t>Enhanced Balance Pass Summary</t>
        </is>
      </c>
    </row>
    <row r="3">
      <c r="A3" s="7" t="inlineStr">
        <is>
          <t>Metric</t>
        </is>
      </c>
      <c r="B3" s="7" t="inlineStr">
        <is>
          <t>Before</t>
        </is>
      </c>
      <c r="C3" s="7" t="inlineStr">
        <is>
          <t>After</t>
        </is>
      </c>
      <c r="D3" s="7" t="inlineStr">
        <is>
          <t>Delta</t>
        </is>
      </c>
    </row>
    <row r="4">
      <c r="A4" s="12" t="inlineStr">
        <is>
          <t>100% interval wins</t>
        </is>
      </c>
      <c r="B4" s="12" t="n">
        <v>31</v>
      </c>
      <c r="C4" s="12" t="n">
        <v>32</v>
      </c>
      <c r="D4" s="12" t="n">
        <v>1</v>
      </c>
    </row>
    <row r="5">
      <c r="A5" s="12" t="inlineStr">
        <is>
          <t>80% minimum wins</t>
        </is>
      </c>
      <c r="B5" s="12" t="n">
        <v>110</v>
      </c>
      <c r="C5" s="12" t="n">
        <v>110</v>
      </c>
      <c r="D5" s="12" t="n">
        <v>0</v>
      </c>
    </row>
    <row r="6">
      <c r="A6" s="12" t="inlineStr">
        <is>
          <t>70% hard-floor wins</t>
        </is>
      </c>
      <c r="B6" s="12" t="n">
        <v>131</v>
      </c>
      <c r="C6" s="12" t="n">
        <v>131</v>
      </c>
      <c r="D6" s="12" t="n">
        <v>0</v>
      </c>
    </row>
    <row r="7">
      <c r="A7" s="12" t="inlineStr">
        <is>
          <t>Intervals below 70%</t>
        </is>
      </c>
      <c r="B7" s="12" t="n">
        <v>3</v>
      </c>
      <c r="C7" s="12" t="n">
        <v>3</v>
      </c>
      <c r="D7" s="12" t="n">
        <v>0</v>
      </c>
    </row>
    <row r="8">
      <c r="A8" s="12" t="inlineStr">
        <is>
          <t>Total shortfall after shrinkage</t>
        </is>
      </c>
      <c r="B8" s="12" t="n">
        <v>167.9</v>
      </c>
      <c r="C8" s="12" t="n">
        <v>168</v>
      </c>
      <c r="D8" s="12" t="n">
        <v>0</v>
      </c>
    </row>
    <row r="9">
      <c r="A9" s="12" t="inlineStr">
        <is>
          <t>Average absolute variance</t>
        </is>
      </c>
      <c r="B9" s="12" t="n">
        <v>1.69</v>
      </c>
      <c r="C9" s="12" t="n">
        <v>1.69</v>
      </c>
      <c r="D9" s="12" t="n">
        <v>0</v>
      </c>
    </row>
    <row r="12">
      <c r="A12" s="7" t="inlineStr">
        <is>
          <t>Pass</t>
        </is>
      </c>
      <c r="B12" s="7" t="inlineStr">
        <is>
          <t>Slot</t>
        </is>
      </c>
      <c r="C12" s="7" t="inlineStr">
        <is>
          <t>Name</t>
        </is>
      </c>
      <c r="D12" s="7" t="inlineStr">
        <is>
          <t>Day</t>
        </is>
      </c>
      <c r="E12" s="7" t="inlineStr">
        <is>
          <t>Old Shift</t>
        </is>
      </c>
      <c r="F12" s="7" t="inlineStr">
        <is>
          <t>New Shift</t>
        </is>
      </c>
      <c r="G12" s="7" t="inlineStr">
        <is>
          <t>Old Score</t>
        </is>
      </c>
      <c r="H12" s="7" t="inlineStr">
        <is>
          <t>New Score</t>
        </is>
      </c>
    </row>
    <row r="13">
      <c r="A13" s="12" t="n">
        <v>1</v>
      </c>
      <c r="B13" s="12" t="n">
        <v>1</v>
      </c>
      <c r="C13" s="12" t="inlineStr">
        <is>
          <t>Esraa Abdelhadi</t>
        </is>
      </c>
      <c r="D13" s="12" t="inlineStr">
        <is>
          <t>Mon</t>
        </is>
      </c>
      <c r="E13" s="12" t="inlineStr">
        <is>
          <t>21:00 - 06:00</t>
        </is>
      </c>
      <c r="F13" s="12" t="inlineStr">
        <is>
          <t>22:00 - 07:00</t>
        </is>
      </c>
      <c r="G13" s="12" t="n">
        <v>7663632.88</v>
      </c>
      <c r="H13" s="12" t="n">
        <v>7662559.19</v>
      </c>
    </row>
    <row r="14">
      <c r="A14" s="12" t="n">
        <v>1</v>
      </c>
      <c r="B14" s="12" t="n">
        <v>6</v>
      </c>
      <c r="C14" s="12" t="inlineStr">
        <is>
          <t>Jana Rabeey</t>
        </is>
      </c>
      <c r="D14" s="12" t="inlineStr">
        <is>
          <t>Mon</t>
        </is>
      </c>
      <c r="E14" s="12" t="inlineStr">
        <is>
          <t>20:00 - 07:00</t>
        </is>
      </c>
      <c r="F14" s="12" t="inlineStr">
        <is>
          <t>19:00 - 06:00</t>
        </is>
      </c>
      <c r="G14" s="12" t="n">
        <v>7662559.19</v>
      </c>
      <c r="H14" s="12" t="n">
        <v>7653645.47</v>
      </c>
    </row>
  </sheetData>
  <mergeCells count="1">
    <mergeCell ref="A1:H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workbookViewId="0">
      <selection activeCell="G1" sqref="G1"/>
    </sheetView>
  </sheetViews>
  <sheetFormatPr baseColWidth="8" defaultRowHeight="15"/>
  <cols>
    <col width="12" customWidth="1" style="45" min="1" max="1"/>
    <col width="10" customWidth="1" style="45" min="2" max="2"/>
    <col width="18" customWidth="1" style="45" min="3" max="3"/>
    <col width="12" customWidth="1" style="45" min="4" max="5"/>
    <col width="14" customWidth="1" style="45" min="6" max="6"/>
    <col width="36" customWidth="1" style="45" min="7" max="7"/>
    <col width="12" customWidth="1" style="45" min="8" max="8"/>
    <col width="95" customWidth="1" style="45" min="9" max="9"/>
  </cols>
  <sheetData>
    <row r="1">
      <c r="A1" s="30" t="inlineStr">
        <is>
          <t>Enabled</t>
        </is>
      </c>
      <c r="B1" s="30" t="inlineStr">
        <is>
          <t>Count</t>
        </is>
      </c>
      <c r="C1" s="30" t="inlineStr">
        <is>
          <t>Shift</t>
        </is>
      </c>
      <c r="D1" s="30" t="inlineStr">
        <is>
          <t>Start Day</t>
        </is>
      </c>
      <c r="E1" s="30" t="inlineStr">
        <is>
          <t>End Day</t>
        </is>
      </c>
      <c r="F1" s="30" t="inlineStr">
        <is>
          <t>Language</t>
        </is>
      </c>
      <c r="G1" s="30" t="inlineStr">
        <is>
          <t>Associate Names</t>
        </is>
      </c>
      <c r="H1" s="30" t="inlineStr">
        <is>
          <t>Mode</t>
        </is>
      </c>
      <c r="I1" s="30" t="inlineStr">
        <is>
          <t>Notes</t>
        </is>
      </c>
    </row>
    <row r="2">
      <c r="A2" s="31" t="inlineStr">
        <is>
          <t>No</t>
        </is>
      </c>
      <c r="B2" s="31" t="n"/>
      <c r="C2" s="31" t="n"/>
      <c r="D2" s="31" t="n"/>
      <c r="E2" s="31" t="n"/>
      <c r="F2" s="31" t="n"/>
      <c r="G2" s="31" t="n"/>
      <c r="H2" s="31" t="n"/>
      <c r="I2" s="31" t="inlineStr">
        <is>
          <t>Disabled for production test: user did not provide fixed/nesting constraints.</t>
        </is>
      </c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</row>
    <row r="5">
      <c r="A5" s="31" t="n"/>
      <c r="B5" s="31" t="n"/>
      <c r="C5" s="31" t="n"/>
      <c r="D5" s="31" t="n"/>
      <c r="E5" s="31" t="n"/>
      <c r="F5" s="31" t="n"/>
      <c r="G5" s="31" t="n"/>
      <c r="H5" s="31" t="n"/>
      <c r="I5" s="31" t="n"/>
    </row>
    <row r="6">
      <c r="A6" s="31" t="n"/>
      <c r="B6" s="31" t="n"/>
      <c r="C6" s="31" t="n"/>
      <c r="D6" s="31" t="n"/>
      <c r="E6" s="31" t="n"/>
      <c r="F6" s="31" t="n"/>
      <c r="G6" s="31" t="n"/>
      <c r="H6" s="31" t="n"/>
      <c r="I6" s="31" t="n"/>
    </row>
    <row r="7">
      <c r="A7" s="31" t="n"/>
      <c r="B7" s="31" t="n"/>
      <c r="C7" s="31" t="n"/>
      <c r="D7" s="31" t="n"/>
      <c r="E7" s="31" t="n"/>
      <c r="F7" s="31" t="n"/>
      <c r="G7" s="31" t="n"/>
      <c r="H7" s="31" t="n"/>
      <c r="I7" s="31" t="n"/>
    </row>
    <row r="8">
      <c r="A8" s="31" t="n"/>
      <c r="B8" s="31" t="n"/>
      <c r="C8" s="31" t="n"/>
      <c r="D8" s="31" t="n"/>
      <c r="E8" s="31" t="n"/>
      <c r="F8" s="31" t="n"/>
      <c r="G8" s="31" t="n"/>
      <c r="H8" s="31" t="n"/>
      <c r="I8" s="31" t="n"/>
    </row>
    <row r="9">
      <c r="A9" s="31" t="n"/>
      <c r="B9" s="31" t="n"/>
      <c r="C9" s="31" t="n"/>
      <c r="D9" s="31" t="n"/>
      <c r="E9" s="31" t="n"/>
      <c r="F9" s="31" t="n"/>
      <c r="G9" s="31" t="n"/>
      <c r="H9" s="31" t="n"/>
      <c r="I9" s="31" t="n"/>
    </row>
    <row r="10">
      <c r="A10" s="31" t="n"/>
      <c r="B10" s="31" t="n"/>
      <c r="C10" s="31" t="n"/>
      <c r="D10" s="31" t="n"/>
      <c r="E10" s="31" t="n"/>
      <c r="F10" s="31" t="n"/>
      <c r="G10" s="31" t="n"/>
      <c r="H10" s="31" t="n"/>
      <c r="I10" s="31" t="n"/>
    </row>
    <row r="11">
      <c r="A11" s="31" t="n"/>
      <c r="B11" s="31" t="n"/>
      <c r="C11" s="31" t="n"/>
      <c r="D11" s="31" t="n"/>
      <c r="E11" s="31" t="n"/>
      <c r="F11" s="31" t="n"/>
      <c r="G11" s="31" t="n"/>
      <c r="H11" s="31" t="n"/>
      <c r="I11" s="31" t="n"/>
    </row>
    <row r="12">
      <c r="A12" s="31" t="n"/>
      <c r="B12" s="31" t="n"/>
      <c r="C12" s="31" t="n"/>
      <c r="D12" s="31" t="n"/>
      <c r="E12" s="31" t="n"/>
      <c r="F12" s="31" t="n"/>
      <c r="G12" s="31" t="n"/>
      <c r="H12" s="31" t="n"/>
      <c r="I12" s="31" t="n"/>
    </row>
    <row r="13">
      <c r="A13" s="31" t="n"/>
      <c r="B13" s="31" t="n"/>
      <c r="C13" s="31" t="n"/>
      <c r="D13" s="31" t="n"/>
      <c r="E13" s="31" t="n"/>
      <c r="F13" s="31" t="n"/>
      <c r="G13" s="31" t="n"/>
      <c r="H13" s="31" t="n"/>
      <c r="I13" s="31" t="n"/>
    </row>
    <row r="14">
      <c r="A14" s="31" t="n"/>
      <c r="B14" s="31" t="n"/>
      <c r="C14" s="31" t="n"/>
      <c r="D14" s="31" t="n"/>
      <c r="E14" s="31" t="n"/>
      <c r="F14" s="31" t="n"/>
      <c r="G14" s="31" t="n"/>
      <c r="H14" s="31" t="n"/>
      <c r="I14" s="31" t="n"/>
    </row>
    <row r="15">
      <c r="A15" s="31" t="n"/>
      <c r="B15" s="31" t="n"/>
      <c r="C15" s="31" t="n"/>
      <c r="D15" s="31" t="n"/>
      <c r="E15" s="31" t="n"/>
      <c r="F15" s="31" t="n"/>
      <c r="G15" s="31" t="n"/>
      <c r="H15" s="31" t="n"/>
      <c r="I15" s="31" t="n"/>
    </row>
    <row r="16">
      <c r="A16" s="31" t="n"/>
      <c r="B16" s="31" t="n"/>
      <c r="C16" s="31" t="n"/>
      <c r="D16" s="31" t="n"/>
      <c r="E16" s="31" t="n"/>
      <c r="F16" s="31" t="n"/>
      <c r="G16" s="31" t="n"/>
      <c r="H16" s="31" t="n"/>
      <c r="I16" s="31" t="n"/>
    </row>
    <row r="17">
      <c r="A17" s="31" t="n"/>
      <c r="B17" s="31" t="n"/>
      <c r="C17" s="31" t="n"/>
      <c r="D17" s="31" t="n"/>
      <c r="E17" s="31" t="n"/>
      <c r="F17" s="31" t="n"/>
      <c r="G17" s="31" t="n"/>
      <c r="H17" s="31" t="n"/>
      <c r="I17" s="31" t="n"/>
    </row>
    <row r="18">
      <c r="A18" s="31" t="n"/>
      <c r="B18" s="31" t="n"/>
      <c r="C18" s="31" t="n"/>
      <c r="D18" s="31" t="n"/>
      <c r="E18" s="31" t="n"/>
      <c r="F18" s="31" t="n"/>
      <c r="G18" s="31" t="n"/>
      <c r="H18" s="31" t="n"/>
      <c r="I18" s="31" t="n"/>
    </row>
    <row r="19">
      <c r="A19" s="31" t="n"/>
      <c r="B19" s="31" t="n"/>
      <c r="C19" s="31" t="n"/>
      <c r="D19" s="31" t="n"/>
      <c r="E19" s="31" t="n"/>
      <c r="F19" s="31" t="n"/>
      <c r="G19" s="31" t="n"/>
      <c r="H19" s="31" t="n"/>
      <c r="I19" s="31" t="n"/>
    </row>
    <row r="20">
      <c r="A20" s="31" t="n"/>
      <c r="B20" s="31" t="n"/>
      <c r="C20" s="31" t="n"/>
      <c r="D20" s="31" t="n"/>
      <c r="E20" s="31" t="n"/>
      <c r="F20" s="31" t="n"/>
      <c r="G20" s="31" t="n"/>
      <c r="H20" s="31" t="n"/>
      <c r="I20" s="31" t="n"/>
    </row>
    <row r="21">
      <c r="A21" s="31" t="n"/>
      <c r="B21" s="31" t="n"/>
      <c r="C21" s="31" t="n"/>
      <c r="D21" s="31" t="n"/>
      <c r="E21" s="31" t="n"/>
      <c r="F21" s="31" t="n"/>
      <c r="G21" s="31" t="n"/>
      <c r="H21" s="31" t="n"/>
      <c r="I21" s="31" t="n"/>
    </row>
    <row r="22">
      <c r="A22" s="31" t="n"/>
      <c r="B22" s="31" t="n"/>
      <c r="C22" s="31" t="n"/>
      <c r="D22" s="31" t="n"/>
      <c r="E22" s="31" t="n"/>
      <c r="F22" s="31" t="n"/>
      <c r="G22" s="31" t="n"/>
      <c r="H22" s="31" t="n"/>
      <c r="I22" s="31" t="n"/>
    </row>
    <row r="23">
      <c r="A23" s="31" t="n"/>
      <c r="B23" s="31" t="n"/>
      <c r="C23" s="31" t="n"/>
      <c r="D23" s="31" t="n"/>
      <c r="E23" s="31" t="n"/>
      <c r="F23" s="31" t="n"/>
      <c r="G23" s="31" t="n"/>
      <c r="H23" s="31" t="n"/>
      <c r="I23" s="31" t="n"/>
    </row>
    <row r="24">
      <c r="A24" s="31" t="n"/>
      <c r="B24" s="31" t="n"/>
      <c r="C24" s="31" t="n"/>
      <c r="D24" s="31" t="n"/>
      <c r="E24" s="31" t="n"/>
      <c r="F24" s="31" t="n"/>
      <c r="G24" s="31" t="n"/>
      <c r="H24" s="31" t="n"/>
      <c r="I24" s="31" t="n"/>
    </row>
    <row r="25">
      <c r="A25" s="31" t="n"/>
      <c r="B25" s="31" t="n"/>
      <c r="C25" s="31" t="n"/>
      <c r="D25" s="31" t="n"/>
      <c r="E25" s="31" t="n"/>
      <c r="F25" s="31" t="n"/>
      <c r="G25" s="31" t="n"/>
      <c r="H25" s="31" t="n"/>
      <c r="I25" s="31" t="n"/>
    </row>
    <row r="26">
      <c r="A26" s="31" t="n"/>
      <c r="B26" s="31" t="n"/>
      <c r="C26" s="31" t="n"/>
      <c r="D26" s="31" t="n"/>
      <c r="E26" s="31" t="n"/>
      <c r="F26" s="31" t="n"/>
      <c r="G26" s="31" t="n"/>
      <c r="H26" s="31" t="n"/>
      <c r="I26" s="31" t="n"/>
    </row>
    <row r="27">
      <c r="A27" s="31" t="n"/>
      <c r="B27" s="31" t="n"/>
      <c r="C27" s="31" t="n"/>
      <c r="D27" s="31" t="n"/>
      <c r="E27" s="31" t="n"/>
      <c r="F27" s="31" t="n"/>
      <c r="G27" s="31" t="n"/>
      <c r="H27" s="31" t="n"/>
      <c r="I27" s="31" t="n"/>
    </row>
    <row r="28">
      <c r="A28" s="31" t="n"/>
      <c r="B28" s="31" t="n"/>
      <c r="C28" s="31" t="n"/>
      <c r="D28" s="31" t="n"/>
      <c r="E28" s="31" t="n"/>
      <c r="F28" s="31" t="n"/>
      <c r="G28" s="31" t="n"/>
      <c r="H28" s="31" t="n"/>
      <c r="I28" s="31" t="n"/>
    </row>
    <row r="29">
      <c r="A29" s="31" t="n"/>
      <c r="B29" s="31" t="n"/>
      <c r="C29" s="31" t="n"/>
      <c r="D29" s="31" t="n"/>
      <c r="E29" s="31" t="n"/>
      <c r="F29" s="31" t="n"/>
      <c r="G29" s="31" t="n"/>
      <c r="H29" s="31" t="n"/>
      <c r="I29" s="31" t="n"/>
    </row>
    <row r="30">
      <c r="A30" s="31" t="n"/>
      <c r="B30" s="31" t="n"/>
      <c r="C30" s="31" t="n"/>
      <c r="D30" s="31" t="n"/>
      <c r="E30" s="31" t="n"/>
      <c r="F30" s="31" t="n"/>
      <c r="G30" s="31" t="n"/>
      <c r="H30" s="31" t="n"/>
      <c r="I30" s="31" t="n"/>
    </row>
    <row r="31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</row>
    <row r="32">
      <c r="A32" s="31" t="n"/>
      <c r="B32" s="31" t="n"/>
      <c r="C32" s="31" t="n"/>
      <c r="D32" s="31" t="n"/>
      <c r="E32" s="31" t="n"/>
      <c r="F32" s="31" t="n"/>
      <c r="G32" s="31" t="n"/>
      <c r="H32" s="31" t="n"/>
      <c r="I32" s="31" t="n"/>
    </row>
    <row r="33">
      <c r="A33" s="31" t="n"/>
      <c r="B33" s="31" t="n"/>
      <c r="C33" s="31" t="n"/>
      <c r="D33" s="31" t="n"/>
      <c r="E33" s="31" t="n"/>
      <c r="F33" s="31" t="n"/>
      <c r="G33" s="31" t="n"/>
      <c r="H33" s="31" t="n"/>
      <c r="I33" s="31" t="n"/>
    </row>
    <row r="34">
      <c r="A34" s="31" t="n"/>
      <c r="B34" s="31" t="n"/>
      <c r="C34" s="31" t="n"/>
      <c r="D34" s="31" t="n"/>
      <c r="E34" s="31" t="n"/>
      <c r="F34" s="31" t="n"/>
      <c r="G34" s="31" t="n"/>
      <c r="H34" s="31" t="n"/>
      <c r="I34" s="31" t="n"/>
    </row>
    <row r="35">
      <c r="A35" s="31" t="n"/>
      <c r="B35" s="31" t="n"/>
      <c r="C35" s="31" t="n"/>
      <c r="D35" s="31" t="n"/>
      <c r="E35" s="31" t="n"/>
      <c r="F35" s="31" t="n"/>
      <c r="G35" s="31" t="n"/>
      <c r="H35" s="31" t="n"/>
      <c r="I35" s="31" t="n"/>
    </row>
    <row r="36">
      <c r="A36" s="31" t="n"/>
      <c r="B36" s="31" t="n"/>
      <c r="C36" s="31" t="n"/>
      <c r="D36" s="31" t="n"/>
      <c r="E36" s="31" t="n"/>
      <c r="F36" s="31" t="n"/>
      <c r="G36" s="31" t="n"/>
      <c r="H36" s="31" t="n"/>
      <c r="I36" s="31" t="n"/>
    </row>
    <row r="37">
      <c r="A37" s="31" t="n"/>
      <c r="B37" s="31" t="n"/>
      <c r="C37" s="31" t="n"/>
      <c r="D37" s="31" t="n"/>
      <c r="E37" s="31" t="n"/>
      <c r="F37" s="31" t="n"/>
      <c r="G37" s="31" t="n"/>
      <c r="H37" s="31" t="n"/>
      <c r="I37" s="31" t="n"/>
    </row>
    <row r="38">
      <c r="A38" s="31" t="n"/>
      <c r="B38" s="31" t="n"/>
      <c r="C38" s="31" t="n"/>
      <c r="D38" s="31" t="n"/>
      <c r="E38" s="31" t="n"/>
      <c r="F38" s="31" t="n"/>
      <c r="G38" s="31" t="n"/>
      <c r="H38" s="31" t="n"/>
      <c r="I38" s="31" t="n"/>
    </row>
    <row r="39">
      <c r="A39" s="31" t="n"/>
      <c r="B39" s="31" t="n"/>
      <c r="C39" s="31" t="n"/>
      <c r="D39" s="31" t="n"/>
      <c r="E39" s="31" t="n"/>
      <c r="F39" s="31" t="n"/>
      <c r="G39" s="31" t="n"/>
      <c r="H39" s="31" t="n"/>
      <c r="I39" s="31" t="n"/>
    </row>
    <row r="40">
      <c r="A40" s="31" t="n"/>
      <c r="B40" s="31" t="n"/>
      <c r="C40" s="31" t="n"/>
      <c r="D40" s="31" t="n"/>
      <c r="E40" s="31" t="n"/>
      <c r="F40" s="31" t="n"/>
      <c r="G40" s="31" t="n"/>
      <c r="H40" s="31" t="n"/>
      <c r="I40" s="31" t="n"/>
    </row>
    <row r="41">
      <c r="A41" s="31" t="n"/>
      <c r="B41" s="31" t="n"/>
      <c r="C41" s="31" t="n"/>
      <c r="D41" s="31" t="n"/>
      <c r="E41" s="31" t="n"/>
      <c r="F41" s="31" t="n"/>
      <c r="G41" s="31" t="n"/>
      <c r="H41" s="31" t="n"/>
      <c r="I41" s="31" t="n"/>
    </row>
    <row r="42">
      <c r="A42" s="31" t="n"/>
      <c r="B42" s="31" t="n"/>
      <c r="C42" s="31" t="n"/>
      <c r="D42" s="31" t="n"/>
      <c r="E42" s="31" t="n"/>
      <c r="F42" s="31" t="n"/>
      <c r="G42" s="31" t="n"/>
      <c r="H42" s="31" t="n"/>
      <c r="I42" s="31" t="n"/>
    </row>
    <row r="43">
      <c r="A43" s="31" t="n"/>
      <c r="B43" s="31" t="n"/>
      <c r="C43" s="31" t="n"/>
      <c r="D43" s="31" t="n"/>
      <c r="E43" s="31" t="n"/>
      <c r="F43" s="31" t="n"/>
      <c r="G43" s="31" t="n"/>
      <c r="H43" s="31" t="n"/>
      <c r="I43" s="31" t="n"/>
    </row>
    <row r="44">
      <c r="A44" s="31" t="n"/>
      <c r="B44" s="31" t="n"/>
      <c r="C44" s="31" t="n"/>
      <c r="D44" s="31" t="n"/>
      <c r="E44" s="31" t="n"/>
      <c r="F44" s="31" t="n"/>
      <c r="G44" s="31" t="n"/>
      <c r="H44" s="31" t="n"/>
      <c r="I44" s="31" t="n"/>
    </row>
    <row r="45">
      <c r="A45" s="31" t="n"/>
      <c r="B45" s="31" t="n"/>
      <c r="C45" s="31" t="n"/>
      <c r="D45" s="31" t="n"/>
      <c r="E45" s="31" t="n"/>
      <c r="F45" s="31" t="n"/>
      <c r="G45" s="31" t="n"/>
      <c r="H45" s="31" t="n"/>
      <c r="I45" s="31" t="n"/>
    </row>
    <row r="46">
      <c r="A46" s="31" t="n"/>
      <c r="B46" s="31" t="n"/>
      <c r="C46" s="31" t="n"/>
      <c r="D46" s="31" t="n"/>
      <c r="E46" s="31" t="n"/>
      <c r="F46" s="31" t="n"/>
      <c r="G46" s="31" t="n"/>
      <c r="H46" s="31" t="n"/>
      <c r="I46" s="31" t="n"/>
    </row>
    <row r="47">
      <c r="A47" s="31" t="n"/>
      <c r="B47" s="31" t="n"/>
      <c r="C47" s="31" t="n"/>
      <c r="D47" s="31" t="n"/>
      <c r="E47" s="31" t="n"/>
      <c r="F47" s="31" t="n"/>
      <c r="G47" s="31" t="n"/>
      <c r="H47" s="31" t="n"/>
      <c r="I47" s="31" t="n"/>
    </row>
    <row r="48">
      <c r="A48" s="31" t="n"/>
      <c r="B48" s="31" t="n"/>
      <c r="C48" s="31" t="n"/>
      <c r="D48" s="31" t="n"/>
      <c r="E48" s="31" t="n"/>
      <c r="F48" s="31" t="n"/>
      <c r="G48" s="31" t="n"/>
      <c r="H48" s="31" t="n"/>
      <c r="I48" s="31" t="n"/>
    </row>
    <row r="49">
      <c r="A49" s="31" t="n"/>
      <c r="B49" s="31" t="n"/>
      <c r="C49" s="31" t="n"/>
      <c r="D49" s="31" t="n"/>
      <c r="E49" s="31" t="n"/>
      <c r="F49" s="31" t="n"/>
      <c r="G49" s="31" t="n"/>
      <c r="H49" s="31" t="n"/>
      <c r="I49" s="31" t="n"/>
    </row>
    <row r="50">
      <c r="A50" s="31" t="n"/>
      <c r="B50" s="31" t="n"/>
      <c r="C50" s="31" t="n"/>
      <c r="D50" s="31" t="n"/>
      <c r="E50" s="31" t="n"/>
      <c r="F50" s="31" t="n"/>
      <c r="G50" s="31" t="n"/>
      <c r="H50" s="31" t="n"/>
      <c r="I50" s="31" t="n"/>
    </row>
  </sheetData>
  <dataValidations count="3">
    <dataValidation sqref="A2:A50" showDropDown="0" showInputMessage="0" showErrorMessage="0" allowBlank="0" type="list">
      <formula1>"Yes,No"</formula1>
    </dataValidation>
    <dataValidation sqref="D2:E50" showDropDown="0" showInputMessage="0" showErrorMessage="0" allowBlank="1" type="list">
      <formula1>"Sun,Mon,Tue,Wed,Thu,Fri,Sat"</formula1>
    </dataValidation>
    <dataValidation sqref="H2:H50" showDropDown="0" showInputMessage="0" showErrorMessage="0" allowBlank="1" type="list">
      <formula1>"Minimum,Exact"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selection activeCell="A2" sqref="A2:G17"/>
    </sheetView>
  </sheetViews>
  <sheetFormatPr baseColWidth="8" defaultRowHeight="15"/>
  <cols>
    <col width="22" customWidth="1" style="45" min="1" max="7"/>
  </cols>
  <sheetData>
    <row r="1">
      <c r="A1" s="48" t="inlineStr">
        <is>
          <t>Request Row</t>
        </is>
      </c>
      <c r="B1" s="48" t="inlineStr">
        <is>
          <t>Slot</t>
        </is>
      </c>
      <c r="C1" s="48" t="inlineStr">
        <is>
          <t>Associate</t>
        </is>
      </c>
      <c r="D1" s="48" t="inlineStr">
        <is>
          <t>Shift</t>
        </is>
      </c>
      <c r="E1" s="48" t="inlineStr">
        <is>
          <t>Days</t>
        </is>
      </c>
      <c r="F1" s="48" t="inlineStr">
        <is>
          <t>Mode</t>
        </is>
      </c>
      <c r="G1" s="48" t="inlineStr">
        <is>
          <t>Assignment Type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M24" sqref="M24"/>
    </sheetView>
  </sheetViews>
  <sheetFormatPr baseColWidth="8" defaultRowHeight="15"/>
  <cols>
    <col width="12" customWidth="1" style="45" min="1" max="8"/>
  </cols>
  <sheetData>
    <row r="1" ht="17.25" customHeight="1" s="45">
      <c r="A1" s="52" t="inlineStr">
        <is>
          <t>Shrinkage</t>
        </is>
      </c>
    </row>
    <row r="2">
      <c r="A2" s="13" t="inlineStr">
        <is>
          <t>Interval</t>
        </is>
      </c>
      <c r="B2" s="13" t="inlineStr">
        <is>
          <t>Sun</t>
        </is>
      </c>
      <c r="C2" s="13" t="inlineStr">
        <is>
          <t>Mon</t>
        </is>
      </c>
      <c r="D2" s="13" t="inlineStr">
        <is>
          <t>Tue</t>
        </is>
      </c>
      <c r="E2" s="13" t="inlineStr">
        <is>
          <t>Wed</t>
        </is>
      </c>
      <c r="F2" s="13" t="inlineStr">
        <is>
          <t>Thu</t>
        </is>
      </c>
      <c r="G2" s="13" t="inlineStr">
        <is>
          <t>Fri</t>
        </is>
      </c>
      <c r="H2" s="13" t="inlineStr">
        <is>
          <t>Sat</t>
        </is>
      </c>
    </row>
    <row r="3">
      <c r="A3" s="13" t="inlineStr">
        <is>
          <t>Interval</t>
        </is>
      </c>
      <c r="B3" s="13" t="inlineStr">
        <is>
          <t>28-Jun</t>
        </is>
      </c>
      <c r="C3" s="13" t="inlineStr">
        <is>
          <t>29-Jun</t>
        </is>
      </c>
      <c r="D3" s="13" t="inlineStr">
        <is>
          <t>30-Jun</t>
        </is>
      </c>
      <c r="E3" s="13" t="inlineStr">
        <is>
          <t>1-Jul</t>
        </is>
      </c>
      <c r="F3" s="13" t="inlineStr">
        <is>
          <t>2-Jul</t>
        </is>
      </c>
      <c r="G3" s="13" t="inlineStr">
        <is>
          <t>3-Jul</t>
        </is>
      </c>
      <c r="H3" s="13" t="inlineStr">
        <is>
          <t>4-Jul</t>
        </is>
      </c>
    </row>
    <row r="4">
      <c r="A4" s="12" t="inlineStr">
        <is>
          <t>00:00</t>
        </is>
      </c>
      <c r="B4" s="15" t="n"/>
      <c r="C4" s="15" t="n"/>
      <c r="D4" s="15" t="n"/>
      <c r="E4" s="15" t="n"/>
      <c r="F4" s="15" t="n"/>
      <c r="G4" s="15" t="n"/>
      <c r="H4" s="15" t="n"/>
    </row>
    <row r="5">
      <c r="A5" s="12" t="inlineStr">
        <is>
          <t>01:00</t>
        </is>
      </c>
      <c r="B5" s="15" t="n"/>
      <c r="C5" s="15" t="n"/>
      <c r="D5" s="15" t="n"/>
      <c r="E5" s="15" t="n"/>
      <c r="F5" s="15" t="n"/>
      <c r="G5" s="15" t="n"/>
      <c r="H5" s="15" t="n"/>
    </row>
    <row r="6">
      <c r="A6" s="12" t="inlineStr">
        <is>
          <t>02:00</t>
        </is>
      </c>
      <c r="B6" s="15" t="n"/>
      <c r="C6" s="15" t="n"/>
      <c r="D6" s="15" t="n"/>
      <c r="E6" s="15" t="n"/>
      <c r="F6" s="15" t="n"/>
      <c r="G6" s="15" t="n"/>
      <c r="H6" s="15" t="n"/>
    </row>
    <row r="7">
      <c r="A7" s="12" t="inlineStr">
        <is>
          <t>03:00</t>
        </is>
      </c>
      <c r="B7" s="15" t="n"/>
      <c r="C7" s="15" t="n"/>
      <c r="D7" s="15" t="n"/>
      <c r="E7" s="15" t="n"/>
      <c r="F7" s="15" t="n"/>
      <c r="G7" s="15" t="n"/>
      <c r="H7" s="15" t="n"/>
    </row>
    <row r="8">
      <c r="A8" s="12" t="inlineStr">
        <is>
          <t>04:00</t>
        </is>
      </c>
      <c r="B8" s="15" t="n"/>
      <c r="C8" s="15" t="n"/>
      <c r="D8" s="15" t="n"/>
      <c r="E8" s="15" t="n"/>
      <c r="F8" s="15" t="n"/>
      <c r="G8" s="15" t="n"/>
      <c r="H8" s="15" t="n"/>
    </row>
    <row r="9">
      <c r="A9" s="12" t="inlineStr">
        <is>
          <t>05:00</t>
        </is>
      </c>
      <c r="B9" s="15" t="n"/>
      <c r="C9" s="15" t="n"/>
      <c r="D9" s="15" t="n"/>
      <c r="E9" s="15" t="n"/>
      <c r="F9" s="15" t="n"/>
      <c r="G9" s="15" t="n"/>
      <c r="H9" s="15" t="n"/>
    </row>
    <row r="10">
      <c r="A10" s="12" t="inlineStr">
        <is>
          <t>06:00</t>
        </is>
      </c>
      <c r="B10" s="15" t="n"/>
      <c r="C10" s="15" t="n"/>
      <c r="D10" s="15" t="n"/>
      <c r="E10" s="15" t="n"/>
      <c r="F10" s="15" t="n"/>
      <c r="G10" s="15" t="n"/>
      <c r="H10" s="15" t="n"/>
    </row>
    <row r="11">
      <c r="A11" s="12" t="inlineStr">
        <is>
          <t>07:00</t>
        </is>
      </c>
      <c r="B11" s="15" t="n"/>
      <c r="C11" s="15" t="n"/>
      <c r="D11" s="15" t="n"/>
      <c r="E11" s="15" t="n"/>
      <c r="F11" s="15" t="n"/>
      <c r="G11" s="15" t="n"/>
      <c r="H11" s="15" t="n"/>
    </row>
    <row r="12">
      <c r="A12" s="12" t="inlineStr">
        <is>
          <t>08:00</t>
        </is>
      </c>
      <c r="B12" s="15" t="n"/>
      <c r="C12" s="15" t="n"/>
      <c r="D12" s="15" t="n"/>
      <c r="E12" s="15" t="n"/>
      <c r="F12" s="15" t="n"/>
      <c r="G12" s="15" t="n"/>
      <c r="H12" s="15" t="n"/>
    </row>
    <row r="13">
      <c r="A13" s="12" t="inlineStr">
        <is>
          <t>09:00</t>
        </is>
      </c>
      <c r="B13" s="15" t="n"/>
      <c r="C13" s="15" t="n"/>
      <c r="D13" s="15" t="n"/>
      <c r="E13" s="15" t="n"/>
      <c r="F13" s="15" t="n"/>
      <c r="G13" s="15" t="n"/>
      <c r="H13" s="15" t="n"/>
    </row>
    <row r="14">
      <c r="A14" s="12" t="inlineStr">
        <is>
          <t>10:00</t>
        </is>
      </c>
      <c r="B14" s="15" t="n"/>
      <c r="C14" s="15" t="n"/>
      <c r="D14" s="15" t="n"/>
      <c r="E14" s="15" t="n"/>
      <c r="F14" s="15" t="n"/>
      <c r="G14" s="15" t="n"/>
      <c r="H14" s="15" t="n"/>
    </row>
    <row r="15">
      <c r="A15" s="12" t="inlineStr">
        <is>
          <t>11:00</t>
        </is>
      </c>
      <c r="B15" s="15" t="n"/>
      <c r="C15" s="15" t="n"/>
      <c r="D15" s="15" t="n"/>
      <c r="E15" s="15" t="n"/>
      <c r="F15" s="15" t="n"/>
      <c r="G15" s="15" t="n"/>
      <c r="H15" s="15" t="n"/>
    </row>
    <row r="16">
      <c r="A16" s="12" t="inlineStr">
        <is>
          <t>12:00</t>
        </is>
      </c>
      <c r="B16" s="15" t="n"/>
      <c r="C16" s="15" t="n"/>
      <c r="D16" s="15" t="n"/>
      <c r="E16" s="15" t="n"/>
      <c r="F16" s="15" t="n"/>
      <c r="G16" s="15" t="n"/>
      <c r="H16" s="15" t="n"/>
    </row>
    <row r="17">
      <c r="A17" s="12" t="inlineStr">
        <is>
          <t>13:00</t>
        </is>
      </c>
      <c r="B17" s="15" t="n"/>
      <c r="C17" s="15" t="n"/>
      <c r="D17" s="15" t="n"/>
      <c r="E17" s="15" t="n"/>
      <c r="F17" s="15" t="n"/>
      <c r="G17" s="15" t="n"/>
      <c r="H17" s="15" t="n"/>
    </row>
    <row r="18">
      <c r="A18" s="12" t="inlineStr">
        <is>
          <t>14:00</t>
        </is>
      </c>
      <c r="B18" s="15" t="n"/>
      <c r="C18" s="15" t="n"/>
      <c r="D18" s="15" t="n"/>
      <c r="E18" s="15" t="n"/>
      <c r="F18" s="15" t="n"/>
      <c r="G18" s="15" t="n"/>
      <c r="H18" s="15" t="n"/>
    </row>
    <row r="19">
      <c r="A19" s="12" t="inlineStr">
        <is>
          <t>15:00</t>
        </is>
      </c>
      <c r="B19" s="15" t="n"/>
      <c r="C19" s="15" t="n"/>
      <c r="D19" s="15" t="n"/>
      <c r="E19" s="15" t="n"/>
      <c r="F19" s="15" t="n"/>
      <c r="G19" s="15" t="n"/>
      <c r="H19" s="15" t="n"/>
    </row>
    <row r="20">
      <c r="A20" s="12" t="inlineStr">
        <is>
          <t>16:00</t>
        </is>
      </c>
      <c r="B20" s="15" t="n"/>
      <c r="C20" s="15" t="n"/>
      <c r="D20" s="15" t="n"/>
      <c r="E20" s="15" t="n"/>
      <c r="F20" s="15" t="n"/>
      <c r="G20" s="15" t="n"/>
      <c r="H20" s="15" t="n"/>
    </row>
    <row r="21">
      <c r="A21" s="12" t="inlineStr">
        <is>
          <t>17:00</t>
        </is>
      </c>
      <c r="B21" s="15" t="n"/>
      <c r="C21" s="15" t="n"/>
      <c r="D21" s="15" t="n"/>
      <c r="E21" s="15" t="n"/>
      <c r="F21" s="15" t="n"/>
      <c r="G21" s="15" t="n"/>
      <c r="H21" s="15" t="n"/>
    </row>
    <row r="22">
      <c r="A22" s="12" t="inlineStr">
        <is>
          <t>18:00</t>
        </is>
      </c>
      <c r="B22" s="15" t="n"/>
      <c r="C22" s="15" t="n"/>
      <c r="D22" s="15" t="n"/>
      <c r="E22" s="15" t="n"/>
      <c r="F22" s="15" t="n"/>
      <c r="G22" s="15" t="n"/>
      <c r="H22" s="15" t="n"/>
    </row>
    <row r="23">
      <c r="A23" s="12" t="inlineStr">
        <is>
          <t>19:00</t>
        </is>
      </c>
      <c r="B23" s="15" t="n"/>
      <c r="C23" s="15" t="n"/>
      <c r="D23" s="15" t="n"/>
      <c r="E23" s="15" t="n"/>
      <c r="F23" s="15" t="n"/>
      <c r="G23" s="15" t="n"/>
      <c r="H23" s="15" t="n"/>
    </row>
    <row r="24">
      <c r="A24" s="12" t="inlineStr">
        <is>
          <t>20:00</t>
        </is>
      </c>
      <c r="B24" s="15" t="n"/>
      <c r="C24" s="15" t="n"/>
      <c r="D24" s="15" t="n"/>
      <c r="E24" s="15" t="n"/>
      <c r="F24" s="15" t="n"/>
      <c r="G24" s="15" t="n"/>
      <c r="H24" s="15" t="n"/>
    </row>
    <row r="25">
      <c r="A25" s="12" t="inlineStr">
        <is>
          <t>21:00</t>
        </is>
      </c>
      <c r="B25" s="15" t="n"/>
      <c r="C25" s="15" t="n"/>
      <c r="D25" s="15" t="n"/>
      <c r="E25" s="15" t="n"/>
      <c r="F25" s="15" t="n"/>
      <c r="G25" s="15" t="n"/>
      <c r="H25" s="15" t="n"/>
    </row>
    <row r="26">
      <c r="A26" s="12" t="inlineStr">
        <is>
          <t>22:00</t>
        </is>
      </c>
      <c r="B26" s="15" t="n"/>
      <c r="C26" s="15" t="n"/>
      <c r="D26" s="15" t="n"/>
      <c r="E26" s="15" t="n"/>
      <c r="F26" s="15" t="n"/>
      <c r="G26" s="15" t="n"/>
      <c r="H26" s="15" t="n"/>
    </row>
    <row r="27">
      <c r="A27" s="12" t="inlineStr">
        <is>
          <t>23:00</t>
        </is>
      </c>
      <c r="B27" s="15" t="n"/>
      <c r="C27" s="15" t="n"/>
      <c r="D27" s="15" t="n"/>
      <c r="E27" s="15" t="n"/>
      <c r="F27" s="15" t="n"/>
      <c r="G27" s="15" t="n"/>
      <c r="H27" s="15" t="n"/>
    </row>
  </sheetData>
  <mergeCells count="1">
    <mergeCell ref="A1:H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22" customWidth="1" style="45" min="1" max="6"/>
  </cols>
  <sheetData>
    <row r="1" ht="45" customHeight="1" s="45">
      <c r="A1" s="48" t="inlineStr">
        <is>
          <t>Benchmark Comparison - 90% Target</t>
        </is>
      </c>
      <c r="B1" s="48" t="n"/>
      <c r="C1" s="48" t="n"/>
      <c r="D1" s="48" t="n"/>
      <c r="E1" s="48" t="n"/>
      <c r="F1" s="48" t="n"/>
    </row>
    <row r="2">
      <c r="A2" s="25" t="inlineStr">
        <is>
          <t>Metric</t>
        </is>
      </c>
      <c r="B2" s="25" t="inlineStr">
        <is>
          <t>Manual Test SAKS</t>
        </is>
      </c>
      <c r="C2" s="25" t="inlineStr">
        <is>
          <t>V9 Output</t>
        </is>
      </c>
      <c r="D2" s="25" t="inlineStr">
        <is>
          <t>Winner</t>
        </is>
      </c>
      <c r="E2" s="25" t="inlineStr">
        <is>
          <t>Comment</t>
        </is>
      </c>
      <c r="F2" s="25" t="n"/>
    </row>
    <row r="3" ht="30" customHeight="1" s="45">
      <c r="A3" s="26" t="inlineStr">
        <is>
          <t>Target wins &gt;= 90%</t>
        </is>
      </c>
      <c r="B3" s="26" t="inlineStr">
        <is>
          <t>112 / 126</t>
        </is>
      </c>
      <c r="C3" s="26" t="inlineStr">
        <is>
          <t>116 / 126</t>
        </is>
      </c>
      <c r="D3" s="26" t="inlineStr">
        <is>
          <t>V9</t>
        </is>
      </c>
      <c r="E3" s="26" t="inlineStr">
        <is>
          <t>Primary score from Instructions target</t>
        </is>
      </c>
      <c r="F3" s="26" t="n"/>
    </row>
    <row r="4">
      <c r="A4" s="26" t="inlineStr">
        <is>
          <t>80% minimum wins</t>
        </is>
      </c>
      <c r="B4" s="26" t="inlineStr">
        <is>
          <t>119 / 126</t>
        </is>
      </c>
      <c r="C4" s="26" t="inlineStr">
        <is>
          <t>126 / 126</t>
        </is>
      </c>
      <c r="D4" s="26" t="inlineStr">
        <is>
          <t>V9</t>
        </is>
      </c>
      <c r="E4" s="26" t="inlineStr">
        <is>
          <t>Business minimum</t>
        </is>
      </c>
      <c r="F4" s="26" t="n"/>
    </row>
    <row r="5" ht="30" customHeight="1" s="45">
      <c r="A5" s="26" t="inlineStr">
        <is>
          <t>70% hard-floor wins</t>
        </is>
      </c>
      <c r="B5" s="26" t="inlineStr">
        <is>
          <t>123 / 126</t>
        </is>
      </c>
      <c r="C5" s="26" t="inlineStr">
        <is>
          <t>126 / 126</t>
        </is>
      </c>
      <c r="D5" s="26" t="inlineStr">
        <is>
          <t>V9</t>
        </is>
      </c>
      <c r="E5" s="26" t="inlineStr">
        <is>
          <t>Minimum minus tolerance</t>
        </is>
      </c>
      <c r="F5" s="26" t="n"/>
    </row>
    <row r="6" ht="30" customHeight="1" s="45">
      <c r="A6" s="26" t="inlineStr">
        <is>
          <t>Lowest interval %</t>
        </is>
      </c>
      <c r="B6" s="57" t="n">
        <v>0.6392857142857142</v>
      </c>
      <c r="C6" s="57" t="n">
        <v>0.8466569767441861</v>
      </c>
      <c r="D6" s="26" t="inlineStr">
        <is>
          <t>V9</t>
        </is>
      </c>
      <c r="E6" s="26" t="inlineStr">
        <is>
          <t>After shrinkage / required</t>
        </is>
      </c>
      <c r="F6" s="26" t="n"/>
    </row>
    <row r="7">
      <c r="A7" s="26" t="inlineStr">
        <is>
          <t>Total shortage to 100%</t>
        </is>
      </c>
      <c r="B7" s="26" t="n">
        <v>87.43833369073306</v>
      </c>
      <c r="C7" s="26" t="n">
        <v>44.29095830612986</v>
      </c>
      <c r="D7" s="26" t="inlineStr">
        <is>
          <t>V9</t>
        </is>
      </c>
      <c r="E7" s="26" t="inlineStr">
        <is>
          <t>Lower is better</t>
        </is>
      </c>
      <c r="F7" s="26" t="n"/>
    </row>
    <row r="8" ht="30" customHeight="1" s="45">
      <c r="A8" s="26" t="inlineStr">
        <is>
          <t>Over 100%</t>
        </is>
      </c>
      <c r="B8" s="26" t="n">
        <v>474.8989262187317</v>
      </c>
      <c r="C8" s="26" t="n">
        <v>418.9601894442627</v>
      </c>
      <c r="D8" s="26" t="inlineStr">
        <is>
          <t>V9</t>
        </is>
      </c>
      <c r="E8" s="26" t="inlineStr">
        <is>
          <t>Lower is better after target is protected</t>
        </is>
      </c>
      <c r="F8" s="26" t="n"/>
    </row>
    <row r="9">
      <c r="A9" s="26" t="n"/>
      <c r="B9" s="26" t="n"/>
      <c r="C9" s="26" t="n"/>
      <c r="D9" s="26" t="n"/>
      <c r="E9" s="26" t="n"/>
      <c r="F9" s="26" t="n"/>
    </row>
    <row r="10">
      <c r="A10" s="26" t="inlineStr">
        <is>
          <t>Per-Day Target Wins</t>
        </is>
      </c>
      <c r="B10" s="26" t="n"/>
      <c r="C10" s="26" t="n"/>
      <c r="D10" s="26" t="n"/>
      <c r="E10" s="26" t="n"/>
      <c r="F10" s="26" t="n"/>
    </row>
    <row r="11">
      <c r="A11" s="25" t="inlineStr">
        <is>
          <t>Day</t>
        </is>
      </c>
      <c r="B11" s="25" t="inlineStr">
        <is>
          <t>Manual wins</t>
        </is>
      </c>
      <c r="C11" s="25" t="inlineStr">
        <is>
          <t>V9 wins</t>
        </is>
      </c>
      <c r="D11" s="25" t="inlineStr">
        <is>
          <t>Manual lowest</t>
        </is>
      </c>
      <c r="E11" s="25" t="inlineStr">
        <is>
          <t>V9 lowest</t>
        </is>
      </c>
      <c r="F11" s="25" t="inlineStr">
        <is>
          <t>Winner</t>
        </is>
      </c>
    </row>
    <row r="12">
      <c r="A12" s="26" t="inlineStr">
        <is>
          <t>Sun</t>
        </is>
      </c>
      <c r="B12" s="26" t="inlineStr">
        <is>
          <t>17/18</t>
        </is>
      </c>
      <c r="C12" s="26" t="inlineStr">
        <is>
          <t>17/18</t>
        </is>
      </c>
      <c r="D12" s="57" t="n">
        <v>0.6392857142857142</v>
      </c>
      <c r="E12" s="57" t="n">
        <v>0.8630357142857142</v>
      </c>
      <c r="F12" s="26" t="inlineStr">
        <is>
          <t>V9</t>
        </is>
      </c>
    </row>
    <row r="13">
      <c r="A13" s="26" t="inlineStr">
        <is>
          <t>Mon</t>
        </is>
      </c>
      <c r="B13" s="26" t="inlineStr">
        <is>
          <t>16/18</t>
        </is>
      </c>
      <c r="C13" s="26" t="inlineStr">
        <is>
          <t>17/18</t>
        </is>
      </c>
      <c r="D13" s="57" t="n">
        <v>0.6569343065693432</v>
      </c>
      <c r="E13" s="57" t="n">
        <v>0.8958195089581952</v>
      </c>
      <c r="F13" s="26" t="inlineStr">
        <is>
          <t>V9</t>
        </is>
      </c>
    </row>
    <row r="14">
      <c r="A14" s="26" t="inlineStr">
        <is>
          <t>Tue</t>
        </is>
      </c>
      <c r="B14" s="26" t="inlineStr">
        <is>
          <t>16/18</t>
        </is>
      </c>
      <c r="C14" s="26" t="inlineStr">
        <is>
          <t>16/18</t>
        </is>
      </c>
      <c r="D14" s="57" t="n">
        <v>0.7382075471698114</v>
      </c>
      <c r="E14" s="57" t="n">
        <v>0.8644674085850556</v>
      </c>
      <c r="F14" s="26" t="inlineStr">
        <is>
          <t>V9</t>
        </is>
      </c>
    </row>
    <row r="15">
      <c r="A15" s="26" t="inlineStr">
        <is>
          <t>Wed</t>
        </is>
      </c>
      <c r="B15" s="26" t="inlineStr">
        <is>
          <t>15/18</t>
        </is>
      </c>
      <c r="C15" s="26" t="inlineStr">
        <is>
          <t>17/18</t>
        </is>
      </c>
      <c r="D15" s="57" t="n">
        <v>0.7671568627450981</v>
      </c>
      <c r="E15" s="57" t="n">
        <v>0.8986486486486487</v>
      </c>
      <c r="F15" s="26" t="inlineStr">
        <is>
          <t>V9</t>
        </is>
      </c>
    </row>
    <row r="16">
      <c r="A16" s="26" t="inlineStr">
        <is>
          <t>Thu</t>
        </is>
      </c>
      <c r="B16" s="26" t="inlineStr">
        <is>
          <t>14/18</t>
        </is>
      </c>
      <c r="C16" s="26" t="inlineStr">
        <is>
          <t>15/18</t>
        </is>
      </c>
      <c r="D16" s="57" t="n">
        <v>0.7113636363636364</v>
      </c>
      <c r="E16" s="57" t="n">
        <v>0.888888888888889</v>
      </c>
      <c r="F16" s="26" t="inlineStr">
        <is>
          <t>V9</t>
        </is>
      </c>
    </row>
    <row r="17">
      <c r="A17" s="26" t="inlineStr">
        <is>
          <t>Fri</t>
        </is>
      </c>
      <c r="B17" s="26" t="inlineStr">
        <is>
          <t>17/18</t>
        </is>
      </c>
      <c r="C17" s="26" t="inlineStr">
        <is>
          <t>16/18</t>
        </is>
      </c>
      <c r="D17" s="57" t="n">
        <v>0.8314855875831486</v>
      </c>
      <c r="E17" s="57" t="n">
        <v>0.8466569767441861</v>
      </c>
      <c r="F17" s="26" t="inlineStr">
        <is>
          <t>Manual</t>
        </is>
      </c>
    </row>
    <row r="18">
      <c r="A18" s="26" t="inlineStr">
        <is>
          <t>Sat</t>
        </is>
      </c>
      <c r="B18" s="26" t="inlineStr">
        <is>
          <t>17/18</t>
        </is>
      </c>
      <c r="C18" s="26" t="inlineStr">
        <is>
          <t>18/18</t>
        </is>
      </c>
      <c r="D18" s="57" t="n">
        <v>0.6468531468531469</v>
      </c>
      <c r="E18" s="57" t="n">
        <v>0.9051724137931034</v>
      </c>
      <c r="F18" s="26" t="inlineStr">
        <is>
          <t>V9</t>
        </is>
      </c>
    </row>
    <row r="19">
      <c r="A19" s="26" t="n"/>
      <c r="B19" s="26" t="n"/>
      <c r="C19" s="26" t="n"/>
      <c r="D19" s="26" t="n"/>
      <c r="E19" s="26" t="n"/>
      <c r="F19" s="26" t="n"/>
    </row>
    <row r="20">
      <c r="A20" s="26" t="inlineStr">
        <is>
          <t>Worst Manual Intervals</t>
        </is>
      </c>
      <c r="B20" s="26" t="inlineStr">
        <is>
          <t>Day</t>
        </is>
      </c>
      <c r="C20" s="26" t="inlineStr">
        <is>
          <t>Interval</t>
        </is>
      </c>
      <c r="D20" s="26" t="inlineStr">
        <is>
          <t>Actual/Required</t>
        </is>
      </c>
      <c r="E20" s="26" t="inlineStr">
        <is>
          <t>After Shrinkage</t>
        </is>
      </c>
      <c r="F20" s="26" t="inlineStr">
        <is>
          <t>Required</t>
        </is>
      </c>
    </row>
    <row r="21">
      <c r="A21" s="25" t="inlineStr">
        <is>
          <t>Manual</t>
        </is>
      </c>
      <c r="B21" s="25" t="inlineStr">
        <is>
          <t>Sun</t>
        </is>
      </c>
      <c r="C21" s="25" t="inlineStr">
        <is>
          <t>23:00</t>
        </is>
      </c>
      <c r="D21" s="25" t="n">
        <v>0.6392857142857142</v>
      </c>
      <c r="E21" s="25" t="n">
        <v>17.9</v>
      </c>
      <c r="F21" s="25" t="n">
        <v>28</v>
      </c>
    </row>
    <row r="22">
      <c r="A22" s="26" t="inlineStr">
        <is>
          <t>Manual</t>
        </is>
      </c>
      <c r="B22" s="26" t="inlineStr">
        <is>
          <t>Sat</t>
        </is>
      </c>
      <c r="C22" s="26" t="inlineStr">
        <is>
          <t>23:00</t>
        </is>
      </c>
      <c r="D22" s="57" t="n">
        <v>0.6468531468531469</v>
      </c>
      <c r="E22" s="57" t="n">
        <v>18.5</v>
      </c>
      <c r="F22" s="57" t="n">
        <v>28.6</v>
      </c>
    </row>
    <row r="23">
      <c r="A23" s="26" t="inlineStr">
        <is>
          <t>Manual</t>
        </is>
      </c>
      <c r="B23" s="26" t="inlineStr">
        <is>
          <t>Mon</t>
        </is>
      </c>
      <c r="C23" s="26" t="inlineStr">
        <is>
          <t>15:00</t>
        </is>
      </c>
      <c r="D23" s="57" t="n">
        <v>0.6569343065693432</v>
      </c>
      <c r="E23" s="57" t="n">
        <v>9</v>
      </c>
      <c r="F23" s="57" t="n">
        <v>13.7</v>
      </c>
    </row>
    <row r="24">
      <c r="A24" s="26" t="inlineStr">
        <is>
          <t>Manual</t>
        </is>
      </c>
      <c r="B24" s="26" t="inlineStr">
        <is>
          <t>Thu</t>
        </is>
      </c>
      <c r="C24" s="26" t="inlineStr">
        <is>
          <t>23:00</t>
        </is>
      </c>
      <c r="D24" s="57" t="n">
        <v>0.7113636363636364</v>
      </c>
      <c r="E24" s="57" t="n">
        <v>31.3</v>
      </c>
      <c r="F24" s="57" t="n">
        <v>44</v>
      </c>
    </row>
    <row r="25">
      <c r="A25" s="26" t="inlineStr">
        <is>
          <t>Manual</t>
        </is>
      </c>
      <c r="B25" s="26" t="inlineStr">
        <is>
          <t>Tue</t>
        </is>
      </c>
      <c r="C25" s="26" t="inlineStr">
        <is>
          <t>23:00</t>
        </is>
      </c>
      <c r="D25" s="57" t="n">
        <v>0.7382075471698114</v>
      </c>
      <c r="E25" s="57" t="n">
        <v>31.3</v>
      </c>
      <c r="F25" s="57" t="n">
        <v>42.4</v>
      </c>
    </row>
    <row r="26">
      <c r="A26" s="26" t="inlineStr">
        <is>
          <t>Manual</t>
        </is>
      </c>
      <c r="B26" s="26" t="inlineStr">
        <is>
          <t>Wed</t>
        </is>
      </c>
      <c r="C26" s="26" t="inlineStr">
        <is>
          <t>23:00</t>
        </is>
      </c>
      <c r="D26" s="57" t="n">
        <v>0.7671568627450981</v>
      </c>
      <c r="E26" s="57" t="n">
        <v>31.3</v>
      </c>
      <c r="F26" s="57" t="n">
        <v>40.8</v>
      </c>
    </row>
    <row r="27">
      <c r="A27" s="26" t="inlineStr">
        <is>
          <t>Manual</t>
        </is>
      </c>
      <c r="B27" s="26" t="inlineStr">
        <is>
          <t>Thu</t>
        </is>
      </c>
      <c r="C27" s="26" t="inlineStr">
        <is>
          <t>01:00</t>
        </is>
      </c>
      <c r="D27" s="57" t="n">
        <v>0.7867647058823529</v>
      </c>
      <c r="E27" s="57" t="n">
        <v>13.375</v>
      </c>
      <c r="F27" s="57" t="n">
        <v>17</v>
      </c>
    </row>
    <row r="28">
      <c r="A28" s="26" t="inlineStr">
        <is>
          <t>Manual</t>
        </is>
      </c>
      <c r="B28" s="26" t="inlineStr">
        <is>
          <t>Thu</t>
        </is>
      </c>
      <c r="C28" s="26" t="inlineStr">
        <is>
          <t>15:00</t>
        </is>
      </c>
      <c r="D28" s="57" t="n">
        <v>0.8099173553719009</v>
      </c>
      <c r="E28" s="57" t="n">
        <v>9.800000000000001</v>
      </c>
      <c r="F28" s="57" t="n">
        <v>12.1</v>
      </c>
    </row>
    <row r="29">
      <c r="A29" s="26" t="inlineStr">
        <is>
          <t>Manual</t>
        </is>
      </c>
      <c r="B29" s="26" t="inlineStr">
        <is>
          <t>Wed</t>
        </is>
      </c>
      <c r="C29" s="26" t="inlineStr">
        <is>
          <t>01:00</t>
        </is>
      </c>
      <c r="D29" s="57" t="n">
        <v>0.813953488372093</v>
      </c>
      <c r="E29" s="57" t="n">
        <v>14</v>
      </c>
      <c r="F29" s="57" t="n">
        <v>17.2</v>
      </c>
    </row>
    <row r="30">
      <c r="A30" s="26" t="inlineStr">
        <is>
          <t>Manual</t>
        </is>
      </c>
      <c r="B30" s="26" t="inlineStr">
        <is>
          <t>Fri</t>
        </is>
      </c>
      <c r="C30" s="26" t="inlineStr">
        <is>
          <t>01:00</t>
        </is>
      </c>
      <c r="D30" s="57" t="n">
        <v>0.8314855875831486</v>
      </c>
      <c r="E30" s="57" t="n">
        <v>13.63636363636364</v>
      </c>
      <c r="F30" s="57" t="n">
        <v>16.4</v>
      </c>
    </row>
    <row r="31">
      <c r="A31" s="26" t="n"/>
      <c r="B31" s="26" t="n"/>
      <c r="C31" s="26" t="n"/>
      <c r="D31" s="26" t="n"/>
      <c r="E31" s="26" t="n"/>
      <c r="F31" s="26" t="n"/>
    </row>
    <row r="32">
      <c r="A32" s="26" t="inlineStr">
        <is>
          <t>Worst V9 Intervals</t>
        </is>
      </c>
      <c r="B32" s="26" t="inlineStr">
        <is>
          <t>Day</t>
        </is>
      </c>
      <c r="C32" s="26" t="inlineStr">
        <is>
          <t>Interval</t>
        </is>
      </c>
      <c r="D32" s="26" t="inlineStr">
        <is>
          <t>Actual/Required</t>
        </is>
      </c>
      <c r="E32" s="26" t="inlineStr">
        <is>
          <t>After Shrinkage</t>
        </is>
      </c>
      <c r="F32" s="26" t="inlineStr">
        <is>
          <t>Required</t>
        </is>
      </c>
    </row>
    <row r="33">
      <c r="A33" s="25" t="inlineStr">
        <is>
          <t>V9</t>
        </is>
      </c>
      <c r="B33" s="25" t="inlineStr">
        <is>
          <t>Fri</t>
        </is>
      </c>
      <c r="C33" s="25" t="inlineStr">
        <is>
          <t>16:00</t>
        </is>
      </c>
      <c r="D33" s="25" t="n">
        <v>0.8466569767441861</v>
      </c>
      <c r="E33" s="25" t="n">
        <v>14.5625</v>
      </c>
      <c r="F33" s="25" t="n">
        <v>17.2</v>
      </c>
    </row>
    <row r="34">
      <c r="A34" s="26" t="inlineStr">
        <is>
          <t>V9</t>
        </is>
      </c>
      <c r="B34" s="26" t="inlineStr">
        <is>
          <t>Sun</t>
        </is>
      </c>
      <c r="C34" s="26" t="inlineStr">
        <is>
          <t>23:00</t>
        </is>
      </c>
      <c r="D34" s="57" t="n">
        <v>0.8630357142857142</v>
      </c>
      <c r="E34" s="57" t="n">
        <v>24.165</v>
      </c>
      <c r="F34" s="57" t="n">
        <v>28</v>
      </c>
    </row>
    <row r="35">
      <c r="A35" s="26" t="inlineStr">
        <is>
          <t>V9</t>
        </is>
      </c>
      <c r="B35" s="26" t="inlineStr">
        <is>
          <t>Tue</t>
        </is>
      </c>
      <c r="C35" s="26" t="inlineStr">
        <is>
          <t>02:00</t>
        </is>
      </c>
      <c r="D35" s="57" t="n">
        <v>0.8644674085850556</v>
      </c>
      <c r="E35" s="57" t="n">
        <v>12.79411764705882</v>
      </c>
      <c r="F35" s="57" t="n">
        <v>14.8</v>
      </c>
    </row>
    <row r="36">
      <c r="A36" s="26" t="inlineStr">
        <is>
          <t>V9</t>
        </is>
      </c>
      <c r="B36" s="26" t="inlineStr">
        <is>
          <t>Fri</t>
        </is>
      </c>
      <c r="C36" s="26" t="inlineStr">
        <is>
          <t>14:00</t>
        </is>
      </c>
      <c r="D36" s="57" t="n">
        <v>0.8885941644562335</v>
      </c>
      <c r="E36" s="57" t="n">
        <v>5.153846153846154</v>
      </c>
      <c r="F36" s="57" t="n">
        <v>5.8</v>
      </c>
    </row>
    <row r="37">
      <c r="A37" s="26" t="inlineStr">
        <is>
          <t>V9</t>
        </is>
      </c>
      <c r="B37" s="26" t="inlineStr">
        <is>
          <t>Thu</t>
        </is>
      </c>
      <c r="C37" s="26" t="inlineStr">
        <is>
          <t>02:00</t>
        </is>
      </c>
      <c r="D37" s="57" t="n">
        <v>0.888888888888889</v>
      </c>
      <c r="E37" s="57" t="n">
        <v>13.86666666666667</v>
      </c>
      <c r="F37" s="57" t="n">
        <v>15.6</v>
      </c>
    </row>
    <row r="38">
      <c r="A38" s="26" t="inlineStr">
        <is>
          <t>V9</t>
        </is>
      </c>
      <c r="B38" s="26" t="inlineStr">
        <is>
          <t>Thu</t>
        </is>
      </c>
      <c r="C38" s="26" t="inlineStr">
        <is>
          <t>14:00</t>
        </is>
      </c>
      <c r="D38" s="57" t="n">
        <v>0.893939393939394</v>
      </c>
      <c r="E38" s="57" t="n">
        <v>5.9</v>
      </c>
      <c r="F38" s="57" t="n">
        <v>6.6</v>
      </c>
    </row>
    <row r="39">
      <c r="A39" s="26" t="inlineStr">
        <is>
          <t>V9</t>
        </is>
      </c>
      <c r="B39" s="26" t="inlineStr">
        <is>
          <t>Thu</t>
        </is>
      </c>
      <c r="C39" s="26" t="inlineStr">
        <is>
          <t>23:00</t>
        </is>
      </c>
      <c r="D39" s="57" t="n">
        <v>0.8942857142857144</v>
      </c>
      <c r="E39" s="57" t="n">
        <v>39.34857142857143</v>
      </c>
      <c r="F39" s="57" t="n">
        <v>44</v>
      </c>
    </row>
    <row r="40">
      <c r="A40" s="26" t="inlineStr">
        <is>
          <t>V9</t>
        </is>
      </c>
      <c r="B40" s="26" t="inlineStr">
        <is>
          <t>Tue</t>
        </is>
      </c>
      <c r="C40" s="26" t="inlineStr">
        <is>
          <t>15:00</t>
        </is>
      </c>
      <c r="D40" s="57" t="n">
        <v>0.8957795004306632</v>
      </c>
      <c r="E40" s="57" t="n">
        <v>11.55555555555556</v>
      </c>
      <c r="F40" s="57" t="n">
        <v>12.9</v>
      </c>
    </row>
    <row r="41">
      <c r="A41" s="26" t="inlineStr">
        <is>
          <t>V9</t>
        </is>
      </c>
      <c r="B41" s="26" t="inlineStr">
        <is>
          <t>Mon</t>
        </is>
      </c>
      <c r="C41" s="26" t="inlineStr">
        <is>
          <t>15:00</t>
        </is>
      </c>
      <c r="D41" s="57" t="n">
        <v>0.8958195089581952</v>
      </c>
      <c r="E41" s="57" t="n">
        <v>12.27272727272727</v>
      </c>
      <c r="F41" s="57" t="n">
        <v>13.7</v>
      </c>
    </row>
    <row r="42">
      <c r="A42" s="26" t="inlineStr">
        <is>
          <t>V9</t>
        </is>
      </c>
      <c r="B42" s="26" t="inlineStr">
        <is>
          <t>Wed</t>
        </is>
      </c>
      <c r="C42" s="26" t="inlineStr">
        <is>
          <t>02:00</t>
        </is>
      </c>
      <c r="D42" s="57" t="n">
        <v>0.8986486486486487</v>
      </c>
      <c r="E42" s="57" t="n">
        <v>13.3</v>
      </c>
      <c r="F42" s="57" t="n">
        <v>14.8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1:I51"/>
  <sheetViews>
    <sheetView showGridLines="0" topLeftCell="A12" workbookViewId="0">
      <selection activeCell="C4" sqref="C4:I51"/>
    </sheetView>
  </sheetViews>
  <sheetFormatPr baseColWidth="8" defaultRowHeight="15"/>
  <cols>
    <col width="13" customWidth="1" style="45" min="1" max="9"/>
  </cols>
  <sheetData>
    <row r="1" ht="30" customHeight="1" s="45">
      <c r="B1" s="19" t="inlineStr">
        <is>
          <t>Required FTEs - SAKS New 51HC Test</t>
        </is>
      </c>
      <c r="C1" s="19" t="n"/>
      <c r="D1" s="19" t="n"/>
      <c r="E1" s="19" t="n"/>
      <c r="F1" s="19" t="n"/>
      <c r="G1" s="19" t="n"/>
      <c r="H1" s="19" t="n"/>
      <c r="I1" s="19" t="n"/>
    </row>
    <row r="2">
      <c r="B2" s="19" t="inlineStr">
        <is>
          <t>Interval</t>
        </is>
      </c>
      <c r="C2" s="19" t="inlineStr">
        <is>
          <t>Sun</t>
        </is>
      </c>
      <c r="D2" s="19" t="inlineStr">
        <is>
          <t>Mon</t>
        </is>
      </c>
      <c r="E2" s="19" t="inlineStr">
        <is>
          <t>Tue</t>
        </is>
      </c>
      <c r="F2" s="19" t="inlineStr">
        <is>
          <t>Wed</t>
        </is>
      </c>
      <c r="G2" s="19" t="inlineStr">
        <is>
          <t>Thu</t>
        </is>
      </c>
      <c r="H2" s="19" t="inlineStr">
        <is>
          <t>Fri</t>
        </is>
      </c>
      <c r="I2" s="19" t="inlineStr">
        <is>
          <t>Sat</t>
        </is>
      </c>
    </row>
    <row r="3">
      <c r="B3" s="19" t="inlineStr">
        <is>
          <t>Interval</t>
        </is>
      </c>
      <c r="C3" s="32" t="n">
        <v>46215</v>
      </c>
      <c r="D3" s="32" t="n">
        <v>46216</v>
      </c>
      <c r="E3" s="32" t="n">
        <v>46217</v>
      </c>
      <c r="F3" s="32" t="n">
        <v>46218</v>
      </c>
      <c r="G3" s="32" t="n">
        <v>46219</v>
      </c>
      <c r="H3" s="32" t="n">
        <v>46220</v>
      </c>
      <c r="I3" s="32" t="n">
        <v>46221</v>
      </c>
    </row>
    <row r="4">
      <c r="B4" t="inlineStr">
        <is>
          <t>00:00</t>
        </is>
      </c>
      <c r="C4" t="n">
        <v>15.6</v>
      </c>
      <c r="D4" t="n">
        <v>12.3</v>
      </c>
      <c r="E4" t="n">
        <v>21.2</v>
      </c>
      <c r="F4" t="n">
        <v>20.4</v>
      </c>
      <c r="G4" t="n">
        <v>18.8</v>
      </c>
      <c r="H4" t="n">
        <v>21.2</v>
      </c>
      <c r="I4" t="n">
        <v>19.6</v>
      </c>
    </row>
    <row r="5">
      <c r="B5" t="inlineStr">
        <is>
          <t>00:30</t>
        </is>
      </c>
      <c r="C5" t="n">
        <v>14.8</v>
      </c>
      <c r="D5" t="n">
        <v>10.7</v>
      </c>
      <c r="E5" t="n">
        <v>20.4</v>
      </c>
      <c r="F5" t="n">
        <v>18</v>
      </c>
      <c r="G5" t="n">
        <v>18</v>
      </c>
      <c r="H5" t="n">
        <v>19.6</v>
      </c>
      <c r="I5" t="n">
        <v>18</v>
      </c>
    </row>
    <row r="6">
      <c r="B6" t="inlineStr">
        <is>
          <t>01:00</t>
        </is>
      </c>
      <c r="C6" t="n">
        <v>12.3</v>
      </c>
      <c r="D6" t="n">
        <v>9.9</v>
      </c>
      <c r="E6" t="n">
        <v>18.8</v>
      </c>
      <c r="F6" t="n">
        <v>17.2</v>
      </c>
      <c r="G6" t="n">
        <v>18</v>
      </c>
      <c r="H6" t="n">
        <v>18.8</v>
      </c>
      <c r="I6" t="n">
        <v>16.4</v>
      </c>
    </row>
    <row r="7">
      <c r="B7" t="inlineStr">
        <is>
          <t>01:30</t>
        </is>
      </c>
      <c r="C7" t="n">
        <v>11.5</v>
      </c>
      <c r="D7" t="n">
        <v>9.1</v>
      </c>
      <c r="E7" t="n">
        <v>17.2</v>
      </c>
      <c r="F7" t="n">
        <v>15.6</v>
      </c>
      <c r="G7" t="n">
        <v>17.2</v>
      </c>
      <c r="H7" t="n">
        <v>17.2</v>
      </c>
      <c r="I7" t="n">
        <v>15.6</v>
      </c>
    </row>
    <row r="8">
      <c r="B8" t="inlineStr">
        <is>
          <t>02:00</t>
        </is>
      </c>
      <c r="C8" t="n">
        <v>9.1</v>
      </c>
      <c r="D8" t="n">
        <v>8.300000000000001</v>
      </c>
      <c r="E8" t="n">
        <v>15.6</v>
      </c>
      <c r="F8" t="n">
        <v>14.8</v>
      </c>
      <c r="G8" t="n">
        <v>15.6</v>
      </c>
      <c r="H8" t="n">
        <v>15.6</v>
      </c>
      <c r="I8" t="n">
        <v>13.2</v>
      </c>
    </row>
    <row r="9">
      <c r="B9" t="inlineStr">
        <is>
          <t>02:30</t>
        </is>
      </c>
      <c r="C9" t="n">
        <v>8.800000000000001</v>
      </c>
      <c r="D9" t="n">
        <v>8</v>
      </c>
      <c r="E9" t="n">
        <v>13.7</v>
      </c>
      <c r="F9" t="n">
        <v>14.5</v>
      </c>
      <c r="G9" t="n">
        <v>16.1</v>
      </c>
      <c r="H9" t="n">
        <v>13.7</v>
      </c>
      <c r="I9" t="n">
        <v>11.2</v>
      </c>
    </row>
    <row r="10">
      <c r="B10" t="inlineStr">
        <is>
          <t>03:00</t>
        </is>
      </c>
      <c r="C10" t="n">
        <v>7.2</v>
      </c>
      <c r="D10" t="n">
        <v>6.4</v>
      </c>
      <c r="E10" t="n">
        <v>12.8</v>
      </c>
      <c r="F10" t="n">
        <v>12</v>
      </c>
      <c r="G10" t="n">
        <v>14.5</v>
      </c>
      <c r="H10" t="n">
        <v>11.2</v>
      </c>
      <c r="I10" t="n">
        <v>8.800000000000001</v>
      </c>
    </row>
    <row r="11">
      <c r="B11" t="inlineStr">
        <is>
          <t>03:30</t>
        </is>
      </c>
      <c r="C11" t="n">
        <v>6.4</v>
      </c>
      <c r="D11" t="n">
        <v>5.6</v>
      </c>
      <c r="E11" t="n">
        <v>11.2</v>
      </c>
      <c r="F11" t="n">
        <v>10.4</v>
      </c>
      <c r="G11" t="n">
        <v>12</v>
      </c>
      <c r="H11" t="n">
        <v>9.6</v>
      </c>
      <c r="I11" t="n">
        <v>8</v>
      </c>
    </row>
    <row r="12">
      <c r="B12" t="inlineStr">
        <is>
          <t>04:00</t>
        </is>
      </c>
      <c r="C12" t="n">
        <v>7.1</v>
      </c>
      <c r="D12" t="n">
        <v>7.1</v>
      </c>
      <c r="E12" t="n">
        <v>11.9</v>
      </c>
      <c r="F12" t="n">
        <v>11.1</v>
      </c>
      <c r="G12" t="n">
        <v>11.1</v>
      </c>
      <c r="H12" t="n">
        <v>10.3</v>
      </c>
      <c r="I12" t="n">
        <v>8.699999999999999</v>
      </c>
    </row>
    <row r="13">
      <c r="B13" t="inlineStr">
        <is>
          <t>04:30</t>
        </is>
      </c>
      <c r="C13" t="n">
        <v>7.6</v>
      </c>
      <c r="D13" t="n">
        <v>6.3</v>
      </c>
      <c r="E13" t="n">
        <v>10.8</v>
      </c>
      <c r="F13" t="n">
        <v>10</v>
      </c>
      <c r="G13" t="n">
        <v>10</v>
      </c>
      <c r="H13" t="n">
        <v>9.199999999999999</v>
      </c>
      <c r="I13" t="n">
        <v>8.4</v>
      </c>
    </row>
    <row r="14">
      <c r="B14" t="inlineStr">
        <is>
          <t>05:00</t>
        </is>
      </c>
      <c r="C14" t="n">
        <v>6.8</v>
      </c>
      <c r="D14" t="n">
        <v>6.3</v>
      </c>
      <c r="E14" t="n">
        <v>9.4</v>
      </c>
      <c r="F14" t="n">
        <v>8.6</v>
      </c>
      <c r="G14" t="n">
        <v>8.6</v>
      </c>
      <c r="H14" t="n">
        <v>8.6</v>
      </c>
      <c r="I14" t="n">
        <v>8.6</v>
      </c>
    </row>
    <row r="15">
      <c r="B15" t="inlineStr">
        <is>
          <t>05:30</t>
        </is>
      </c>
      <c r="C15" t="n">
        <v>6.8</v>
      </c>
      <c r="D15" t="n">
        <v>5</v>
      </c>
      <c r="E15" t="n">
        <v>7.3</v>
      </c>
      <c r="F15" t="n">
        <v>7.3</v>
      </c>
      <c r="G15" t="n">
        <v>7.3</v>
      </c>
      <c r="H15" t="n">
        <v>7.3</v>
      </c>
      <c r="I15" t="n">
        <v>7.3</v>
      </c>
    </row>
    <row r="16">
      <c r="B16" t="inlineStr">
        <is>
          <t>06:00</t>
        </is>
      </c>
      <c r="C16" t="n">
        <v>6</v>
      </c>
      <c r="D16" t="n">
        <v>5</v>
      </c>
      <c r="E16" t="n">
        <v>6.5</v>
      </c>
      <c r="F16" t="n">
        <v>6.5</v>
      </c>
      <c r="G16" t="n">
        <v>6.5</v>
      </c>
      <c r="H16" t="n">
        <v>6.5</v>
      </c>
      <c r="I16" t="n">
        <v>6.5</v>
      </c>
    </row>
    <row r="17">
      <c r="B17" t="inlineStr">
        <is>
          <t>06:30</t>
        </is>
      </c>
      <c r="C17" t="n">
        <v>5.5</v>
      </c>
      <c r="D17" t="n">
        <v>5</v>
      </c>
      <c r="E17" t="n">
        <v>6</v>
      </c>
      <c r="F17" t="n">
        <v>6</v>
      </c>
      <c r="G17" t="n">
        <v>6</v>
      </c>
      <c r="H17" t="n">
        <v>6</v>
      </c>
      <c r="I17" t="n">
        <v>6</v>
      </c>
    </row>
    <row r="18">
      <c r="B18" t="inlineStr">
        <is>
          <t>07:00</t>
        </is>
      </c>
    </row>
    <row r="19">
      <c r="B19" t="inlineStr">
        <is>
          <t>07:30</t>
        </is>
      </c>
    </row>
    <row r="20">
      <c r="B20" t="inlineStr">
        <is>
          <t>08:00</t>
        </is>
      </c>
    </row>
    <row r="21">
      <c r="B21" t="inlineStr">
        <is>
          <t>08:30</t>
        </is>
      </c>
    </row>
    <row r="22">
      <c r="B22" t="inlineStr">
        <is>
          <t>09:00</t>
        </is>
      </c>
    </row>
    <row r="23">
      <c r="B23" t="inlineStr">
        <is>
          <t>09:30</t>
        </is>
      </c>
    </row>
    <row r="24">
      <c r="B24" t="inlineStr">
        <is>
          <t>10:00</t>
        </is>
      </c>
    </row>
    <row r="25">
      <c r="B25" t="inlineStr">
        <is>
          <t>10:30</t>
        </is>
      </c>
    </row>
    <row r="26">
      <c r="B26" t="inlineStr">
        <is>
          <t>11:00</t>
        </is>
      </c>
    </row>
    <row r="27">
      <c r="B27" t="inlineStr">
        <is>
          <t>11:30</t>
        </is>
      </c>
    </row>
    <row r="28">
      <c r="B28" t="inlineStr">
        <is>
          <t>12:00</t>
        </is>
      </c>
      <c r="C28" s="58" t="n"/>
      <c r="D28" s="58" t="n"/>
      <c r="E28" s="58" t="n"/>
      <c r="F28" s="58" t="n"/>
      <c r="G28" s="58" t="n"/>
    </row>
    <row r="29">
      <c r="B29" t="inlineStr">
        <is>
          <t>12:30</t>
        </is>
      </c>
      <c r="C29" s="58" t="n"/>
      <c r="D29" s="58" t="n"/>
      <c r="E29" s="58" t="n"/>
      <c r="F29" s="58" t="n"/>
      <c r="G29" s="58" t="n"/>
    </row>
    <row r="30">
      <c r="B30" t="inlineStr">
        <is>
          <t>13:00</t>
        </is>
      </c>
      <c r="C30" s="55" t="n">
        <v>2.1</v>
      </c>
      <c r="D30" s="55" t="n">
        <v>3.4</v>
      </c>
      <c r="E30" s="55" t="n">
        <v>3.4</v>
      </c>
      <c r="F30" s="55" t="n">
        <v>2.6</v>
      </c>
      <c r="G30" s="55" t="n">
        <v>2.6</v>
      </c>
      <c r="H30" s="55" t="n">
        <v>3.4</v>
      </c>
      <c r="I30" s="55" t="n">
        <v>2.1</v>
      </c>
    </row>
    <row r="31">
      <c r="B31" t="inlineStr">
        <is>
          <t>13:30</t>
        </is>
      </c>
      <c r="C31" s="55" t="n">
        <v>2.9</v>
      </c>
      <c r="D31" s="55" t="n">
        <v>3.4</v>
      </c>
      <c r="E31" s="55" t="n">
        <v>4.2</v>
      </c>
      <c r="F31" s="55" t="n">
        <v>3.4</v>
      </c>
      <c r="G31" s="55" t="n">
        <v>3.4</v>
      </c>
      <c r="H31" s="55" t="n">
        <v>4.2</v>
      </c>
      <c r="I31" s="55" t="n">
        <v>2.9</v>
      </c>
    </row>
    <row r="32">
      <c r="B32" t="inlineStr">
        <is>
          <t>14:00</t>
        </is>
      </c>
      <c r="C32" s="55" t="n">
        <v>2.9</v>
      </c>
      <c r="D32" s="55" t="n">
        <v>4.5</v>
      </c>
      <c r="E32" s="55" t="n">
        <v>4.5</v>
      </c>
      <c r="F32" s="55" t="n">
        <v>3.7</v>
      </c>
      <c r="G32" s="55" t="n">
        <v>3.7</v>
      </c>
      <c r="H32" s="55" t="n">
        <v>4.5</v>
      </c>
      <c r="I32" s="55" t="n">
        <v>2.9</v>
      </c>
    </row>
    <row r="33">
      <c r="B33" t="inlineStr">
        <is>
          <t>14:30</t>
        </is>
      </c>
      <c r="C33" s="55" t="n">
        <v>4.2</v>
      </c>
      <c r="D33" s="55" t="n">
        <v>5.8</v>
      </c>
      <c r="E33" s="55" t="n">
        <v>5.8</v>
      </c>
      <c r="F33" s="55" t="n">
        <v>5.8</v>
      </c>
      <c r="G33" s="55" t="n">
        <v>5.8</v>
      </c>
      <c r="H33" s="55" t="n">
        <v>6.6</v>
      </c>
      <c r="I33" s="55" t="n">
        <v>4.2</v>
      </c>
    </row>
    <row r="34">
      <c r="B34" t="inlineStr">
        <is>
          <t>15:00</t>
        </is>
      </c>
      <c r="C34" s="55" t="n">
        <v>6</v>
      </c>
      <c r="D34" s="55" t="n">
        <v>8.9</v>
      </c>
      <c r="E34" s="55" t="n">
        <v>9.699999999999999</v>
      </c>
      <c r="F34" s="55" t="n">
        <v>8.9</v>
      </c>
      <c r="G34" s="55" t="n">
        <v>9.699999999999999</v>
      </c>
      <c r="H34" s="55" t="n">
        <v>9.699999999999999</v>
      </c>
      <c r="I34" s="55" t="n">
        <v>6</v>
      </c>
    </row>
    <row r="35">
      <c r="B35" t="inlineStr">
        <is>
          <t>15:30</t>
        </is>
      </c>
      <c r="C35" s="55" t="n">
        <v>7.6</v>
      </c>
      <c r="D35" s="55" t="n">
        <v>11.3</v>
      </c>
      <c r="E35" s="55" t="n">
        <v>11.3</v>
      </c>
      <c r="F35" s="55" t="n">
        <v>11.3</v>
      </c>
      <c r="G35" s="55" t="n">
        <v>12.1</v>
      </c>
      <c r="H35" s="55" t="n">
        <v>12.1</v>
      </c>
      <c r="I35" s="55" t="n">
        <v>7.6</v>
      </c>
    </row>
    <row r="36">
      <c r="B36" t="inlineStr">
        <is>
          <t>16:00</t>
        </is>
      </c>
      <c r="C36" s="55" t="n">
        <v>6.9</v>
      </c>
      <c r="D36" s="55" t="n">
        <v>10.7</v>
      </c>
      <c r="E36" s="55" t="n">
        <v>10.7</v>
      </c>
      <c r="F36" s="55" t="n">
        <v>10.7</v>
      </c>
      <c r="G36" s="55" t="n">
        <v>12.3</v>
      </c>
      <c r="H36" s="55" t="n">
        <v>12.3</v>
      </c>
      <c r="I36" s="55" t="n">
        <v>8.5</v>
      </c>
    </row>
    <row r="37">
      <c r="B37" t="inlineStr">
        <is>
          <t>16:30</t>
        </is>
      </c>
      <c r="C37" s="55" t="n">
        <v>7.5</v>
      </c>
      <c r="D37" s="55" t="n">
        <v>13.7</v>
      </c>
      <c r="E37" s="55" t="n">
        <v>13.7</v>
      </c>
      <c r="F37" s="55" t="n">
        <v>14.8</v>
      </c>
      <c r="G37" s="55" t="n">
        <v>14.8</v>
      </c>
      <c r="H37" s="55" t="n">
        <v>14.8</v>
      </c>
      <c r="I37" s="55" t="n">
        <v>10.7</v>
      </c>
    </row>
    <row r="38">
      <c r="B38" t="inlineStr">
        <is>
          <t>17:00</t>
        </is>
      </c>
      <c r="C38" s="55" t="n">
        <v>8.300000000000001</v>
      </c>
      <c r="D38" s="55" t="n">
        <v>18.8</v>
      </c>
      <c r="E38" s="55" t="n">
        <v>16.4</v>
      </c>
      <c r="F38" s="55" t="n">
        <v>18</v>
      </c>
      <c r="G38" s="55" t="n">
        <v>17.2</v>
      </c>
      <c r="H38" s="55" t="n">
        <v>17.2</v>
      </c>
      <c r="I38" s="55" t="n">
        <v>12.3</v>
      </c>
    </row>
    <row r="39">
      <c r="B39" t="inlineStr">
        <is>
          <t>17:30</t>
        </is>
      </c>
      <c r="C39" s="55" t="n">
        <v>9.9</v>
      </c>
      <c r="D39" s="55" t="n">
        <v>21.5</v>
      </c>
      <c r="E39" s="55" t="n">
        <v>17.5</v>
      </c>
      <c r="F39" s="55" t="n">
        <v>20.7</v>
      </c>
      <c r="G39" s="55" t="n">
        <v>19.9</v>
      </c>
      <c r="H39" s="55" t="n">
        <v>19.1</v>
      </c>
      <c r="I39" s="55" t="n">
        <v>13.5</v>
      </c>
    </row>
    <row r="40">
      <c r="B40" t="inlineStr">
        <is>
          <t>18:00</t>
        </is>
      </c>
      <c r="C40" s="55" t="n">
        <v>10.7</v>
      </c>
      <c r="D40" s="55" t="n">
        <v>22.6</v>
      </c>
      <c r="E40" s="55" t="n">
        <v>19.4</v>
      </c>
      <c r="F40" s="55" t="n">
        <v>22.6</v>
      </c>
      <c r="G40" s="55" t="n">
        <v>21.8</v>
      </c>
      <c r="H40" s="55" t="n">
        <v>21</v>
      </c>
      <c r="I40" s="55" t="n">
        <v>14.3</v>
      </c>
    </row>
    <row r="41">
      <c r="B41" t="inlineStr">
        <is>
          <t>18:30</t>
        </is>
      </c>
      <c r="C41" s="55" t="n">
        <v>12.3</v>
      </c>
      <c r="D41" s="55" t="n">
        <v>23</v>
      </c>
      <c r="E41" s="55" t="n">
        <v>21.8</v>
      </c>
      <c r="F41" s="55" t="n">
        <v>23.4</v>
      </c>
      <c r="G41" s="55" t="n">
        <v>23.4</v>
      </c>
      <c r="H41" s="55" t="n">
        <v>22.6</v>
      </c>
      <c r="I41" s="55" t="n">
        <v>15.9</v>
      </c>
    </row>
    <row r="42">
      <c r="B42" t="inlineStr">
        <is>
          <t>19:00</t>
        </is>
      </c>
      <c r="C42" s="55" t="n">
        <v>12.7</v>
      </c>
      <c r="D42" s="55" t="n">
        <v>25</v>
      </c>
      <c r="E42" s="55" t="n">
        <v>22.6</v>
      </c>
      <c r="F42" s="55" t="n">
        <v>24.2</v>
      </c>
      <c r="G42" s="55" t="n">
        <v>25</v>
      </c>
      <c r="H42" s="55" t="n">
        <v>22.6</v>
      </c>
      <c r="I42" s="55" t="n">
        <v>17</v>
      </c>
    </row>
    <row r="43">
      <c r="B43" t="inlineStr">
        <is>
          <t>19:30</t>
        </is>
      </c>
      <c r="C43" s="55" t="n">
        <v>13.5</v>
      </c>
      <c r="D43" s="55" t="n">
        <v>25</v>
      </c>
      <c r="E43" s="55" t="n">
        <v>24.2</v>
      </c>
      <c r="F43" s="55" t="n">
        <v>25</v>
      </c>
      <c r="G43" s="55" t="n">
        <v>25</v>
      </c>
      <c r="H43" s="55" t="n">
        <v>23.4</v>
      </c>
      <c r="I43" s="55" t="n">
        <v>17</v>
      </c>
    </row>
    <row r="44">
      <c r="B44" t="inlineStr">
        <is>
          <t>20:00</t>
        </is>
      </c>
      <c r="C44" s="55" t="n">
        <v>14.3</v>
      </c>
      <c r="D44" s="55" t="n">
        <v>25.8</v>
      </c>
      <c r="E44" s="55" t="n">
        <v>25</v>
      </c>
      <c r="F44" s="55" t="n">
        <v>24.2</v>
      </c>
      <c r="G44" s="55" t="n">
        <v>25.8</v>
      </c>
      <c r="H44" s="55" t="n">
        <v>24.2</v>
      </c>
      <c r="I44" s="55" t="n">
        <v>17.8</v>
      </c>
    </row>
    <row r="45">
      <c r="B45" t="inlineStr">
        <is>
          <t>20:30</t>
        </is>
      </c>
      <c r="C45" s="55" t="n">
        <v>13.3</v>
      </c>
      <c r="D45" s="55" t="n">
        <v>26.1</v>
      </c>
      <c r="E45" s="55" t="n">
        <v>25.3</v>
      </c>
      <c r="F45" s="55" t="n">
        <v>23.4</v>
      </c>
      <c r="G45" s="55" t="n">
        <v>25</v>
      </c>
      <c r="H45" s="55" t="n">
        <v>25</v>
      </c>
      <c r="I45" s="55" t="n">
        <v>18.6</v>
      </c>
    </row>
    <row r="46">
      <c r="B46" t="inlineStr">
        <is>
          <t>21:00</t>
        </is>
      </c>
      <c r="C46" s="55" t="n">
        <v>15.1</v>
      </c>
      <c r="D46" s="55" t="n">
        <v>27</v>
      </c>
      <c r="E46" s="55" t="n">
        <v>25</v>
      </c>
      <c r="F46" s="55" t="n">
        <v>22.6</v>
      </c>
      <c r="G46" s="55" t="n">
        <v>24.2</v>
      </c>
      <c r="H46" s="55" t="n">
        <v>24.2</v>
      </c>
      <c r="I46" s="55" t="n">
        <v>19.1</v>
      </c>
    </row>
    <row r="47">
      <c r="B47" t="inlineStr">
        <is>
          <t>21:30</t>
        </is>
      </c>
      <c r="C47" s="55" t="n">
        <v>15.9</v>
      </c>
      <c r="D47" s="55" t="n">
        <v>26.6</v>
      </c>
      <c r="E47" s="55" t="n">
        <v>24.2</v>
      </c>
      <c r="F47" s="55" t="n">
        <v>22.6</v>
      </c>
      <c r="G47" s="55" t="n">
        <v>23.4</v>
      </c>
      <c r="H47" s="55" t="n">
        <v>23.4</v>
      </c>
      <c r="I47" s="55" t="n">
        <v>18.3</v>
      </c>
    </row>
    <row r="48">
      <c r="B48" t="inlineStr">
        <is>
          <t>22:00</t>
        </is>
      </c>
      <c r="C48" s="55" t="n">
        <v>15.1</v>
      </c>
      <c r="D48" s="55" t="n">
        <v>25</v>
      </c>
      <c r="E48" s="55" t="n">
        <v>23.4</v>
      </c>
      <c r="F48" s="55" t="n">
        <v>21</v>
      </c>
      <c r="G48" s="55" t="n">
        <v>22.6</v>
      </c>
      <c r="H48" s="55" t="n">
        <v>22.6</v>
      </c>
      <c r="I48" s="55" t="n">
        <v>17.5</v>
      </c>
    </row>
    <row r="49">
      <c r="B49" t="inlineStr">
        <is>
          <t>22:30</t>
        </is>
      </c>
      <c r="C49" s="55" t="n">
        <v>14.8</v>
      </c>
      <c r="D49" s="55" t="n">
        <v>23.4</v>
      </c>
      <c r="E49" s="55" t="n">
        <v>22.6</v>
      </c>
      <c r="F49" s="55" t="n">
        <v>20.2</v>
      </c>
      <c r="G49" s="55" t="n">
        <v>21.8</v>
      </c>
      <c r="H49" s="55" t="n">
        <v>21.8</v>
      </c>
      <c r="I49" s="55" t="n">
        <v>16.7</v>
      </c>
    </row>
    <row r="50">
      <c r="B50" t="inlineStr">
        <is>
          <t>23:00</t>
        </is>
      </c>
      <c r="C50" s="55" t="n">
        <v>14</v>
      </c>
      <c r="D50" s="55" t="n">
        <v>22.6</v>
      </c>
      <c r="E50" s="55" t="n">
        <v>21</v>
      </c>
      <c r="F50" s="55" t="n">
        <v>19.4</v>
      </c>
      <c r="G50" s="55" t="n">
        <v>21</v>
      </c>
      <c r="H50" s="55" t="n">
        <v>21</v>
      </c>
      <c r="I50" s="55" t="n">
        <v>15.9</v>
      </c>
    </row>
    <row r="51">
      <c r="B51" t="inlineStr">
        <is>
          <t>23:30</t>
        </is>
      </c>
      <c r="C51" s="55" t="n">
        <v>13.2</v>
      </c>
      <c r="D51" s="55" t="n">
        <v>22</v>
      </c>
      <c r="E51" s="55" t="n">
        <v>21.2</v>
      </c>
      <c r="F51" s="55" t="n">
        <v>19.6</v>
      </c>
      <c r="G51" s="55" t="n">
        <v>22</v>
      </c>
      <c r="H51" s="55" t="n">
        <v>20.4</v>
      </c>
      <c r="I51" s="55" t="n">
        <v>15.6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B1:I27"/>
  <sheetViews>
    <sheetView showGridLines="0" workbookViewId="0">
      <selection activeCell="A1" sqref="A1"/>
    </sheetView>
  </sheetViews>
  <sheetFormatPr baseColWidth="8" defaultRowHeight="15"/>
  <cols>
    <col width="13" customWidth="1" style="45" min="2" max="9"/>
  </cols>
  <sheetData>
    <row r="1" ht="30" customHeight="1" s="45">
      <c r="B1" s="19" t="inlineStr">
        <is>
          <t>Required FTEs</t>
        </is>
      </c>
      <c r="C1" s="19" t="n"/>
      <c r="D1" s="19" t="n"/>
      <c r="E1" s="19" t="n"/>
      <c r="F1" s="19" t="n"/>
      <c r="G1" s="19" t="n"/>
      <c r="H1" s="19" t="n"/>
      <c r="I1" s="19" t="n"/>
    </row>
    <row r="2">
      <c r="B2" s="19" t="inlineStr">
        <is>
          <t>Interval</t>
        </is>
      </c>
      <c r="C2" s="19" t="inlineStr">
        <is>
          <t>Sun</t>
        </is>
      </c>
      <c r="D2" s="19" t="inlineStr">
        <is>
          <t>Mon</t>
        </is>
      </c>
      <c r="E2" s="19" t="inlineStr">
        <is>
          <t>Tue</t>
        </is>
      </c>
      <c r="F2" s="19" t="inlineStr">
        <is>
          <t>Wed</t>
        </is>
      </c>
      <c r="G2" s="19" t="inlineStr">
        <is>
          <t>Thu</t>
        </is>
      </c>
      <c r="H2" s="19" t="inlineStr">
        <is>
          <t>Fri</t>
        </is>
      </c>
      <c r="I2" s="19" t="inlineStr">
        <is>
          <t>Sat</t>
        </is>
      </c>
    </row>
    <row r="3">
      <c r="B3" s="19" t="inlineStr">
        <is>
          <t>Interval</t>
        </is>
      </c>
      <c r="C3" s="19" t="inlineStr">
        <is>
          <t>28-Jun</t>
        </is>
      </c>
      <c r="D3" s="19" t="inlineStr">
        <is>
          <t>29-Jun</t>
        </is>
      </c>
      <c r="E3" s="19" t="inlineStr">
        <is>
          <t>30-Jun</t>
        </is>
      </c>
      <c r="F3" s="19" t="inlineStr">
        <is>
          <t>1-Jul</t>
        </is>
      </c>
      <c r="G3" s="19" t="inlineStr">
        <is>
          <t>2-Jul</t>
        </is>
      </c>
      <c r="H3" s="19" t="inlineStr">
        <is>
          <t>3-Jul</t>
        </is>
      </c>
      <c r="I3" s="19" t="inlineStr">
        <is>
          <t>4-Jul</t>
        </is>
      </c>
    </row>
    <row r="4">
      <c r="B4" t="inlineStr">
        <is>
          <t>00:00</t>
        </is>
      </c>
    </row>
    <row r="5">
      <c r="B5" t="inlineStr">
        <is>
          <t>01:00</t>
        </is>
      </c>
    </row>
    <row r="6">
      <c r="B6" t="inlineStr">
        <is>
          <t>02:00</t>
        </is>
      </c>
    </row>
    <row r="7">
      <c r="B7" t="inlineStr">
        <is>
          <t>03:00</t>
        </is>
      </c>
    </row>
    <row r="8">
      <c r="B8" t="inlineStr">
        <is>
          <t>04:00</t>
        </is>
      </c>
    </row>
    <row r="9">
      <c r="B9" t="inlineStr">
        <is>
          <t>05:00</t>
        </is>
      </c>
    </row>
    <row r="10">
      <c r="B10" t="inlineStr">
        <is>
          <t>06:00</t>
        </is>
      </c>
    </row>
    <row r="11">
      <c r="B11" t="inlineStr">
        <is>
          <t>07:00</t>
        </is>
      </c>
    </row>
    <row r="12">
      <c r="B12" t="inlineStr">
        <is>
          <t>08:00</t>
        </is>
      </c>
    </row>
    <row r="13">
      <c r="B13" t="inlineStr">
        <is>
          <t>09:00</t>
        </is>
      </c>
    </row>
    <row r="14">
      <c r="B14" t="inlineStr">
        <is>
          <t>10:00</t>
        </is>
      </c>
    </row>
    <row r="15">
      <c r="B15" t="inlineStr">
        <is>
          <t>11:00</t>
        </is>
      </c>
    </row>
    <row r="16">
      <c r="B16" t="inlineStr">
        <is>
          <t>12:00</t>
        </is>
      </c>
    </row>
    <row r="17">
      <c r="B17" t="inlineStr">
        <is>
          <t>13:00</t>
        </is>
      </c>
    </row>
    <row r="18">
      <c r="B18" t="inlineStr">
        <is>
          <t>14:00</t>
        </is>
      </c>
    </row>
    <row r="19">
      <c r="B19" t="inlineStr">
        <is>
          <t>15:00</t>
        </is>
      </c>
    </row>
    <row r="20">
      <c r="B20" t="inlineStr">
        <is>
          <t>16:00</t>
        </is>
      </c>
    </row>
    <row r="21">
      <c r="B21" t="inlineStr">
        <is>
          <t>17:00</t>
        </is>
      </c>
    </row>
    <row r="22">
      <c r="B22" t="inlineStr">
        <is>
          <t>18:00</t>
        </is>
      </c>
    </row>
    <row r="23">
      <c r="B23" t="inlineStr">
        <is>
          <t>19:00</t>
        </is>
      </c>
    </row>
    <row r="24">
      <c r="B24" t="inlineStr">
        <is>
          <t>20:00</t>
        </is>
      </c>
    </row>
    <row r="25">
      <c r="B25" t="inlineStr">
        <is>
          <t>21:00</t>
        </is>
      </c>
    </row>
    <row r="26">
      <c r="B26" t="inlineStr">
        <is>
          <t>22:00</t>
        </is>
      </c>
    </row>
    <row r="27">
      <c r="B27" t="inlineStr">
        <is>
          <t>23:00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tabSelected="1" workbookViewId="0">
      <selection activeCell="B1" sqref="B1"/>
    </sheetView>
  </sheetViews>
  <sheetFormatPr baseColWidth="8" defaultRowHeight="15"/>
  <cols>
    <col width="13" customWidth="1" style="45" min="1" max="8"/>
  </cols>
  <sheetData>
    <row r="1" ht="45" customHeight="1" s="45">
      <c r="A1" s="19" t="inlineStr">
        <is>
          <t>Shrinkage - SAKS New 51HC Test</t>
        </is>
      </c>
      <c r="B1" s="19" t="n"/>
      <c r="C1" s="19" t="n"/>
      <c r="D1" s="19" t="n"/>
      <c r="E1" s="19" t="n"/>
      <c r="F1" s="19" t="n"/>
      <c r="G1" s="19" t="n"/>
      <c r="H1" s="19" t="n"/>
    </row>
    <row r="2">
      <c r="A2" s="19" t="inlineStr">
        <is>
          <t>Interval</t>
        </is>
      </c>
      <c r="B2" s="19" t="inlineStr">
        <is>
          <t>Sun</t>
        </is>
      </c>
      <c r="C2" s="19" t="inlineStr">
        <is>
          <t>Mon</t>
        </is>
      </c>
      <c r="D2" s="19" t="inlineStr">
        <is>
          <t>Tue</t>
        </is>
      </c>
      <c r="E2" s="19" t="inlineStr">
        <is>
          <t>Wed</t>
        </is>
      </c>
      <c r="F2" s="19" t="inlineStr">
        <is>
          <t>Thu</t>
        </is>
      </c>
      <c r="G2" s="19" t="inlineStr">
        <is>
          <t>Fri</t>
        </is>
      </c>
      <c r="H2" s="19" t="inlineStr">
        <is>
          <t>Sat</t>
        </is>
      </c>
    </row>
    <row r="3">
      <c r="A3" s="19" t="inlineStr">
        <is>
          <t>Interval</t>
        </is>
      </c>
      <c r="B3" s="32" t="n">
        <v>46215</v>
      </c>
      <c r="C3" s="32" t="n">
        <v>46216</v>
      </c>
      <c r="D3" s="32" t="n">
        <v>46217</v>
      </c>
      <c r="E3" s="32" t="n">
        <v>46218</v>
      </c>
      <c r="F3" s="32" t="n">
        <v>46219</v>
      </c>
      <c r="G3" s="32" t="n">
        <v>46220</v>
      </c>
      <c r="H3" s="32" t="n">
        <v>46221</v>
      </c>
    </row>
    <row r="4">
      <c r="A4" t="inlineStr">
        <is>
          <t>00:00</t>
        </is>
      </c>
      <c r="B4" s="54" t="n">
        <v>0.196078431372549</v>
      </c>
      <c r="C4" s="54" t="n">
        <v>0.1904761904761905</v>
      </c>
      <c r="D4" s="54" t="n">
        <v>0.1066666666666667</v>
      </c>
      <c r="E4" s="54" t="n">
        <v>0.1594202898550725</v>
      </c>
      <c r="F4" s="54" t="n">
        <v>0.07246376811594203</v>
      </c>
      <c r="G4" s="54" t="n">
        <v>0.1449275362318841</v>
      </c>
      <c r="H4" s="54" t="n">
        <v>0.2121212121212122</v>
      </c>
    </row>
    <row r="5">
      <c r="A5" t="inlineStr">
        <is>
          <t>00:30</t>
        </is>
      </c>
      <c r="B5" s="54" t="n">
        <v>0.196078431372549</v>
      </c>
      <c r="C5" s="54" t="n">
        <v>0.1904761904761905</v>
      </c>
      <c r="D5" s="54" t="n">
        <v>0.1066666666666667</v>
      </c>
      <c r="E5" s="54" t="n">
        <v>0.1594202898550725</v>
      </c>
      <c r="F5" s="54" t="n">
        <v>0.07246376811594203</v>
      </c>
      <c r="G5" s="54" t="n">
        <v>0.1449275362318841</v>
      </c>
      <c r="H5" s="54" t="n">
        <v>0.2121212121212122</v>
      </c>
    </row>
    <row r="6">
      <c r="A6" t="inlineStr">
        <is>
          <t>01:00</t>
        </is>
      </c>
      <c r="B6" s="54" t="n">
        <v>0.2</v>
      </c>
      <c r="C6" s="54" t="n">
        <v>0.1538461538461539</v>
      </c>
      <c r="D6" s="54" t="n">
        <v>0.1111111111111111</v>
      </c>
      <c r="E6" s="54" t="n">
        <v>0.1666666666666667</v>
      </c>
      <c r="F6" s="54" t="n">
        <v>0.07575757575757576</v>
      </c>
      <c r="G6" s="54" t="n">
        <v>0.1363636363636364</v>
      </c>
      <c r="H6" s="54" t="n">
        <v>0.2063492063492063</v>
      </c>
    </row>
    <row r="7">
      <c r="A7" t="inlineStr">
        <is>
          <t>01:30</t>
        </is>
      </c>
      <c r="B7" s="54" t="n">
        <v>0.2</v>
      </c>
      <c r="C7" s="54" t="n">
        <v>0.1538461538461539</v>
      </c>
      <c r="D7" s="54" t="n">
        <v>0.1111111111111111</v>
      </c>
      <c r="E7" s="54" t="n">
        <v>0.1666666666666667</v>
      </c>
      <c r="F7" s="54" t="n">
        <v>0.07575757575757576</v>
      </c>
      <c r="G7" s="54" t="n">
        <v>0.1363636363636364</v>
      </c>
      <c r="H7" s="54" t="n">
        <v>0.2063492063492063</v>
      </c>
    </row>
    <row r="8">
      <c r="A8" t="inlineStr">
        <is>
          <t>02:00</t>
        </is>
      </c>
      <c r="B8" s="54" t="n">
        <v>0.2051282051282051</v>
      </c>
      <c r="C8" s="54" t="n">
        <v>0.1818181818181818</v>
      </c>
      <c r="D8" s="54" t="n">
        <v>0.1228070175438597</v>
      </c>
      <c r="E8" s="54" t="n">
        <v>0.1851851851851852</v>
      </c>
      <c r="F8" s="54" t="n">
        <v>0.07407407407407407</v>
      </c>
      <c r="G8" s="54" t="n">
        <v>0.1403508771929824</v>
      </c>
      <c r="H8" s="54" t="n">
        <v>0.2156862745098039</v>
      </c>
    </row>
    <row r="9">
      <c r="A9" t="inlineStr">
        <is>
          <t>02:30</t>
        </is>
      </c>
      <c r="B9" s="54" t="n">
        <v>0.2051282051282051</v>
      </c>
      <c r="C9" s="54" t="n">
        <v>0.1818181818181818</v>
      </c>
      <c r="D9" s="54" t="n">
        <v>0.1228070175438597</v>
      </c>
      <c r="E9" s="54" t="n">
        <v>0.1851851851851852</v>
      </c>
      <c r="F9" s="54" t="n">
        <v>0.07407407407407407</v>
      </c>
      <c r="G9" s="54" t="n">
        <v>0.1403508771929824</v>
      </c>
      <c r="H9" s="54" t="n">
        <v>0.2156862745098039</v>
      </c>
    </row>
    <row r="10">
      <c r="A10" t="inlineStr">
        <is>
          <t>03:00</t>
        </is>
      </c>
      <c r="B10" s="54" t="n">
        <v>0.2051282051282051</v>
      </c>
      <c r="C10" s="54" t="n">
        <v>0.1851851851851852</v>
      </c>
      <c r="D10" s="54" t="n">
        <v>0.08333333333333333</v>
      </c>
      <c r="E10" s="54" t="n">
        <v>0.1458333333333334</v>
      </c>
      <c r="F10" s="54" t="n">
        <v>0.0625</v>
      </c>
      <c r="G10" s="54" t="n">
        <v>0.1666666666666667</v>
      </c>
      <c r="H10" s="54" t="n">
        <v>0.1904761904761905</v>
      </c>
    </row>
    <row r="11">
      <c r="A11" t="inlineStr">
        <is>
          <t>03:30</t>
        </is>
      </c>
      <c r="B11" s="54" t="n">
        <v>0.2051282051282051</v>
      </c>
      <c r="C11" s="54" t="n">
        <v>0.1851851851851852</v>
      </c>
      <c r="D11" s="54" t="n">
        <v>0.08333333333333333</v>
      </c>
      <c r="E11" s="54" t="n">
        <v>0.1458333333333334</v>
      </c>
      <c r="F11" s="54" t="n">
        <v>0.0625</v>
      </c>
      <c r="G11" s="54" t="n">
        <v>0.1666666666666667</v>
      </c>
      <c r="H11" s="54" t="n">
        <v>0.1904761904761905</v>
      </c>
    </row>
    <row r="12">
      <c r="A12" t="inlineStr">
        <is>
          <t>04:00</t>
        </is>
      </c>
      <c r="B12" s="54" t="n">
        <v>0.1818181818181818</v>
      </c>
      <c r="C12" s="54" t="n">
        <v>0.1851851851851852</v>
      </c>
      <c r="D12" s="54" t="n">
        <v>0.1025641025641026</v>
      </c>
      <c r="E12" s="54" t="n">
        <v>0.1428571428571428</v>
      </c>
      <c r="F12" s="54" t="n">
        <v>0.07142857142857142</v>
      </c>
      <c r="G12" s="54" t="n">
        <v>0.1428571428571428</v>
      </c>
      <c r="H12" s="54" t="n">
        <v>0.1944444444444445</v>
      </c>
    </row>
    <row r="13">
      <c r="A13" t="inlineStr">
        <is>
          <t>04:30</t>
        </is>
      </c>
      <c r="B13" s="54" t="n">
        <v>0.1818181818181818</v>
      </c>
      <c r="C13" s="54" t="n">
        <v>0.1851851851851852</v>
      </c>
      <c r="D13" s="54" t="n">
        <v>0.1025641025641026</v>
      </c>
      <c r="E13" s="54" t="n">
        <v>0.1428571428571428</v>
      </c>
      <c r="F13" s="54" t="n">
        <v>0.07142857142857142</v>
      </c>
      <c r="G13" s="54" t="n">
        <v>0.1428571428571428</v>
      </c>
      <c r="H13" s="54" t="n">
        <v>0.1944444444444445</v>
      </c>
    </row>
    <row r="14">
      <c r="A14" t="inlineStr">
        <is>
          <t>05:00</t>
        </is>
      </c>
      <c r="B14" s="54" t="n">
        <v>0.1851851851851852</v>
      </c>
      <c r="C14" s="54" t="n">
        <v>0.1666666666666667</v>
      </c>
      <c r="D14" s="54" t="n">
        <v>0.1</v>
      </c>
      <c r="E14" s="54" t="n">
        <v>0.1</v>
      </c>
      <c r="F14" s="54" t="n">
        <v>0.09090909090909093</v>
      </c>
      <c r="G14" s="54" t="n">
        <v>0.1515151515151515</v>
      </c>
      <c r="H14" s="54" t="n">
        <v>0.1666666666666667</v>
      </c>
    </row>
    <row r="15">
      <c r="A15" t="inlineStr">
        <is>
          <t>05:30</t>
        </is>
      </c>
      <c r="B15" s="54" t="n">
        <v>0.1851851851851852</v>
      </c>
      <c r="C15" s="54" t="n">
        <v>0.1666666666666667</v>
      </c>
      <c r="D15" s="54" t="n">
        <v>0.1</v>
      </c>
      <c r="E15" s="54" t="n">
        <v>0.1</v>
      </c>
      <c r="F15" s="54" t="n">
        <v>0.09090909090909093</v>
      </c>
      <c r="G15" s="54" t="n">
        <v>0.1515151515151515</v>
      </c>
      <c r="H15" s="54" t="n">
        <v>0.1666666666666667</v>
      </c>
    </row>
    <row r="16">
      <c r="A16" t="inlineStr">
        <is>
          <t>06:00</t>
        </is>
      </c>
      <c r="B16" s="54" t="n">
        <v>0.125</v>
      </c>
      <c r="C16" s="54" t="n">
        <v>0.1428571428571428</v>
      </c>
      <c r="D16" s="54" t="n">
        <v>0.125</v>
      </c>
      <c r="E16" s="54" t="n">
        <v>0.125</v>
      </c>
      <c r="F16" s="54" t="n">
        <v>0.1111111111111111</v>
      </c>
      <c r="G16" s="54" t="n">
        <v>0.1111111111111111</v>
      </c>
      <c r="H16" s="54" t="n">
        <v>0.125</v>
      </c>
    </row>
    <row r="17">
      <c r="A17" t="inlineStr">
        <is>
          <t>06:30</t>
        </is>
      </c>
      <c r="B17" s="54" t="n">
        <v>0.125</v>
      </c>
      <c r="C17" s="54" t="n">
        <v>0.1428571428571428</v>
      </c>
      <c r="D17" s="54" t="n">
        <v>0.125</v>
      </c>
      <c r="E17" s="54" t="n">
        <v>0.125</v>
      </c>
      <c r="F17" s="54" t="n">
        <v>0.1111111111111111</v>
      </c>
      <c r="G17" s="54" t="n">
        <v>0.1111111111111111</v>
      </c>
      <c r="H17" s="54" t="n">
        <v>0.125</v>
      </c>
    </row>
    <row r="18">
      <c r="A18" t="inlineStr">
        <is>
          <t>07:00</t>
        </is>
      </c>
      <c r="B18" s="54" t="n"/>
      <c r="C18" s="54" t="n"/>
      <c r="D18" s="54" t="n"/>
      <c r="E18" s="54" t="n"/>
      <c r="F18" s="54" t="n"/>
      <c r="G18" s="54" t="n"/>
      <c r="H18" s="54" t="n"/>
    </row>
    <row r="19">
      <c r="A19" t="inlineStr">
        <is>
          <t>07:30</t>
        </is>
      </c>
      <c r="B19" s="54" t="n"/>
      <c r="C19" s="54" t="n"/>
      <c r="D19" s="54" t="n"/>
      <c r="E19" s="54" t="n"/>
      <c r="F19" s="54" t="n"/>
      <c r="G19" s="54" t="n"/>
      <c r="H19" s="54" t="n"/>
    </row>
    <row r="20">
      <c r="A20" t="inlineStr">
        <is>
          <t>08:00</t>
        </is>
      </c>
      <c r="B20" s="54" t="n"/>
      <c r="C20" s="54" t="n"/>
      <c r="D20" s="54" t="n"/>
      <c r="E20" s="54" t="n"/>
      <c r="F20" s="54" t="n"/>
      <c r="G20" s="54" t="n"/>
      <c r="H20" s="54" t="n"/>
    </row>
    <row r="21">
      <c r="A21" t="inlineStr">
        <is>
          <t>08:30</t>
        </is>
      </c>
      <c r="B21" s="54" t="n"/>
      <c r="C21" s="54" t="n"/>
      <c r="D21" s="54" t="n"/>
      <c r="E21" s="54" t="n"/>
      <c r="F21" s="54" t="n"/>
      <c r="G21" s="54" t="n"/>
      <c r="H21" s="54" t="n"/>
    </row>
    <row r="22">
      <c r="A22" t="inlineStr">
        <is>
          <t>09:00</t>
        </is>
      </c>
      <c r="B22" s="54" t="n"/>
      <c r="C22" s="54" t="n"/>
      <c r="D22" s="54" t="n"/>
      <c r="E22" s="54" t="n"/>
      <c r="F22" s="54" t="n"/>
      <c r="G22" s="54" t="n"/>
      <c r="H22" s="54" t="n"/>
    </row>
    <row r="23">
      <c r="A23" t="inlineStr">
        <is>
          <t>09:30</t>
        </is>
      </c>
      <c r="B23" s="54" t="n"/>
      <c r="C23" s="54" t="n"/>
      <c r="D23" s="54" t="n"/>
      <c r="E23" s="54" t="n"/>
      <c r="F23" s="54" t="n"/>
      <c r="G23" s="54" t="n"/>
      <c r="H23" s="54" t="n"/>
    </row>
    <row r="24">
      <c r="A24" t="inlineStr">
        <is>
          <t>10:00</t>
        </is>
      </c>
      <c r="B24" s="54" t="n"/>
      <c r="C24" s="54" t="n"/>
      <c r="D24" s="54" t="n"/>
      <c r="E24" s="54" t="n"/>
      <c r="F24" s="54" t="n"/>
      <c r="G24" s="54" t="n"/>
      <c r="H24" s="54" t="n"/>
    </row>
    <row r="25">
      <c r="A25" t="inlineStr">
        <is>
          <t>10:30</t>
        </is>
      </c>
      <c r="B25" s="54" t="n"/>
      <c r="C25" s="54" t="n"/>
      <c r="D25" s="54" t="n"/>
      <c r="E25" s="54" t="n"/>
      <c r="F25" s="54" t="n"/>
      <c r="G25" s="54" t="n"/>
      <c r="H25" s="54" t="n"/>
    </row>
    <row r="26">
      <c r="A26" t="inlineStr">
        <is>
          <t>11:00</t>
        </is>
      </c>
      <c r="B26" s="54" t="n"/>
      <c r="C26" s="54" t="n"/>
      <c r="D26" s="54" t="n"/>
      <c r="E26" s="54" t="n"/>
      <c r="F26" s="54" t="n"/>
      <c r="G26" s="54" t="n"/>
      <c r="H26" s="54" t="n"/>
    </row>
    <row r="27">
      <c r="A27" t="inlineStr">
        <is>
          <t>11:30</t>
        </is>
      </c>
      <c r="B27" s="54" t="n"/>
      <c r="C27" s="54" t="n"/>
      <c r="D27" s="54" t="n"/>
      <c r="E27" s="54" t="n"/>
      <c r="F27" s="54" t="n"/>
      <c r="G27" s="54" t="n"/>
      <c r="H27" s="54" t="n"/>
    </row>
    <row r="28">
      <c r="A28" t="inlineStr">
        <is>
          <t>12:00</t>
        </is>
      </c>
      <c r="B28" s="54" t="n"/>
      <c r="C28" s="54" t="n"/>
      <c r="D28" s="54" t="n"/>
      <c r="E28" s="54" t="n"/>
      <c r="F28" s="54" t="n"/>
      <c r="G28" s="54" t="n"/>
      <c r="H28" s="54" t="n"/>
    </row>
    <row r="29">
      <c r="A29" t="inlineStr">
        <is>
          <t>12:30</t>
        </is>
      </c>
      <c r="B29" s="54" t="n"/>
      <c r="C29" s="54" t="n"/>
      <c r="D29" s="54" t="n"/>
      <c r="E29" s="54" t="n"/>
      <c r="F29" s="54" t="n"/>
      <c r="G29" s="54" t="n"/>
      <c r="H29" s="54" t="n"/>
    </row>
    <row r="30">
      <c r="A30" t="inlineStr">
        <is>
          <t>13:00</t>
        </is>
      </c>
      <c r="B30" s="54" t="n">
        <v>0.2</v>
      </c>
      <c r="C30" s="54" t="n">
        <v>0.1428571428571428</v>
      </c>
      <c r="D30" s="54" t="n">
        <v>0.1428571428571428</v>
      </c>
      <c r="E30" s="54" t="n">
        <v>0.1428571428571428</v>
      </c>
      <c r="F30" s="54" t="n">
        <v>0.2857142857142857</v>
      </c>
      <c r="G30" s="54" t="n">
        <v>0.2777777777777778</v>
      </c>
      <c r="H30" s="54" t="n">
        <v>0.2</v>
      </c>
    </row>
    <row r="31">
      <c r="A31" t="inlineStr">
        <is>
          <t>13:30</t>
        </is>
      </c>
      <c r="B31" s="54" t="n">
        <v>0.2</v>
      </c>
      <c r="C31" s="54" t="n">
        <v>0.1428571428571428</v>
      </c>
      <c r="D31" s="54" t="n">
        <v>0.1428571428571428</v>
      </c>
      <c r="E31" s="54" t="n">
        <v>0.1428571428571428</v>
      </c>
      <c r="F31" s="54" t="n">
        <v>0.2857142857142857</v>
      </c>
      <c r="G31" s="54" t="n">
        <v>0.2777777777777778</v>
      </c>
      <c r="H31" s="54" t="n">
        <v>0.2</v>
      </c>
    </row>
    <row r="32">
      <c r="A32" t="inlineStr">
        <is>
          <t>14:00</t>
        </is>
      </c>
      <c r="B32" s="54" t="n">
        <v>0.1428571428571428</v>
      </c>
      <c r="C32" s="54" t="n">
        <v>0.09090909090909093</v>
      </c>
      <c r="D32" s="54" t="n">
        <v>0.1</v>
      </c>
      <c r="E32" s="54" t="n">
        <v>0.1</v>
      </c>
      <c r="F32" s="54" t="n">
        <v>0.2</v>
      </c>
      <c r="G32" s="54" t="n">
        <v>0.1851851851851852</v>
      </c>
      <c r="H32" s="54" t="n">
        <v>0.25</v>
      </c>
    </row>
    <row r="33">
      <c r="A33" t="inlineStr">
        <is>
          <t>14:30</t>
        </is>
      </c>
      <c r="B33" s="54" t="n">
        <v>0.1428571428571428</v>
      </c>
      <c r="C33" s="54" t="n">
        <v>0.09090909090909093</v>
      </c>
      <c r="D33" s="54" t="n">
        <v>0.1</v>
      </c>
      <c r="E33" s="54" t="n">
        <v>0.1</v>
      </c>
      <c r="F33" s="54" t="n">
        <v>0.2</v>
      </c>
      <c r="G33" s="54" t="n">
        <v>0.1851851851851852</v>
      </c>
      <c r="H33" s="54" t="n">
        <v>0.25</v>
      </c>
    </row>
    <row r="34">
      <c r="A34" t="inlineStr">
        <is>
          <t>15:00</t>
        </is>
      </c>
      <c r="B34" s="54" t="n">
        <v>0.1212121212121212</v>
      </c>
      <c r="C34" s="54" t="n">
        <v>0.125</v>
      </c>
      <c r="D34" s="54" t="n">
        <v>0.05882352941176471</v>
      </c>
      <c r="E34" s="54" t="n">
        <v>0.1372549019607843</v>
      </c>
      <c r="F34" s="54" t="n">
        <v>0.196078431372549</v>
      </c>
      <c r="G34" s="54" t="n">
        <v>0.1568627450980392</v>
      </c>
      <c r="H34" s="54" t="n">
        <v>0.2222222222222223</v>
      </c>
    </row>
    <row r="35">
      <c r="A35" t="inlineStr">
        <is>
          <t>15:30</t>
        </is>
      </c>
      <c r="B35" s="54" t="n">
        <v>0.1212121212121212</v>
      </c>
      <c r="C35" s="54" t="n">
        <v>0.125</v>
      </c>
      <c r="D35" s="54" t="n">
        <v>0.05882352941176471</v>
      </c>
      <c r="E35" s="54" t="n">
        <v>0.1372549019607843</v>
      </c>
      <c r="F35" s="54" t="n">
        <v>0.196078431372549</v>
      </c>
      <c r="G35" s="54" t="n">
        <v>0.1568627450980392</v>
      </c>
      <c r="H35" s="54" t="n">
        <v>0.2222222222222223</v>
      </c>
    </row>
    <row r="36">
      <c r="A36" t="inlineStr">
        <is>
          <t>16:00</t>
        </is>
      </c>
      <c r="B36" s="54" t="n">
        <v>0.1666666666666667</v>
      </c>
      <c r="C36" s="54" t="n">
        <v>0.1176470588235294</v>
      </c>
      <c r="D36" s="54" t="n">
        <v>0.05555555555555555</v>
      </c>
      <c r="E36" s="54" t="n">
        <v>0.1296296296296297</v>
      </c>
      <c r="F36" s="54" t="n">
        <v>0.2037037037037037</v>
      </c>
      <c r="G36" s="54" t="n">
        <v>0.1666666666666667</v>
      </c>
      <c r="H36" s="54" t="n">
        <v>0.2156862745098039</v>
      </c>
    </row>
    <row r="37">
      <c r="A37" t="inlineStr">
        <is>
          <t>16:30</t>
        </is>
      </c>
      <c r="B37" s="54" t="n">
        <v>0.1666666666666667</v>
      </c>
      <c r="C37" s="54" t="n">
        <v>0.1176470588235294</v>
      </c>
      <c r="D37" s="54" t="n">
        <v>0.05555555555555555</v>
      </c>
      <c r="E37" s="54" t="n">
        <v>0.1296296296296297</v>
      </c>
      <c r="F37" s="54" t="n">
        <v>0.2037037037037037</v>
      </c>
      <c r="G37" s="54" t="n">
        <v>0.1666666666666667</v>
      </c>
      <c r="H37" s="54" t="n">
        <v>0.2156862745098039</v>
      </c>
    </row>
    <row r="38">
      <c r="A38" t="inlineStr">
        <is>
          <t>17:00</t>
        </is>
      </c>
      <c r="B38" s="54" t="n">
        <v>0.1538461538461539</v>
      </c>
      <c r="C38" s="54" t="n">
        <v>0.1111111111111111</v>
      </c>
      <c r="D38" s="54" t="n">
        <v>0.04545454545454546</v>
      </c>
      <c r="E38" s="54" t="n">
        <v>0.1212121212121212</v>
      </c>
      <c r="F38" s="54" t="n">
        <v>0.1904761904761905</v>
      </c>
      <c r="G38" s="54" t="n">
        <v>0.1587301587301588</v>
      </c>
      <c r="H38" s="54" t="n">
        <v>0.2222222222222222</v>
      </c>
    </row>
    <row r="39">
      <c r="A39" t="inlineStr">
        <is>
          <t>17:30</t>
        </is>
      </c>
      <c r="B39" s="54" t="n">
        <v>0.1538461538461539</v>
      </c>
      <c r="C39" s="54" t="n">
        <v>0.1111111111111111</v>
      </c>
      <c r="D39" s="54" t="n">
        <v>0.04545454545454546</v>
      </c>
      <c r="E39" s="54" t="n">
        <v>0.1212121212121212</v>
      </c>
      <c r="F39" s="54" t="n">
        <v>0.1904761904761905</v>
      </c>
      <c r="G39" s="54" t="n">
        <v>0.1587301587301588</v>
      </c>
      <c r="H39" s="54" t="n">
        <v>0.2222222222222222</v>
      </c>
    </row>
    <row r="40">
      <c r="A40" t="inlineStr">
        <is>
          <t>18:00</t>
        </is>
      </c>
      <c r="B40" s="54" t="n">
        <v>0.1555555555555556</v>
      </c>
      <c r="C40" s="54" t="n">
        <v>0.1388888888888889</v>
      </c>
      <c r="D40" s="54" t="n">
        <v>0.08333333333333333</v>
      </c>
      <c r="E40" s="54" t="n">
        <v>0.125</v>
      </c>
      <c r="F40" s="54" t="n">
        <v>0.1666666666666667</v>
      </c>
      <c r="G40" s="54" t="n">
        <v>0.1805555555555556</v>
      </c>
      <c r="H40" s="54" t="n">
        <v>0.2222222222222222</v>
      </c>
    </row>
    <row r="41">
      <c r="A41" t="inlineStr">
        <is>
          <t>18:30</t>
        </is>
      </c>
      <c r="B41" s="54" t="n">
        <v>0.1555555555555556</v>
      </c>
      <c r="C41" s="54" t="n">
        <v>0.1388888888888889</v>
      </c>
      <c r="D41" s="54" t="n">
        <v>0.08333333333333333</v>
      </c>
      <c r="E41" s="54" t="n">
        <v>0.125</v>
      </c>
      <c r="F41" s="54" t="n">
        <v>0.1666666666666667</v>
      </c>
      <c r="G41" s="54" t="n">
        <v>0.1805555555555556</v>
      </c>
      <c r="H41" s="54" t="n">
        <v>0.2222222222222222</v>
      </c>
    </row>
    <row r="42">
      <c r="A42" t="inlineStr">
        <is>
          <t>19:00</t>
        </is>
      </c>
      <c r="B42" s="54" t="n">
        <v>0.1555555555555556</v>
      </c>
      <c r="C42" s="54" t="n">
        <v>0.1234567901234568</v>
      </c>
      <c r="D42" s="54" t="n">
        <v>0.08974358974358974</v>
      </c>
      <c r="E42" s="54" t="n">
        <v>0.1153846153846154</v>
      </c>
      <c r="F42" s="54" t="n">
        <v>0.1794871794871795</v>
      </c>
      <c r="G42" s="54" t="n">
        <v>0.1923076923076923</v>
      </c>
      <c r="H42" s="54" t="n">
        <v>0.2333333333333333</v>
      </c>
    </row>
    <row r="43">
      <c r="A43" t="inlineStr">
        <is>
          <t>19:30</t>
        </is>
      </c>
      <c r="B43" s="54" t="n">
        <v>0.1555555555555556</v>
      </c>
      <c r="C43" s="54" t="n">
        <v>0.1234567901234568</v>
      </c>
      <c r="D43" s="54" t="n">
        <v>0.08974358974358974</v>
      </c>
      <c r="E43" s="54" t="n">
        <v>0.1153846153846154</v>
      </c>
      <c r="F43" s="54" t="n">
        <v>0.1794871794871795</v>
      </c>
      <c r="G43" s="54" t="n">
        <v>0.1923076923076923</v>
      </c>
      <c r="H43" s="54" t="n">
        <v>0.2333333333333333</v>
      </c>
    </row>
    <row r="44">
      <c r="A44" t="inlineStr">
        <is>
          <t>20:00</t>
        </is>
      </c>
      <c r="B44" s="54" t="n">
        <v>0.1666666666666667</v>
      </c>
      <c r="C44" s="54" t="n">
        <v>0.1333333333333334</v>
      </c>
      <c r="D44" s="54" t="n">
        <v>0.1222222222222222</v>
      </c>
      <c r="E44" s="54" t="n">
        <v>0.103448275862069</v>
      </c>
      <c r="F44" s="54" t="n">
        <v>0.1724137931034483</v>
      </c>
      <c r="G44" s="54" t="n">
        <v>0.2023809523809524</v>
      </c>
      <c r="H44" s="54" t="n">
        <v>0.2272727272727273</v>
      </c>
    </row>
    <row r="45">
      <c r="A45" t="inlineStr">
        <is>
          <t>20:30</t>
        </is>
      </c>
      <c r="B45" s="54" t="n">
        <v>0.1666666666666667</v>
      </c>
      <c r="C45" s="54" t="n">
        <v>0.1333333333333334</v>
      </c>
      <c r="D45" s="54" t="n">
        <v>0.1222222222222222</v>
      </c>
      <c r="E45" s="54" t="n">
        <v>0.103448275862069</v>
      </c>
      <c r="F45" s="54" t="n">
        <v>0.1724137931034483</v>
      </c>
      <c r="G45" s="54" t="n">
        <v>0.2023809523809524</v>
      </c>
      <c r="H45" s="54" t="n">
        <v>0.2272727272727273</v>
      </c>
    </row>
    <row r="46">
      <c r="A46" t="inlineStr">
        <is>
          <t>21:00</t>
        </is>
      </c>
      <c r="B46" s="54" t="n">
        <v>0.1764705882352942</v>
      </c>
      <c r="C46" s="54" t="n">
        <v>0.1354166666666667</v>
      </c>
      <c r="D46" s="54" t="n">
        <v>0.1354166666666667</v>
      </c>
      <c r="E46" s="54" t="n">
        <v>0.1182795698924731</v>
      </c>
      <c r="F46" s="54" t="n">
        <v>0.1935483870967742</v>
      </c>
      <c r="G46" s="54" t="n">
        <v>0.2111111111111111</v>
      </c>
      <c r="H46" s="54" t="n">
        <v>0.2608695652173913</v>
      </c>
    </row>
    <row r="47">
      <c r="A47" t="inlineStr">
        <is>
          <t>21:30</t>
        </is>
      </c>
      <c r="B47" s="54" t="n">
        <v>0.1764705882352942</v>
      </c>
      <c r="C47" s="54" t="n">
        <v>0.1354166666666667</v>
      </c>
      <c r="D47" s="54" t="n">
        <v>0.1354166666666667</v>
      </c>
      <c r="E47" s="54" t="n">
        <v>0.1182795698924731</v>
      </c>
      <c r="F47" s="54" t="n">
        <v>0.1935483870967742</v>
      </c>
      <c r="G47" s="54" t="n">
        <v>0.2111111111111111</v>
      </c>
      <c r="H47" s="54" t="n">
        <v>0.2608695652173913</v>
      </c>
    </row>
    <row r="48">
      <c r="A48" t="inlineStr">
        <is>
          <t>22:00</t>
        </is>
      </c>
      <c r="B48" s="54" t="n">
        <v>0.1754385964912281</v>
      </c>
      <c r="C48" s="54" t="n">
        <v>0.107843137254902</v>
      </c>
      <c r="D48" s="54" t="n">
        <v>0.1176470588235294</v>
      </c>
      <c r="E48" s="54" t="n">
        <v>0.101010101010101</v>
      </c>
      <c r="F48" s="54" t="n">
        <v>0.1568627450980392</v>
      </c>
      <c r="G48" s="54" t="n">
        <v>0.1717171717171717</v>
      </c>
      <c r="H48" s="54" t="n">
        <v>0.2051282051282051</v>
      </c>
    </row>
    <row r="49">
      <c r="A49" t="inlineStr">
        <is>
          <t>22:30</t>
        </is>
      </c>
      <c r="B49" s="54" t="n">
        <v>0.1754385964912281</v>
      </c>
      <c r="C49" s="54" t="n">
        <v>0.107843137254902</v>
      </c>
      <c r="D49" s="54" t="n">
        <v>0.1176470588235294</v>
      </c>
      <c r="E49" s="54" t="n">
        <v>0.101010101010101</v>
      </c>
      <c r="F49" s="54" t="n">
        <v>0.1568627450980392</v>
      </c>
      <c r="G49" s="54" t="n">
        <v>0.1717171717171717</v>
      </c>
      <c r="H49" s="54" t="n">
        <v>0.2051282051282051</v>
      </c>
    </row>
    <row r="50">
      <c r="A50" t="inlineStr">
        <is>
          <t>23:00</t>
        </is>
      </c>
      <c r="B50" s="54" t="n">
        <v>0.196078431372549</v>
      </c>
      <c r="C50" s="54" t="n">
        <v>0.1222222222222222</v>
      </c>
      <c r="D50" s="54" t="n">
        <v>0.1290322580645161</v>
      </c>
      <c r="E50" s="54" t="n">
        <v>0.1111111111111111</v>
      </c>
      <c r="F50" s="54" t="n">
        <v>0.1720430107526882</v>
      </c>
      <c r="G50" s="54" t="n">
        <v>0.1888888888888889</v>
      </c>
      <c r="H50" s="54" t="n">
        <v>0.2318840579710145</v>
      </c>
    </row>
    <row r="51">
      <c r="A51" t="inlineStr">
        <is>
          <t>23:30</t>
        </is>
      </c>
      <c r="B51" s="54" t="n">
        <v>0.196078431372549</v>
      </c>
      <c r="C51" s="54" t="n">
        <v>0.1222222222222222</v>
      </c>
      <c r="D51" s="54" t="n">
        <v>0.1290322580645161</v>
      </c>
      <c r="E51" s="54" t="n">
        <v>0.1111111111111111</v>
      </c>
      <c r="F51" s="54" t="n">
        <v>0.1720430107526882</v>
      </c>
      <c r="G51" s="54" t="n">
        <v>0.1888888888888889</v>
      </c>
      <c r="H51" s="54" t="n">
        <v>0.2318840579710145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R26"/>
  <sheetViews>
    <sheetView showGridLines="0" workbookViewId="0">
      <selection activeCell="A1" sqref="A1:AR1"/>
    </sheetView>
  </sheetViews>
  <sheetFormatPr baseColWidth="8" defaultRowHeight="15"/>
  <cols>
    <col width="13" customWidth="1" style="45" min="1" max="44"/>
  </cols>
  <sheetData>
    <row r="1">
      <c r="A1" s="48" t="inlineStr">
        <is>
          <t>FT Wise Active - after shrinkage before breaks</t>
        </is>
      </c>
      <c r="B1" s="49" t="n"/>
      <c r="C1" s="49" t="n"/>
      <c r="D1" s="49" t="n"/>
      <c r="E1" s="49" t="n"/>
      <c r="F1" s="49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  <c r="AA1" s="49" t="n"/>
      <c r="AB1" s="49" t="n"/>
      <c r="AC1" s="49" t="n"/>
      <c r="AD1" s="49" t="n"/>
      <c r="AE1" s="49" t="n"/>
      <c r="AF1" s="49" t="n"/>
      <c r="AG1" s="49" t="n"/>
      <c r="AH1" s="49" t="n"/>
      <c r="AI1" s="49" t="n"/>
      <c r="AJ1" s="49" t="n"/>
      <c r="AK1" s="49" t="n"/>
      <c r="AL1" s="49" t="n"/>
      <c r="AM1" s="49" t="n"/>
      <c r="AN1" s="49" t="n"/>
      <c r="AO1" s="49" t="n"/>
      <c r="AP1" s="49" t="n"/>
      <c r="AQ1" s="49" t="n"/>
      <c r="AR1" s="50" t="n"/>
    </row>
    <row r="2" ht="30" customHeight="1" s="45">
      <c r="A2" s="48" t="inlineStr">
        <is>
          <t>Interval</t>
        </is>
      </c>
      <c r="B2" s="48" t="inlineStr">
        <is>
          <t>Sun</t>
        </is>
      </c>
      <c r="C2" s="48" t="inlineStr">
        <is>
          <t>Mon</t>
        </is>
      </c>
      <c r="D2" s="48" t="inlineStr">
        <is>
          <t>Tue</t>
        </is>
      </c>
      <c r="E2" s="48" t="inlineStr">
        <is>
          <t>Wed</t>
        </is>
      </c>
      <c r="F2" s="48" t="inlineStr">
        <is>
          <t>Thu</t>
        </is>
      </c>
      <c r="G2" s="48" t="inlineStr">
        <is>
          <t>Fri</t>
        </is>
      </c>
      <c r="H2" s="48" t="inlineStr">
        <is>
          <t>Sat</t>
        </is>
      </c>
      <c r="I2" s="48" t="n"/>
      <c r="J2" s="48" t="inlineStr">
        <is>
          <t>Staffed HC</t>
        </is>
      </c>
      <c r="K2" s="48" t="inlineStr">
        <is>
          <t>Sun</t>
        </is>
      </c>
      <c r="L2" s="48" t="inlineStr">
        <is>
          <t>Mon</t>
        </is>
      </c>
      <c r="M2" s="48" t="inlineStr">
        <is>
          <t>Tue</t>
        </is>
      </c>
      <c r="N2" s="48" t="inlineStr">
        <is>
          <t>Wed</t>
        </is>
      </c>
      <c r="O2" s="48" t="inlineStr">
        <is>
          <t>Thu</t>
        </is>
      </c>
      <c r="P2" s="48" t="inlineStr">
        <is>
          <t>Fri</t>
        </is>
      </c>
      <c r="Q2" s="48" t="inlineStr">
        <is>
          <t>Sat</t>
        </is>
      </c>
      <c r="R2" s="48" t="n"/>
      <c r="S2" s="48" t="inlineStr">
        <is>
          <t>Shrinkage</t>
        </is>
      </c>
      <c r="T2" s="48" t="inlineStr">
        <is>
          <t>Sun</t>
        </is>
      </c>
      <c r="U2" s="48" t="inlineStr">
        <is>
          <t>Mon</t>
        </is>
      </c>
      <c r="V2" s="48" t="inlineStr">
        <is>
          <t>Tue</t>
        </is>
      </c>
      <c r="W2" s="48" t="inlineStr">
        <is>
          <t>Wed</t>
        </is>
      </c>
      <c r="X2" s="48" t="inlineStr">
        <is>
          <t>Thu</t>
        </is>
      </c>
      <c r="Y2" s="48" t="inlineStr">
        <is>
          <t>Fri</t>
        </is>
      </c>
      <c r="Z2" s="48" t="inlineStr">
        <is>
          <t>Sat</t>
        </is>
      </c>
      <c r="AA2" s="48" t="n"/>
      <c r="AB2" s="48" t="inlineStr">
        <is>
          <t>After Shrinkage</t>
        </is>
      </c>
      <c r="AC2" s="48" t="inlineStr">
        <is>
          <t>Sun</t>
        </is>
      </c>
      <c r="AD2" s="48" t="inlineStr">
        <is>
          <t>Mon</t>
        </is>
      </c>
      <c r="AE2" s="48" t="inlineStr">
        <is>
          <t>Tue</t>
        </is>
      </c>
      <c r="AF2" s="48" t="inlineStr">
        <is>
          <t>Wed</t>
        </is>
      </c>
      <c r="AG2" s="48" t="inlineStr">
        <is>
          <t>Thu</t>
        </is>
      </c>
      <c r="AH2" s="48" t="inlineStr">
        <is>
          <t>Fri</t>
        </is>
      </c>
      <c r="AI2" s="48" t="inlineStr">
        <is>
          <t>Sat</t>
        </is>
      </c>
      <c r="AJ2" s="48" t="n"/>
      <c r="AK2" s="48" t="inlineStr">
        <is>
          <t>Actual/Required %</t>
        </is>
      </c>
      <c r="AL2" s="48" t="inlineStr">
        <is>
          <t>Sun</t>
        </is>
      </c>
      <c r="AM2" s="48" t="inlineStr">
        <is>
          <t>Mon</t>
        </is>
      </c>
      <c r="AN2" s="48" t="inlineStr">
        <is>
          <t>Tue</t>
        </is>
      </c>
      <c r="AO2" s="48" t="inlineStr">
        <is>
          <t>Wed</t>
        </is>
      </c>
      <c r="AP2" s="48" t="inlineStr">
        <is>
          <t>Thu</t>
        </is>
      </c>
      <c r="AQ2" s="48" t="inlineStr">
        <is>
          <t>Fri</t>
        </is>
      </c>
      <c r="AR2" s="48" t="inlineStr">
        <is>
          <t>Sat</t>
        </is>
      </c>
    </row>
    <row r="3">
      <c r="A3" t="inlineStr">
        <is>
          <t>00:00</t>
        </is>
      </c>
      <c r="B3" t="n">
        <v>18.3</v>
      </c>
      <c r="C3" t="n">
        <v>13.2</v>
      </c>
      <c r="D3" t="n">
        <v>18.8</v>
      </c>
      <c r="E3" t="n">
        <v>20.4</v>
      </c>
      <c r="F3" t="n">
        <v>19.6</v>
      </c>
      <c r="G3" t="n">
        <v>20.4</v>
      </c>
      <c r="H3" t="n">
        <v>15.6</v>
      </c>
      <c r="J3" t="n">
        <v>21</v>
      </c>
      <c r="K3" t="n">
        <v>15</v>
      </c>
      <c r="L3" t="n">
        <v>31</v>
      </c>
      <c r="M3" t="n">
        <v>35</v>
      </c>
      <c r="N3" t="n">
        <v>34</v>
      </c>
      <c r="O3" t="n">
        <v>32</v>
      </c>
      <c r="P3" t="n">
        <v>28</v>
      </c>
      <c r="R3" t="n">
        <v>0.1421052631578947</v>
      </c>
      <c r="S3" s="54" t="n">
        <v>0.1125</v>
      </c>
      <c r="T3" s="54" t="n">
        <v>0.07012987012987013</v>
      </c>
      <c r="U3" s="54" t="n">
        <v>0.103030303030303</v>
      </c>
      <c r="V3" s="54" t="n">
        <v>0.08680555555555555</v>
      </c>
      <c r="W3" s="54" t="n">
        <v>0.08522727272727272</v>
      </c>
      <c r="X3" s="54" t="n">
        <v>0.1076388888888889</v>
      </c>
      <c r="Y3" s="54" t="n"/>
      <c r="Z3" t="n">
        <v>18.01578947368421</v>
      </c>
      <c r="AA3" t="n">
        <v>13.3125</v>
      </c>
      <c r="AB3" t="n">
        <v>28.82597402597403</v>
      </c>
      <c r="AC3" t="n">
        <v>31.39393939393939</v>
      </c>
      <c r="AD3" t="n">
        <v>31.04861111111111</v>
      </c>
      <c r="AE3" t="n">
        <v>29.27272727272727</v>
      </c>
      <c r="AF3" t="n">
        <v>24.98611111111111</v>
      </c>
      <c r="AH3" t="n">
        <v>0.9844693701466782</v>
      </c>
      <c r="AI3" s="54" t="n">
        <v>1.008522727272727</v>
      </c>
      <c r="AJ3" s="54" t="n">
        <v>1.533296490743299</v>
      </c>
      <c r="AK3" s="54" t="n">
        <v>1.538918597742127</v>
      </c>
      <c r="AL3" s="54" t="n">
        <v>1.584112811791383</v>
      </c>
      <c r="AM3" s="54" t="n">
        <v>1.4349376114082</v>
      </c>
      <c r="AN3" s="54" t="n">
        <v>1.601673789173789</v>
      </c>
      <c r="AO3" s="54" t="n"/>
    </row>
    <row r="4">
      <c r="A4" t="inlineStr">
        <is>
          <t>01:00</t>
        </is>
      </c>
      <c r="B4" t="n">
        <v>15.1</v>
      </c>
      <c r="C4" t="n">
        <v>11</v>
      </c>
      <c r="D4" t="n">
        <v>15.6</v>
      </c>
      <c r="E4" t="n">
        <v>17.2</v>
      </c>
      <c r="F4" t="n">
        <v>17</v>
      </c>
      <c r="G4" t="n">
        <v>16.4</v>
      </c>
      <c r="H4" t="n">
        <v>12.3</v>
      </c>
      <c r="J4" t="n">
        <v>18</v>
      </c>
      <c r="K4" t="n">
        <v>14</v>
      </c>
      <c r="L4" t="n">
        <v>31</v>
      </c>
      <c r="M4" t="n">
        <v>32</v>
      </c>
      <c r="N4" t="n">
        <v>32</v>
      </c>
      <c r="O4" t="n">
        <v>30</v>
      </c>
      <c r="P4" t="n">
        <v>27</v>
      </c>
      <c r="R4" t="n">
        <v>0.1666666666666667</v>
      </c>
      <c r="S4" s="54" t="n">
        <v>0.1083333333333333</v>
      </c>
      <c r="T4" s="54" t="n">
        <v>0.1244019138755981</v>
      </c>
      <c r="U4" s="54" t="n">
        <v>0.1764705882352941</v>
      </c>
      <c r="V4" s="54" t="n">
        <v>0.1640625</v>
      </c>
      <c r="W4" s="54" t="n">
        <v>0.1477272727272727</v>
      </c>
      <c r="X4" s="54" t="n">
        <v>0.1805555555555556</v>
      </c>
      <c r="Y4" s="54" t="n"/>
      <c r="Z4" t="n">
        <v>15</v>
      </c>
      <c r="AA4" t="n">
        <v>12.48333333333333</v>
      </c>
      <c r="AB4" t="n">
        <v>27.14354066985646</v>
      </c>
      <c r="AC4" t="n">
        <v>26.35294117647059</v>
      </c>
      <c r="AD4" t="n">
        <v>26.75</v>
      </c>
      <c r="AE4" t="n">
        <v>25.56818181818182</v>
      </c>
      <c r="AF4" t="n">
        <v>22.125</v>
      </c>
      <c r="AH4" t="n">
        <v>0.9933774834437085</v>
      </c>
      <c r="AI4" s="54" t="n">
        <v>1.134848484848485</v>
      </c>
      <c r="AJ4" s="54" t="n">
        <v>1.73997055576003</v>
      </c>
      <c r="AK4" s="54" t="n">
        <v>1.532147742818057</v>
      </c>
      <c r="AL4" s="54" t="n">
        <v>1.573529411764706</v>
      </c>
      <c r="AM4" s="54" t="n">
        <v>1.559035476718404</v>
      </c>
      <c r="AN4" s="54" t="n">
        <v>1.798780487804878</v>
      </c>
      <c r="AO4" s="54" t="n"/>
    </row>
    <row r="5">
      <c r="A5" t="inlineStr">
        <is>
          <t>02:00</t>
        </is>
      </c>
      <c r="B5" t="n">
        <v>12.9</v>
      </c>
      <c r="C5" t="n">
        <v>7.5</v>
      </c>
      <c r="D5" t="n">
        <v>14.8</v>
      </c>
      <c r="E5" t="n">
        <v>14.8</v>
      </c>
      <c r="F5" t="n">
        <v>15.6</v>
      </c>
      <c r="G5" t="n">
        <v>13.2</v>
      </c>
      <c r="H5" t="n">
        <v>9.9</v>
      </c>
      <c r="J5" t="n">
        <v>16</v>
      </c>
      <c r="K5" t="n">
        <v>14</v>
      </c>
      <c r="L5" t="n">
        <v>15</v>
      </c>
      <c r="M5" t="n">
        <v>16</v>
      </c>
      <c r="N5" t="n">
        <v>16</v>
      </c>
      <c r="O5" t="n">
        <v>14</v>
      </c>
      <c r="P5" t="n">
        <v>11</v>
      </c>
      <c r="R5" t="n">
        <v>0.1730769230769231</v>
      </c>
      <c r="S5" s="54" t="n">
        <v>0.130952380952381</v>
      </c>
      <c r="T5" s="54" t="n">
        <v>0.1470588235294118</v>
      </c>
      <c r="U5" s="54" t="n">
        <v>0.16875</v>
      </c>
      <c r="V5" s="54" t="n">
        <v>0.1333333333333333</v>
      </c>
      <c r="W5" s="54" t="n">
        <v>0.1136363636363636</v>
      </c>
      <c r="X5" s="54" t="n">
        <v>0.15</v>
      </c>
      <c r="Y5" s="54" t="n"/>
      <c r="Z5" t="n">
        <v>13.23076923076923</v>
      </c>
      <c r="AA5" t="n">
        <v>12.16666666666667</v>
      </c>
      <c r="AB5" t="n">
        <v>12.79411764705882</v>
      </c>
      <c r="AC5" t="n">
        <v>13.3</v>
      </c>
      <c r="AD5" t="n">
        <v>13.86666666666667</v>
      </c>
      <c r="AE5" t="n">
        <v>12.40909090909091</v>
      </c>
      <c r="AF5" t="n">
        <v>9.35</v>
      </c>
      <c r="AH5" t="n">
        <v>1.025641025641026</v>
      </c>
      <c r="AI5" s="54" t="n">
        <v>1.622222222222222</v>
      </c>
      <c r="AJ5" s="54" t="n">
        <v>0.8644674085850556</v>
      </c>
      <c r="AK5" s="54" t="n">
        <v>0.8986486486486487</v>
      </c>
      <c r="AL5" s="54" t="n">
        <v>0.888888888888889</v>
      </c>
      <c r="AM5" s="54" t="n">
        <v>0.9400826446280992</v>
      </c>
      <c r="AN5" s="54" t="n">
        <v>0.9444444444444444</v>
      </c>
      <c r="AO5" s="54" t="n"/>
    </row>
    <row r="6">
      <c r="A6" t="inlineStr">
        <is>
          <t>03:00</t>
        </is>
      </c>
      <c r="B6" t="n">
        <v>10.8</v>
      </c>
      <c r="C6" t="n">
        <v>6.4</v>
      </c>
      <c r="D6" t="n">
        <v>11</v>
      </c>
      <c r="E6" t="n">
        <v>11.2</v>
      </c>
      <c r="F6" t="n">
        <v>12.8</v>
      </c>
      <c r="G6" t="n">
        <v>11.2</v>
      </c>
      <c r="H6" t="n">
        <v>8</v>
      </c>
      <c r="J6" t="n">
        <v>15</v>
      </c>
      <c r="K6" t="n">
        <v>11</v>
      </c>
      <c r="L6" t="n">
        <v>14</v>
      </c>
      <c r="M6" t="n">
        <v>13</v>
      </c>
      <c r="N6" t="n">
        <v>13</v>
      </c>
      <c r="O6" t="n">
        <v>13</v>
      </c>
      <c r="P6" t="n">
        <v>10</v>
      </c>
      <c r="R6" t="n">
        <v>0.1648351648351648</v>
      </c>
      <c r="S6" s="54" t="n">
        <v>0.1428571428571428</v>
      </c>
      <c r="T6" s="54" t="n">
        <v>0.1416666666666667</v>
      </c>
      <c r="U6" s="54" t="n">
        <v>0.15</v>
      </c>
      <c r="V6" s="54" t="n">
        <v>0.1083333333333333</v>
      </c>
      <c r="W6" s="54" t="n">
        <v>0.1103896103896104</v>
      </c>
      <c r="X6" s="54" t="n">
        <v>0.1648351648351648</v>
      </c>
      <c r="Y6" s="54" t="n"/>
      <c r="Z6" t="n">
        <v>12.52747252747253</v>
      </c>
      <c r="AA6" t="n">
        <v>9.428571428571429</v>
      </c>
      <c r="AB6" t="n">
        <v>12.01666666666667</v>
      </c>
      <c r="AC6" t="n">
        <v>11.05</v>
      </c>
      <c r="AD6" t="n">
        <v>11.59166666666667</v>
      </c>
      <c r="AE6" t="n">
        <v>11.56493506493507</v>
      </c>
      <c r="AF6" t="n">
        <v>8.351648351648352</v>
      </c>
      <c r="AH6" t="n">
        <v>1.15995115995116</v>
      </c>
      <c r="AI6" s="54" t="n">
        <v>1.473214285714286</v>
      </c>
      <c r="AJ6" s="54" t="n">
        <v>1.092424242424242</v>
      </c>
      <c r="AK6" s="54" t="n">
        <v>0.9866071428571428</v>
      </c>
      <c r="AL6" s="54" t="n">
        <v>0.9055989583333333</v>
      </c>
      <c r="AM6" s="54" t="n">
        <v>1.032583487940631</v>
      </c>
      <c r="AN6" s="54" t="n">
        <v>1.043956043956044</v>
      </c>
      <c r="AO6" s="54" t="n"/>
    </row>
    <row r="7">
      <c r="A7" t="inlineStr">
        <is>
          <t>04:00</t>
        </is>
      </c>
      <c r="B7" t="n">
        <v>8.6</v>
      </c>
      <c r="C7" t="n">
        <v>7.1</v>
      </c>
      <c r="D7" t="n">
        <v>10</v>
      </c>
      <c r="E7" t="n">
        <v>9.5</v>
      </c>
      <c r="F7" t="n">
        <v>10.3</v>
      </c>
      <c r="G7" t="n">
        <v>9.5</v>
      </c>
      <c r="H7" t="n">
        <v>8.699999999999999</v>
      </c>
      <c r="J7" t="n">
        <v>11</v>
      </c>
      <c r="K7" t="n">
        <v>10</v>
      </c>
      <c r="L7" t="n">
        <v>13</v>
      </c>
      <c r="M7" t="n">
        <v>12</v>
      </c>
      <c r="N7" t="n">
        <v>12</v>
      </c>
      <c r="O7" t="n">
        <v>13</v>
      </c>
      <c r="P7" t="n">
        <v>10</v>
      </c>
      <c r="R7" t="n">
        <v>0.1688311688311688</v>
      </c>
      <c r="S7" s="54" t="n">
        <v>0.1587301587301587</v>
      </c>
      <c r="T7" s="54" t="n">
        <v>0.1442307692307692</v>
      </c>
      <c r="U7" s="54" t="n">
        <v>0.1507936507936508</v>
      </c>
      <c r="V7" s="54" t="n">
        <v>0.1318681318681319</v>
      </c>
      <c r="W7" s="54" t="n">
        <v>0.1048951048951049</v>
      </c>
      <c r="X7" s="54" t="n">
        <v>0.1688311688311688</v>
      </c>
      <c r="Y7" s="54" t="n"/>
      <c r="Z7" t="n">
        <v>9.142857142857144</v>
      </c>
      <c r="AA7" t="n">
        <v>8.412698412698413</v>
      </c>
      <c r="AB7" t="n">
        <v>11.125</v>
      </c>
      <c r="AC7" t="n">
        <v>10.19047619047619</v>
      </c>
      <c r="AD7" t="n">
        <v>10.41758241758242</v>
      </c>
      <c r="AE7" t="n">
        <v>11.63636363636364</v>
      </c>
      <c r="AF7" t="n">
        <v>8.311688311688313</v>
      </c>
      <c r="AH7" t="n">
        <v>1.06312292358804</v>
      </c>
      <c r="AI7" s="54" t="n">
        <v>1.184887100380058</v>
      </c>
      <c r="AJ7" s="54" t="n">
        <v>1.1125</v>
      </c>
      <c r="AK7" s="54" t="n">
        <v>1.072681704260652</v>
      </c>
      <c r="AL7" s="54" t="n">
        <v>1.011415768697322</v>
      </c>
      <c r="AM7" s="54" t="n">
        <v>1.22488038277512</v>
      </c>
      <c r="AN7" s="54" t="n">
        <v>0.9553664726078521</v>
      </c>
      <c r="AO7" s="54" t="n"/>
    </row>
    <row r="8">
      <c r="A8" t="inlineStr">
        <is>
          <t>05:00</t>
        </is>
      </c>
      <c r="B8" t="n">
        <v>5.9</v>
      </c>
      <c r="C8" t="n">
        <v>6.3</v>
      </c>
      <c r="D8" t="n">
        <v>8.6</v>
      </c>
      <c r="E8" t="n">
        <v>8.6</v>
      </c>
      <c r="F8" t="n">
        <v>8.6</v>
      </c>
      <c r="G8" t="n">
        <v>8.6</v>
      </c>
      <c r="H8" t="n">
        <v>8.6</v>
      </c>
      <c r="J8" t="n">
        <v>9</v>
      </c>
      <c r="K8" t="n">
        <v>9</v>
      </c>
      <c r="L8" t="n">
        <v>12</v>
      </c>
      <c r="M8" t="n">
        <v>11</v>
      </c>
      <c r="N8" t="n">
        <v>11</v>
      </c>
      <c r="O8" t="n">
        <v>13</v>
      </c>
      <c r="P8" t="n">
        <v>10</v>
      </c>
      <c r="R8" t="n">
        <v>0.1142857142857143</v>
      </c>
      <c r="S8" s="54" t="n">
        <v>0.1428571428571428</v>
      </c>
      <c r="T8" s="54" t="n">
        <v>0.1190476190476191</v>
      </c>
      <c r="U8" s="54" t="n">
        <v>0.125</v>
      </c>
      <c r="V8" s="54" t="n">
        <v>0.130952380952381</v>
      </c>
      <c r="W8" s="54" t="n">
        <v>0.1136363636363636</v>
      </c>
      <c r="X8" s="54" t="n">
        <v>0.1571428571428571</v>
      </c>
      <c r="Y8" s="54" t="n"/>
      <c r="Z8" t="n">
        <v>7.971428571428572</v>
      </c>
      <c r="AA8" t="n">
        <v>7.714285714285715</v>
      </c>
      <c r="AB8" t="n">
        <v>10.57142857142857</v>
      </c>
      <c r="AC8" t="n">
        <v>9.625</v>
      </c>
      <c r="AD8" t="n">
        <v>9.55952380952381</v>
      </c>
      <c r="AE8" t="n">
        <v>11.52272727272727</v>
      </c>
      <c r="AF8" t="n">
        <v>8.428571428571429</v>
      </c>
      <c r="AH8" t="n">
        <v>1.351089588377724</v>
      </c>
      <c r="AI8" s="54" t="n">
        <v>1.224489795918368</v>
      </c>
      <c r="AJ8" s="54" t="n">
        <v>1.229235880398671</v>
      </c>
      <c r="AK8" s="54" t="n">
        <v>1.119186046511628</v>
      </c>
      <c r="AL8" s="54" t="n">
        <v>1.111572535991141</v>
      </c>
      <c r="AM8" s="54" t="n">
        <v>1.33985200845666</v>
      </c>
      <c r="AN8" s="54" t="n">
        <v>0.9800664451827243</v>
      </c>
      <c r="AO8" s="54" t="n"/>
    </row>
    <row r="9">
      <c r="A9" t="inlineStr">
        <is>
          <t>06:00</t>
        </is>
      </c>
      <c r="B9" t="n">
        <v>4.8</v>
      </c>
      <c r="C9" t="n">
        <v>5</v>
      </c>
      <c r="D9" t="n">
        <v>6.5</v>
      </c>
      <c r="E9" t="n">
        <v>6.5</v>
      </c>
      <c r="F9" t="n">
        <v>6.5</v>
      </c>
      <c r="G9" t="n">
        <v>6.5</v>
      </c>
      <c r="H9" t="n">
        <v>6.5</v>
      </c>
      <c r="J9" t="n">
        <v>8</v>
      </c>
      <c r="K9" t="n">
        <v>9</v>
      </c>
      <c r="L9" t="n">
        <v>12</v>
      </c>
      <c r="M9" t="n">
        <v>11</v>
      </c>
      <c r="N9" t="n">
        <v>11</v>
      </c>
      <c r="O9" t="n">
        <v>13</v>
      </c>
      <c r="P9" t="n">
        <v>10</v>
      </c>
      <c r="R9" t="n">
        <v>0.12</v>
      </c>
      <c r="S9" s="54" t="n">
        <v>0.1428571428571428</v>
      </c>
      <c r="T9" s="54" t="n">
        <v>0.1590909090909091</v>
      </c>
      <c r="U9" s="54" t="n">
        <v>0.1136363636363636</v>
      </c>
      <c r="V9" s="54" t="n">
        <v>0.1515151515151515</v>
      </c>
      <c r="W9" s="54" t="n">
        <v>0.09090909090909091</v>
      </c>
      <c r="X9" s="54" t="n">
        <v>0.1851851851851852</v>
      </c>
      <c r="Y9" s="54" t="n"/>
      <c r="Z9" t="n">
        <v>7.04</v>
      </c>
      <c r="AA9" t="n">
        <v>7.714285714285715</v>
      </c>
      <c r="AB9" t="n">
        <v>10.09090909090909</v>
      </c>
      <c r="AC9" t="n">
        <v>9.75</v>
      </c>
      <c r="AD9" t="n">
        <v>9.333333333333334</v>
      </c>
      <c r="AE9" t="n">
        <v>11.81818181818182</v>
      </c>
      <c r="AF9" t="n">
        <v>8.148148148148147</v>
      </c>
      <c r="AH9" t="n">
        <v>1.466666666666667</v>
      </c>
      <c r="AI9" s="54" t="n">
        <v>1.542857142857143</v>
      </c>
      <c r="AJ9" s="54" t="n">
        <v>1.552447552447553</v>
      </c>
      <c r="AK9" s="54" t="n">
        <v>1.5</v>
      </c>
      <c r="AL9" s="54" t="n">
        <v>1.435897435897436</v>
      </c>
      <c r="AM9" s="54" t="n">
        <v>1.818181818181818</v>
      </c>
      <c r="AN9" s="54" t="n">
        <v>1.253561253561253</v>
      </c>
      <c r="AO9" s="54" t="n"/>
    </row>
    <row r="10">
      <c r="A10" t="inlineStr">
        <is>
          <t>07:00</t>
        </is>
      </c>
      <c r="S10" s="54" t="n"/>
      <c r="T10" s="54" t="n"/>
      <c r="U10" s="54" t="n"/>
      <c r="V10" s="54" t="n"/>
      <c r="W10" s="54" t="n"/>
      <c r="X10" s="54" t="n"/>
      <c r="Y10" s="54" t="n"/>
      <c r="AI10" s="54" t="n"/>
      <c r="AJ10" s="54" t="n"/>
      <c r="AK10" s="54" t="n"/>
      <c r="AL10" s="54" t="n"/>
      <c r="AM10" s="54" t="n"/>
      <c r="AN10" s="54" t="n"/>
      <c r="AO10" s="54" t="n"/>
    </row>
    <row r="11">
      <c r="A11" t="inlineStr">
        <is>
          <t>08:00</t>
        </is>
      </c>
      <c r="S11" s="54" t="n"/>
      <c r="T11" s="54" t="n"/>
      <c r="U11" s="54" t="n"/>
      <c r="V11" s="54" t="n"/>
      <c r="W11" s="54" t="n"/>
      <c r="X11" s="54" t="n"/>
      <c r="Y11" s="54" t="n"/>
      <c r="AI11" s="54" t="n"/>
      <c r="AJ11" s="54" t="n"/>
      <c r="AK11" s="54" t="n"/>
      <c r="AL11" s="54" t="n"/>
      <c r="AM11" s="54" t="n"/>
      <c r="AN11" s="54" t="n"/>
      <c r="AO11" s="54" t="n"/>
    </row>
    <row r="12">
      <c r="A12" t="inlineStr">
        <is>
          <t>09:00</t>
        </is>
      </c>
      <c r="S12" s="54" t="n"/>
      <c r="T12" s="54" t="n"/>
      <c r="U12" s="54" t="n"/>
      <c r="V12" s="54" t="n"/>
      <c r="W12" s="54" t="n"/>
      <c r="X12" s="54" t="n"/>
      <c r="Y12" s="54" t="n"/>
      <c r="AI12" s="54" t="n"/>
      <c r="AJ12" s="54" t="n"/>
      <c r="AK12" s="54" t="n"/>
      <c r="AL12" s="54" t="n"/>
      <c r="AM12" s="54" t="n"/>
      <c r="AN12" s="54" t="n"/>
      <c r="AO12" s="54" t="n"/>
    </row>
    <row r="13">
      <c r="A13" t="inlineStr">
        <is>
          <t>10:00</t>
        </is>
      </c>
      <c r="S13" s="54" t="n"/>
      <c r="T13" s="54" t="n"/>
      <c r="U13" s="54" t="n"/>
      <c r="V13" s="54" t="n"/>
      <c r="W13" s="54" t="n"/>
      <c r="X13" s="54" t="n"/>
      <c r="Y13" s="54" t="n"/>
      <c r="AI13" s="54" t="n"/>
      <c r="AJ13" s="54" t="n"/>
      <c r="AK13" s="54" t="n"/>
      <c r="AL13" s="54" t="n"/>
      <c r="AM13" s="54" t="n"/>
      <c r="AN13" s="54" t="n"/>
      <c r="AO13" s="54" t="n"/>
    </row>
    <row r="14">
      <c r="A14" t="inlineStr">
        <is>
          <t>11:00</t>
        </is>
      </c>
      <c r="S14" s="54" t="n"/>
      <c r="T14" s="54" t="n"/>
      <c r="U14" s="54" t="n"/>
      <c r="V14" s="54" t="n"/>
      <c r="W14" s="54" t="n"/>
      <c r="X14" s="54" t="n"/>
      <c r="Y14" s="54" t="n"/>
      <c r="AI14" s="54" t="n"/>
      <c r="AJ14" s="54" t="n"/>
      <c r="AK14" s="54" t="n"/>
      <c r="AL14" s="54" t="n"/>
      <c r="AM14" s="54" t="n"/>
      <c r="AN14" s="54" t="n"/>
      <c r="AO14" s="54" t="n"/>
    </row>
    <row r="15">
      <c r="A15" t="inlineStr">
        <is>
          <t>12:00</t>
        </is>
      </c>
      <c r="S15" s="54" t="n"/>
      <c r="T15" s="54" t="n"/>
      <c r="U15" s="54" t="n"/>
      <c r="V15" s="54" t="n"/>
      <c r="W15" s="54" t="n"/>
      <c r="X15" s="54" t="n"/>
      <c r="Y15" s="54" t="n"/>
      <c r="AI15" s="54" t="n"/>
      <c r="AJ15" s="54" t="n"/>
      <c r="AK15" s="54" t="n"/>
      <c r="AL15" s="54" t="n"/>
      <c r="AM15" s="54" t="n"/>
      <c r="AN15" s="54" t="n"/>
      <c r="AO15" s="54" t="n"/>
    </row>
    <row r="16">
      <c r="A16" t="inlineStr">
        <is>
          <t>13:00</t>
        </is>
      </c>
      <c r="B16" t="n">
        <v>2.1</v>
      </c>
      <c r="C16" t="n">
        <v>3.4</v>
      </c>
      <c r="D16" t="n">
        <v>3.4</v>
      </c>
      <c r="E16" t="n">
        <v>4.2</v>
      </c>
      <c r="F16" t="n">
        <v>3.4</v>
      </c>
      <c r="G16" t="n">
        <v>3.4</v>
      </c>
      <c r="H16" t="n">
        <v>2.9</v>
      </c>
      <c r="J16" t="n">
        <v>3</v>
      </c>
      <c r="K16" t="n">
        <v>8</v>
      </c>
      <c r="L16" t="n">
        <v>4</v>
      </c>
      <c r="M16" t="n">
        <v>5</v>
      </c>
      <c r="N16" t="n">
        <v>5</v>
      </c>
      <c r="O16" t="n">
        <v>5</v>
      </c>
      <c r="P16" t="n">
        <v>3</v>
      </c>
      <c r="R16" t="n">
        <v>0.2</v>
      </c>
      <c r="S16" s="54" t="n">
        <v>0.2857142857142857</v>
      </c>
      <c r="T16" s="54" t="n">
        <v>0.1428571428571428</v>
      </c>
      <c r="U16" s="54" t="n">
        <v>0.125</v>
      </c>
      <c r="V16" s="54" t="n">
        <v>0.3</v>
      </c>
      <c r="W16" s="54" t="n">
        <v>0.2666666666666667</v>
      </c>
      <c r="X16" s="54" t="n">
        <v>0.125</v>
      </c>
      <c r="Y16" s="54" t="n"/>
      <c r="Z16" t="n">
        <v>2.4</v>
      </c>
      <c r="AA16" t="n">
        <v>5.714285714285714</v>
      </c>
      <c r="AB16" t="n">
        <v>3.428571428571429</v>
      </c>
      <c r="AC16" t="n">
        <v>4.375</v>
      </c>
      <c r="AD16" t="n">
        <v>3.5</v>
      </c>
      <c r="AE16" t="n">
        <v>3.666666666666667</v>
      </c>
      <c r="AF16" t="n">
        <v>2.625</v>
      </c>
      <c r="AH16" t="n">
        <v>1.142857142857143</v>
      </c>
      <c r="AI16" s="54" t="n">
        <v>1.680672268907563</v>
      </c>
      <c r="AJ16" s="54" t="n">
        <v>1.008403361344538</v>
      </c>
      <c r="AK16" s="54" t="n">
        <v>1.041666666666667</v>
      </c>
      <c r="AL16" s="54" t="n">
        <v>1.029411764705882</v>
      </c>
      <c r="AM16" s="54" t="n">
        <v>1.07843137254902</v>
      </c>
      <c r="AN16" s="54" t="n">
        <v>0.9051724137931034</v>
      </c>
      <c r="AO16" s="54" t="n"/>
    </row>
    <row r="17">
      <c r="A17" t="inlineStr">
        <is>
          <t>14:00</t>
        </is>
      </c>
      <c r="B17" t="n">
        <v>3.4</v>
      </c>
      <c r="C17" t="n">
        <v>6.6</v>
      </c>
      <c r="D17" t="n">
        <v>6.6</v>
      </c>
      <c r="E17" t="n">
        <v>6.6</v>
      </c>
      <c r="F17" t="n">
        <v>6.6</v>
      </c>
      <c r="G17" t="n">
        <v>5.8</v>
      </c>
      <c r="H17" t="n">
        <v>5.8</v>
      </c>
      <c r="J17" t="n">
        <v>4</v>
      </c>
      <c r="K17" t="n">
        <v>8</v>
      </c>
      <c r="L17" t="n">
        <v>7</v>
      </c>
      <c r="M17" t="n">
        <v>7</v>
      </c>
      <c r="N17" t="n">
        <v>7</v>
      </c>
      <c r="O17" t="n">
        <v>6</v>
      </c>
      <c r="P17" t="n">
        <v>6</v>
      </c>
      <c r="R17" t="n">
        <v>0.1836734693877551</v>
      </c>
      <c r="S17" s="54" t="n">
        <v>0.1875</v>
      </c>
      <c r="T17" s="54" t="n">
        <v>0.1041666666666667</v>
      </c>
      <c r="U17" s="54" t="n">
        <v>0.08928571428571429</v>
      </c>
      <c r="V17" s="54" t="n">
        <v>0.1571428571428571</v>
      </c>
      <c r="W17" s="54" t="n">
        <v>0.141025641025641</v>
      </c>
      <c r="X17" s="54" t="n">
        <v>0.08928571428571429</v>
      </c>
      <c r="Y17" s="54" t="n"/>
      <c r="Z17" t="n">
        <v>3.26530612244898</v>
      </c>
      <c r="AA17" t="n">
        <v>6.5</v>
      </c>
      <c r="AB17" t="n">
        <v>6.270833333333333</v>
      </c>
      <c r="AC17" t="n">
        <v>6.375</v>
      </c>
      <c r="AD17" t="n">
        <v>5.9</v>
      </c>
      <c r="AE17" t="n">
        <v>5.153846153846154</v>
      </c>
      <c r="AF17" t="n">
        <v>5.464285714285714</v>
      </c>
      <c r="AH17" t="n">
        <v>0.9603841536614647</v>
      </c>
      <c r="AI17" s="54" t="n">
        <v>0.9848484848484849</v>
      </c>
      <c r="AJ17" s="54" t="n">
        <v>0.9501262626262627</v>
      </c>
      <c r="AK17" s="54" t="n">
        <v>0.9659090909090909</v>
      </c>
      <c r="AL17" s="54" t="n">
        <v>0.893939393939394</v>
      </c>
      <c r="AM17" s="54" t="n">
        <v>0.8885941644562335</v>
      </c>
      <c r="AN17" s="54" t="n">
        <v>0.9421182266009853</v>
      </c>
      <c r="AO17" s="54" t="n"/>
    </row>
    <row r="18">
      <c r="A18" t="inlineStr">
        <is>
          <t>15:00</t>
        </is>
      </c>
      <c r="B18" t="n">
        <v>6.8</v>
      </c>
      <c r="C18" t="n">
        <v>13.7</v>
      </c>
      <c r="D18" t="n">
        <v>12.9</v>
      </c>
      <c r="E18" t="n">
        <v>12.9</v>
      </c>
      <c r="F18" t="n">
        <v>12.1</v>
      </c>
      <c r="G18" t="n">
        <v>12.9</v>
      </c>
      <c r="H18" t="n">
        <v>10</v>
      </c>
      <c r="J18" t="n">
        <v>13</v>
      </c>
      <c r="K18" t="n">
        <v>15</v>
      </c>
      <c r="L18" t="n">
        <v>13</v>
      </c>
      <c r="M18" t="n">
        <v>13</v>
      </c>
      <c r="N18" t="n">
        <v>15</v>
      </c>
      <c r="O18" t="n">
        <v>15</v>
      </c>
      <c r="P18" t="n">
        <v>16</v>
      </c>
      <c r="R18" t="n">
        <v>0.125</v>
      </c>
      <c r="S18" s="54" t="n">
        <v>0.1818181818181818</v>
      </c>
      <c r="T18" s="54" t="n">
        <v>0.1111111111111111</v>
      </c>
      <c r="U18" s="54" t="n">
        <v>0.09027777777777778</v>
      </c>
      <c r="V18" s="54" t="n">
        <v>0.1833333333333333</v>
      </c>
      <c r="W18" s="54" t="n">
        <v>0.1607142857142857</v>
      </c>
      <c r="X18" s="54" t="n">
        <v>0.1</v>
      </c>
      <c r="Y18" s="54" t="n"/>
      <c r="Z18" t="n">
        <v>11.375</v>
      </c>
      <c r="AA18" t="n">
        <v>12.27272727272727</v>
      </c>
      <c r="AB18" t="n">
        <v>11.55555555555556</v>
      </c>
      <c r="AC18" t="n">
        <v>11.82638888888889</v>
      </c>
      <c r="AD18" t="n">
        <v>12.25</v>
      </c>
      <c r="AE18" t="n">
        <v>12.58928571428572</v>
      </c>
      <c r="AF18" t="n">
        <v>14.4</v>
      </c>
      <c r="AH18" t="n">
        <v>1.672794117647059</v>
      </c>
      <c r="AI18" s="54" t="n">
        <v>0.8958195089581952</v>
      </c>
      <c r="AJ18" s="54" t="n">
        <v>0.8957795004306632</v>
      </c>
      <c r="AK18" s="54" t="n">
        <v>0.9167743324720069</v>
      </c>
      <c r="AL18" s="54" t="n">
        <v>1.012396694214876</v>
      </c>
      <c r="AM18" s="54" t="n">
        <v>0.9759136212624585</v>
      </c>
      <c r="AN18" s="54" t="n">
        <v>1.44</v>
      </c>
      <c r="AO18" s="54" t="n"/>
    </row>
    <row r="19">
      <c r="A19" t="inlineStr">
        <is>
          <t>16:00</t>
        </is>
      </c>
      <c r="B19" t="n">
        <v>7.5</v>
      </c>
      <c r="C19" t="n">
        <v>15.6</v>
      </c>
      <c r="D19" t="n">
        <v>15.6</v>
      </c>
      <c r="E19" t="n">
        <v>16.4</v>
      </c>
      <c r="F19" t="n">
        <v>15.6</v>
      </c>
      <c r="G19" t="n">
        <v>17.2</v>
      </c>
      <c r="H19" t="n">
        <v>10.7</v>
      </c>
      <c r="J19" t="n">
        <v>16</v>
      </c>
      <c r="K19" t="n">
        <v>16</v>
      </c>
      <c r="L19" t="n">
        <v>16</v>
      </c>
      <c r="M19" t="n">
        <v>16</v>
      </c>
      <c r="N19" t="n">
        <v>16</v>
      </c>
      <c r="O19" t="n">
        <v>16</v>
      </c>
      <c r="P19" t="n">
        <v>20</v>
      </c>
      <c r="R19" t="n">
        <v>0.1367521367521367</v>
      </c>
      <c r="S19" s="54" t="n">
        <v>0.07037037037037036</v>
      </c>
      <c r="T19" s="54" t="n">
        <v>0.05862068965517241</v>
      </c>
      <c r="U19" s="54" t="n">
        <v>0.053125</v>
      </c>
      <c r="V19" s="54" t="n">
        <v>0.09285714285714286</v>
      </c>
      <c r="W19" s="54" t="n">
        <v>0.08984375</v>
      </c>
      <c r="X19" s="54" t="n">
        <v>0.1043478260869565</v>
      </c>
      <c r="Y19" s="54" t="n"/>
      <c r="Z19" t="n">
        <v>13.81196581196581</v>
      </c>
      <c r="AA19" t="n">
        <v>14.87407407407407</v>
      </c>
      <c r="AB19" t="n">
        <v>15.06206896551724</v>
      </c>
      <c r="AC19" t="n">
        <v>15.15</v>
      </c>
      <c r="AD19" t="n">
        <v>14.51428571428571</v>
      </c>
      <c r="AE19" t="n">
        <v>14.5625</v>
      </c>
      <c r="AF19" t="n">
        <v>17.91304347826087</v>
      </c>
      <c r="AH19" t="n">
        <v>1.841595441595442</v>
      </c>
      <c r="AI19" s="54" t="n">
        <v>0.9534662867996201</v>
      </c>
      <c r="AJ19" s="54" t="n">
        <v>0.9655172413793104</v>
      </c>
      <c r="AK19" s="54" t="n">
        <v>0.9237804878048782</v>
      </c>
      <c r="AL19" s="54" t="n">
        <v>0.9304029304029304</v>
      </c>
      <c r="AM19" s="54" t="n">
        <v>0.8466569767441861</v>
      </c>
      <c r="AN19" s="54" t="n">
        <v>1.674116212921577</v>
      </c>
      <c r="AO19" s="54" t="n"/>
    </row>
    <row r="20">
      <c r="A20" t="inlineStr">
        <is>
          <t>17:00</t>
        </is>
      </c>
      <c r="B20" t="n">
        <v>14</v>
      </c>
      <c r="C20" t="n">
        <v>25.8</v>
      </c>
      <c r="D20" t="n">
        <v>20.2</v>
      </c>
      <c r="E20" t="n">
        <v>24.2</v>
      </c>
      <c r="F20" t="n">
        <v>21.8</v>
      </c>
      <c r="G20" t="n">
        <v>24.2</v>
      </c>
      <c r="H20" t="n">
        <v>18.3</v>
      </c>
      <c r="J20" t="n">
        <v>16</v>
      </c>
      <c r="K20" t="n">
        <v>32</v>
      </c>
      <c r="L20" t="n">
        <v>32</v>
      </c>
      <c r="M20" t="n">
        <v>32</v>
      </c>
      <c r="N20" t="n">
        <v>32</v>
      </c>
      <c r="O20" t="n">
        <v>32</v>
      </c>
      <c r="P20" t="n">
        <v>20</v>
      </c>
      <c r="R20" t="n">
        <v>0.1241830065359477</v>
      </c>
      <c r="S20" s="54" t="n">
        <v>0.08484848484848485</v>
      </c>
      <c r="T20" s="54" t="n">
        <v>0.06969696969696969</v>
      </c>
      <c r="U20" s="54" t="n">
        <v>0.06336088154269973</v>
      </c>
      <c r="V20" s="54" t="n">
        <v>0.1133333333333333</v>
      </c>
      <c r="W20" s="54" t="n">
        <v>0.1213235294117647</v>
      </c>
      <c r="X20" s="54" t="n">
        <v>0.1347826086956522</v>
      </c>
      <c r="Y20" s="54" t="n"/>
      <c r="Z20" t="n">
        <v>14.01307189542484</v>
      </c>
      <c r="AA20" t="n">
        <v>29.28484848484849</v>
      </c>
      <c r="AB20" t="n">
        <v>29.76969696969697</v>
      </c>
      <c r="AC20" t="n">
        <v>29.97245179063361</v>
      </c>
      <c r="AD20" t="n">
        <v>28.37333333333333</v>
      </c>
      <c r="AE20" t="n">
        <v>28.11764705882353</v>
      </c>
      <c r="AF20" t="n">
        <v>17.30434782608696</v>
      </c>
      <c r="AH20" t="n">
        <v>1.00093370681606</v>
      </c>
      <c r="AI20" s="54" t="n">
        <v>1.135071646699554</v>
      </c>
      <c r="AJ20" s="54" t="n">
        <v>1.473747374737474</v>
      </c>
      <c r="AK20" s="54" t="n">
        <v>1.238531065728662</v>
      </c>
      <c r="AL20" s="54" t="n">
        <v>1.301529051987768</v>
      </c>
      <c r="AM20" s="54" t="n">
        <v>1.161886242100146</v>
      </c>
      <c r="AN20" s="54" t="n">
        <v>0.9455927773818009</v>
      </c>
      <c r="AO20" s="54" t="n"/>
    </row>
    <row r="21">
      <c r="A21" t="inlineStr">
        <is>
          <t>18:00</t>
        </is>
      </c>
      <c r="B21" t="n">
        <v>14.3</v>
      </c>
      <c r="C21" t="n">
        <v>25.8</v>
      </c>
      <c r="D21" t="n">
        <v>21</v>
      </c>
      <c r="E21" t="n">
        <v>25</v>
      </c>
      <c r="F21" t="n">
        <v>22.6</v>
      </c>
      <c r="G21" t="n">
        <v>25</v>
      </c>
      <c r="H21" t="n">
        <v>18.6</v>
      </c>
      <c r="J21" t="n">
        <v>16</v>
      </c>
      <c r="K21" t="n">
        <v>32</v>
      </c>
      <c r="L21" t="n">
        <v>32</v>
      </c>
      <c r="M21" t="n">
        <v>32</v>
      </c>
      <c r="N21" t="n">
        <v>32</v>
      </c>
      <c r="O21" t="n">
        <v>32</v>
      </c>
      <c r="P21" t="n">
        <v>20</v>
      </c>
      <c r="R21" t="n">
        <v>0.1241830065359477</v>
      </c>
      <c r="S21" s="54" t="n">
        <v>0.08522727272727272</v>
      </c>
      <c r="T21" s="54" t="n">
        <v>0.07954545454545454</v>
      </c>
      <c r="U21" s="54" t="n">
        <v>0.07272727272727272</v>
      </c>
      <c r="V21" s="54" t="n">
        <v>0.1161290322580645</v>
      </c>
      <c r="W21" s="54" t="n">
        <v>0.1284722222222222</v>
      </c>
      <c r="X21" s="54" t="n">
        <v>0.1347826086956522</v>
      </c>
      <c r="Y21" s="54" t="n"/>
      <c r="Z21" t="n">
        <v>14.01307189542484</v>
      </c>
      <c r="AA21" t="n">
        <v>29.27272727272727</v>
      </c>
      <c r="AB21" t="n">
        <v>29.45454545454545</v>
      </c>
      <c r="AC21" t="n">
        <v>29.67272727272727</v>
      </c>
      <c r="AD21" t="n">
        <v>28.28387096774194</v>
      </c>
      <c r="AE21" t="n">
        <v>27.88888888888889</v>
      </c>
      <c r="AF21" t="n">
        <v>17.30434782608696</v>
      </c>
      <c r="AH21" t="n">
        <v>0.9799350975821564</v>
      </c>
      <c r="AI21" s="54" t="n">
        <v>1.134601832276251</v>
      </c>
      <c r="AJ21" s="54" t="n">
        <v>1.402597402597403</v>
      </c>
      <c r="AK21" s="54" t="n">
        <v>1.186909090909091</v>
      </c>
      <c r="AL21" s="54" t="n">
        <v>1.251498715386811</v>
      </c>
      <c r="AM21" s="54" t="n">
        <v>1.115555555555556</v>
      </c>
      <c r="AN21" s="54" t="n">
        <v>0.930341280972417</v>
      </c>
      <c r="AO21" s="54" t="n"/>
    </row>
    <row r="22">
      <c r="A22" t="inlineStr">
        <is>
          <t>19:00</t>
        </is>
      </c>
      <c r="B22" t="n">
        <v>15.1</v>
      </c>
      <c r="C22" t="n">
        <v>25</v>
      </c>
      <c r="D22" t="n">
        <v>22.6</v>
      </c>
      <c r="E22" t="n">
        <v>25</v>
      </c>
      <c r="F22" t="n">
        <v>24.2</v>
      </c>
      <c r="G22" t="n">
        <v>25</v>
      </c>
      <c r="H22" t="n">
        <v>19.4</v>
      </c>
      <c r="J22" t="n">
        <v>17</v>
      </c>
      <c r="K22" t="n">
        <v>33</v>
      </c>
      <c r="L22" t="n">
        <v>33</v>
      </c>
      <c r="M22" t="n">
        <v>33</v>
      </c>
      <c r="N22" t="n">
        <v>32</v>
      </c>
      <c r="O22" t="n">
        <v>32</v>
      </c>
      <c r="P22" t="n">
        <v>21</v>
      </c>
      <c r="R22" t="n">
        <v>0.117283950617284</v>
      </c>
      <c r="S22" s="54" t="n">
        <v>0.08522727272727272</v>
      </c>
      <c r="T22" s="54" t="n">
        <v>0.07954545454545454</v>
      </c>
      <c r="U22" s="54" t="n">
        <v>0.07272727272727272</v>
      </c>
      <c r="V22" s="54" t="n">
        <v>0.1161290322580645</v>
      </c>
      <c r="W22" s="54" t="n">
        <v>0.1284722222222222</v>
      </c>
      <c r="X22" s="54" t="n">
        <v>0.132</v>
      </c>
      <c r="Y22" s="54" t="n"/>
      <c r="Z22" t="n">
        <v>15.00617283950617</v>
      </c>
      <c r="AA22" t="n">
        <v>30.1875</v>
      </c>
      <c r="AB22" t="n">
        <v>30.375</v>
      </c>
      <c r="AC22" t="n">
        <v>30.6</v>
      </c>
      <c r="AD22" t="n">
        <v>28.28387096774194</v>
      </c>
      <c r="AE22" t="n">
        <v>27.88888888888889</v>
      </c>
      <c r="AF22" t="n">
        <v>18.228</v>
      </c>
      <c r="AH22" t="n">
        <v>0.993786280761998</v>
      </c>
      <c r="AI22" s="54" t="n">
        <v>1.2075</v>
      </c>
      <c r="AJ22" s="54" t="n">
        <v>1.344026548672566</v>
      </c>
      <c r="AK22" s="54" t="n">
        <v>1.224</v>
      </c>
      <c r="AL22" s="54" t="n">
        <v>1.168754998667022</v>
      </c>
      <c r="AM22" s="54" t="n">
        <v>1.115555555555556</v>
      </c>
      <c r="AN22" s="54" t="n">
        <v>0.9395876288659796</v>
      </c>
      <c r="AO22" s="54" t="n"/>
    </row>
    <row r="23">
      <c r="A23" t="inlineStr">
        <is>
          <t>20:00</t>
        </is>
      </c>
      <c r="B23" t="n">
        <v>15.9</v>
      </c>
      <c r="C23" t="n">
        <v>25</v>
      </c>
      <c r="D23" t="n">
        <v>23.4</v>
      </c>
      <c r="E23" t="n">
        <v>25</v>
      </c>
      <c r="F23" t="n">
        <v>25</v>
      </c>
      <c r="G23" t="n">
        <v>25.8</v>
      </c>
      <c r="H23" t="n">
        <v>20.2</v>
      </c>
      <c r="J23" t="n">
        <v>18</v>
      </c>
      <c r="K23" t="n">
        <v>34</v>
      </c>
      <c r="L23" t="n">
        <v>34</v>
      </c>
      <c r="M23" t="n">
        <v>34</v>
      </c>
      <c r="N23" t="n">
        <v>32</v>
      </c>
      <c r="O23" t="n">
        <v>32</v>
      </c>
      <c r="P23" t="n">
        <v>22</v>
      </c>
      <c r="R23" t="n">
        <v>0.1228070175438597</v>
      </c>
      <c r="S23" s="54" t="n">
        <v>0.09641873278236913</v>
      </c>
      <c r="T23" s="54" t="n">
        <v>0.09358288770053476</v>
      </c>
      <c r="U23" s="54" t="n">
        <v>0.08838383838383838</v>
      </c>
      <c r="V23" s="54" t="n">
        <v>0.1125</v>
      </c>
      <c r="W23" s="54" t="n">
        <v>0.1317567567567567</v>
      </c>
      <c r="X23" s="54" t="n">
        <v>0.1461538461538461</v>
      </c>
      <c r="Y23" s="54" t="n"/>
      <c r="Z23" t="n">
        <v>15.78947368421053</v>
      </c>
      <c r="AA23" t="n">
        <v>30.72176308539945</v>
      </c>
      <c r="AB23" t="n">
        <v>30.81818181818182</v>
      </c>
      <c r="AC23" t="n">
        <v>30.99494949494949</v>
      </c>
      <c r="AD23" t="n">
        <v>28.4</v>
      </c>
      <c r="AE23" t="n">
        <v>27.78378378378379</v>
      </c>
      <c r="AF23" t="n">
        <v>18.78461538461539</v>
      </c>
      <c r="AH23" t="n">
        <v>0.9930486593843098</v>
      </c>
      <c r="AI23" s="54" t="n">
        <v>1.228870523415978</v>
      </c>
      <c r="AJ23" s="54" t="n">
        <v>1.317016317016317</v>
      </c>
      <c r="AK23" s="54" t="n">
        <v>1.23979797979798</v>
      </c>
      <c r="AL23" s="54" t="n">
        <v>1.136</v>
      </c>
      <c r="AM23" s="54" t="n">
        <v>1.076890844332705</v>
      </c>
      <c r="AN23" s="54" t="n">
        <v>0.92993145468393</v>
      </c>
      <c r="AO23" s="54" t="n"/>
    </row>
    <row r="24">
      <c r="A24" t="inlineStr">
        <is>
          <t>21:00</t>
        </is>
      </c>
      <c r="B24" t="n">
        <v>15.9</v>
      </c>
      <c r="C24" t="n">
        <v>23.4</v>
      </c>
      <c r="D24" t="n">
        <v>23.4</v>
      </c>
      <c r="E24" t="n">
        <v>24.2</v>
      </c>
      <c r="F24" t="n">
        <v>25</v>
      </c>
      <c r="G24" t="n">
        <v>23.4</v>
      </c>
      <c r="H24" t="n">
        <v>19.9</v>
      </c>
      <c r="J24" t="n">
        <v>18</v>
      </c>
      <c r="K24" t="n">
        <v>34</v>
      </c>
      <c r="L24" t="n">
        <v>34</v>
      </c>
      <c r="M24" t="n">
        <v>34</v>
      </c>
      <c r="N24" t="n">
        <v>32</v>
      </c>
      <c r="O24" t="n">
        <v>32</v>
      </c>
      <c r="P24" t="n">
        <v>22</v>
      </c>
      <c r="R24" t="n">
        <v>0.1166666666666667</v>
      </c>
      <c r="S24" s="54" t="n">
        <v>0.08823529411764706</v>
      </c>
      <c r="T24" s="54" t="n">
        <v>0.1064935064935065</v>
      </c>
      <c r="U24" s="54" t="n">
        <v>0.1007371007371007</v>
      </c>
      <c r="V24" s="54" t="n">
        <v>0.1303030303030303</v>
      </c>
      <c r="W24" s="54" t="n">
        <v>0.1228070175438597</v>
      </c>
      <c r="X24" s="54" t="n">
        <v>0.1581196581196581</v>
      </c>
      <c r="Y24" s="54" t="n"/>
      <c r="Z24" t="n">
        <v>15.9</v>
      </c>
      <c r="AA24" t="n">
        <v>31</v>
      </c>
      <c r="AB24" t="n">
        <v>30.37922077922078</v>
      </c>
      <c r="AC24" t="n">
        <v>30.57493857493857</v>
      </c>
      <c r="AD24" t="n">
        <v>27.83030303030303</v>
      </c>
      <c r="AE24" t="n">
        <v>28.07017543859649</v>
      </c>
      <c r="AF24" t="n">
        <v>18.52136752136752</v>
      </c>
      <c r="AH24" t="n">
        <v>0.9999999999999999</v>
      </c>
      <c r="AI24" s="54" t="n">
        <v>1.324786324786325</v>
      </c>
      <c r="AJ24" s="54" t="n">
        <v>1.298257298257298</v>
      </c>
      <c r="AK24" s="54" t="n">
        <v>1.263427213840437</v>
      </c>
      <c r="AL24" s="54" t="n">
        <v>1.113212121212121</v>
      </c>
      <c r="AM24" s="54" t="n">
        <v>1.199580146948568</v>
      </c>
      <c r="AN24" s="54" t="n">
        <v>0.9307219859983681</v>
      </c>
      <c r="AO24" s="54" t="n"/>
    </row>
    <row r="25">
      <c r="A25" t="inlineStr">
        <is>
          <t>22:00</t>
        </is>
      </c>
      <c r="B25" t="n">
        <v>14.8</v>
      </c>
      <c r="C25" t="n">
        <v>21.8</v>
      </c>
      <c r="D25" t="n">
        <v>21.8</v>
      </c>
      <c r="E25" t="n">
        <v>23.4</v>
      </c>
      <c r="F25" t="n">
        <v>22.6</v>
      </c>
      <c r="G25" t="n">
        <v>20.2</v>
      </c>
      <c r="H25" t="n">
        <v>17.5</v>
      </c>
      <c r="J25" t="n">
        <v>27</v>
      </c>
      <c r="K25" t="n">
        <v>45</v>
      </c>
      <c r="L25" t="n">
        <v>44</v>
      </c>
      <c r="M25" t="n">
        <v>44</v>
      </c>
      <c r="N25" t="n">
        <v>44</v>
      </c>
      <c r="O25" t="n">
        <v>41</v>
      </c>
      <c r="P25" t="n">
        <v>31</v>
      </c>
      <c r="R25" t="n">
        <v>0.1</v>
      </c>
      <c r="S25" s="54" t="n">
        <v>0.07954545454545454</v>
      </c>
      <c r="T25" s="54" t="n">
        <v>0.09318181818181817</v>
      </c>
      <c r="U25" s="54" t="n">
        <v>0.0909090909090909</v>
      </c>
      <c r="V25" s="54" t="n">
        <v>0.105</v>
      </c>
      <c r="W25" s="54" t="n">
        <v>0.1058201058201058</v>
      </c>
      <c r="X25" s="54" t="n">
        <v>0.1392857142857143</v>
      </c>
      <c r="Y25" s="54" t="n"/>
      <c r="Z25" t="n">
        <v>24.3</v>
      </c>
      <c r="AA25" t="n">
        <v>41.42045454545455</v>
      </c>
      <c r="AB25" t="n">
        <v>39.9</v>
      </c>
      <c r="AC25" t="n">
        <v>40</v>
      </c>
      <c r="AD25" t="n">
        <v>39.38</v>
      </c>
      <c r="AE25" t="n">
        <v>36.66137566137566</v>
      </c>
      <c r="AF25" t="n">
        <v>26.68214285714286</v>
      </c>
      <c r="AH25" t="n">
        <v>1.641891891891892</v>
      </c>
      <c r="AI25" s="54" t="n">
        <v>1.900020850708924</v>
      </c>
      <c r="AJ25" s="54" t="n">
        <v>1.830275229357798</v>
      </c>
      <c r="AK25" s="54" t="n">
        <v>1.70940170940171</v>
      </c>
      <c r="AL25" s="54" t="n">
        <v>1.742477876106195</v>
      </c>
      <c r="AM25" s="54" t="n">
        <v>1.814919587196815</v>
      </c>
      <c r="AN25" s="54" t="n">
        <v>1.52469387755102</v>
      </c>
      <c r="AO25" s="54" t="n"/>
    </row>
    <row r="26">
      <c r="A26" t="inlineStr">
        <is>
          <t>23:00</t>
        </is>
      </c>
      <c r="B26" t="n">
        <v>28</v>
      </c>
      <c r="C26" t="n">
        <v>40.8</v>
      </c>
      <c r="D26" t="n">
        <v>42.4</v>
      </c>
      <c r="E26" t="n">
        <v>40.8</v>
      </c>
      <c r="F26" t="n">
        <v>44</v>
      </c>
      <c r="G26" t="n">
        <v>34</v>
      </c>
      <c r="H26" t="n">
        <v>28.6</v>
      </c>
      <c r="J26" t="n">
        <v>27</v>
      </c>
      <c r="K26" t="n">
        <v>45</v>
      </c>
      <c r="L26" t="n">
        <v>44</v>
      </c>
      <c r="M26" t="n">
        <v>44</v>
      </c>
      <c r="N26" t="n">
        <v>44</v>
      </c>
      <c r="O26" t="n">
        <v>41</v>
      </c>
      <c r="P26" t="n">
        <v>31</v>
      </c>
      <c r="R26" t="n">
        <v>0.105</v>
      </c>
      <c r="S26" s="54" t="n">
        <v>0.08108108108108109</v>
      </c>
      <c r="T26" s="54" t="n">
        <v>0.1057142857142857</v>
      </c>
      <c r="U26" s="54" t="n">
        <v>0.1057142857142857</v>
      </c>
      <c r="V26" s="54" t="n">
        <v>0.1057142857142857</v>
      </c>
      <c r="W26" s="54" t="n">
        <v>0.1174603174603174</v>
      </c>
      <c r="X26" s="54" t="n">
        <v>0.1590909090909091</v>
      </c>
      <c r="Y26" s="54" t="n"/>
      <c r="Z26" t="n">
        <v>24.165</v>
      </c>
      <c r="AA26" t="n">
        <v>41.35135135135135</v>
      </c>
      <c r="AB26" t="n">
        <v>39.34857142857143</v>
      </c>
      <c r="AC26" t="n">
        <v>39.34857142857143</v>
      </c>
      <c r="AD26" t="n">
        <v>39.34857142857143</v>
      </c>
      <c r="AE26" t="n">
        <v>36.18412698412699</v>
      </c>
      <c r="AF26" t="n">
        <v>26.06818181818182</v>
      </c>
      <c r="AH26" t="n">
        <v>0.8630357142857142</v>
      </c>
      <c r="AI26" s="54" t="n">
        <v>1.013513513513513</v>
      </c>
      <c r="AJ26" s="54" t="n">
        <v>0.9280323450134772</v>
      </c>
      <c r="AK26" s="54" t="n">
        <v>0.9644257703081234</v>
      </c>
      <c r="AL26" s="54" t="n">
        <v>0.8942857142857144</v>
      </c>
      <c r="AM26" s="54" t="n">
        <v>1.064239028944912</v>
      </c>
      <c r="AN26" s="54" t="n">
        <v>0.9114748887476161</v>
      </c>
      <c r="AO26" s="54" t="n"/>
    </row>
  </sheetData>
  <mergeCells count="1">
    <mergeCell ref="A1:AR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R26"/>
  <sheetViews>
    <sheetView showGridLines="0" workbookViewId="0">
      <selection activeCell="A1" sqref="A1:AR1"/>
    </sheetView>
  </sheetViews>
  <sheetFormatPr baseColWidth="8" defaultRowHeight="15"/>
  <cols>
    <col width="13" customWidth="1" style="45" min="1" max="44"/>
  </cols>
  <sheetData>
    <row r="1">
      <c r="A1" s="48" t="inlineStr">
        <is>
          <t>FT Wise After Breaks Active - break deductions included</t>
        </is>
      </c>
      <c r="B1" s="49" t="n"/>
      <c r="C1" s="49" t="n"/>
      <c r="D1" s="49" t="n"/>
      <c r="E1" s="49" t="n"/>
      <c r="F1" s="49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  <c r="AA1" s="49" t="n"/>
      <c r="AB1" s="49" t="n"/>
      <c r="AC1" s="49" t="n"/>
      <c r="AD1" s="49" t="n"/>
      <c r="AE1" s="49" t="n"/>
      <c r="AF1" s="49" t="n"/>
      <c r="AG1" s="49" t="n"/>
      <c r="AH1" s="49" t="n"/>
      <c r="AI1" s="49" t="n"/>
      <c r="AJ1" s="49" t="n"/>
      <c r="AK1" s="49" t="n"/>
      <c r="AL1" s="49" t="n"/>
      <c r="AM1" s="49" t="n"/>
      <c r="AN1" s="49" t="n"/>
      <c r="AO1" s="49" t="n"/>
      <c r="AP1" s="49" t="n"/>
      <c r="AQ1" s="49" t="n"/>
      <c r="AR1" s="50" t="n"/>
    </row>
    <row r="2" ht="30" customHeight="1" s="45">
      <c r="A2" s="48" t="inlineStr">
        <is>
          <t>Interval</t>
        </is>
      </c>
      <c r="B2" s="48" t="inlineStr">
        <is>
          <t>Sun</t>
        </is>
      </c>
      <c r="C2" s="48" t="inlineStr">
        <is>
          <t>Mon</t>
        </is>
      </c>
      <c r="D2" s="48" t="inlineStr">
        <is>
          <t>Tue</t>
        </is>
      </c>
      <c r="E2" s="48" t="inlineStr">
        <is>
          <t>Wed</t>
        </is>
      </c>
      <c r="F2" s="48" t="inlineStr">
        <is>
          <t>Thu</t>
        </is>
      </c>
      <c r="G2" s="48" t="inlineStr">
        <is>
          <t>Fri</t>
        </is>
      </c>
      <c r="H2" s="48" t="inlineStr">
        <is>
          <t>Sat</t>
        </is>
      </c>
      <c r="I2" s="48" t="n"/>
      <c r="J2" s="48" t="inlineStr">
        <is>
          <t>Staffed HC</t>
        </is>
      </c>
      <c r="K2" s="48" t="inlineStr">
        <is>
          <t>Sun</t>
        </is>
      </c>
      <c r="L2" s="48" t="inlineStr">
        <is>
          <t>Mon</t>
        </is>
      </c>
      <c r="M2" s="48" t="inlineStr">
        <is>
          <t>Tue</t>
        </is>
      </c>
      <c r="N2" s="48" t="inlineStr">
        <is>
          <t>Wed</t>
        </is>
      </c>
      <c r="O2" s="48" t="inlineStr">
        <is>
          <t>Thu</t>
        </is>
      </c>
      <c r="P2" s="48" t="inlineStr">
        <is>
          <t>Fri</t>
        </is>
      </c>
      <c r="Q2" s="48" t="inlineStr">
        <is>
          <t>Sat</t>
        </is>
      </c>
      <c r="R2" s="48" t="n"/>
      <c r="S2" s="48" t="inlineStr">
        <is>
          <t>Shrinkage</t>
        </is>
      </c>
      <c r="T2" s="48" t="inlineStr">
        <is>
          <t>Sun</t>
        </is>
      </c>
      <c r="U2" s="48" t="inlineStr">
        <is>
          <t>Mon</t>
        </is>
      </c>
      <c r="V2" s="48" t="inlineStr">
        <is>
          <t>Tue</t>
        </is>
      </c>
      <c r="W2" s="48" t="inlineStr">
        <is>
          <t>Wed</t>
        </is>
      </c>
      <c r="X2" s="48" t="inlineStr">
        <is>
          <t>Thu</t>
        </is>
      </c>
      <c r="Y2" s="48" t="inlineStr">
        <is>
          <t>Fri</t>
        </is>
      </c>
      <c r="Z2" s="48" t="inlineStr">
        <is>
          <t>Sat</t>
        </is>
      </c>
      <c r="AA2" s="48" t="n"/>
      <c r="AB2" s="48" t="inlineStr">
        <is>
          <t>After Shrinkage</t>
        </is>
      </c>
      <c r="AC2" s="48" t="inlineStr">
        <is>
          <t>Sun</t>
        </is>
      </c>
      <c r="AD2" s="48" t="inlineStr">
        <is>
          <t>Mon</t>
        </is>
      </c>
      <c r="AE2" s="48" t="inlineStr">
        <is>
          <t>Tue</t>
        </is>
      </c>
      <c r="AF2" s="48" t="inlineStr">
        <is>
          <t>Wed</t>
        </is>
      </c>
      <c r="AG2" s="48" t="inlineStr">
        <is>
          <t>Thu</t>
        </is>
      </c>
      <c r="AH2" s="48" t="inlineStr">
        <is>
          <t>Fri</t>
        </is>
      </c>
      <c r="AI2" s="48" t="inlineStr">
        <is>
          <t>Sat</t>
        </is>
      </c>
      <c r="AJ2" s="48" t="n"/>
      <c r="AK2" s="48" t="inlineStr">
        <is>
          <t>Actual/Required %</t>
        </is>
      </c>
      <c r="AL2" s="48" t="inlineStr">
        <is>
          <t>Sun</t>
        </is>
      </c>
      <c r="AM2" s="48" t="inlineStr">
        <is>
          <t>Mon</t>
        </is>
      </c>
      <c r="AN2" s="48" t="inlineStr">
        <is>
          <t>Tue</t>
        </is>
      </c>
      <c r="AO2" s="48" t="inlineStr">
        <is>
          <t>Wed</t>
        </is>
      </c>
      <c r="AP2" s="48" t="inlineStr">
        <is>
          <t>Thu</t>
        </is>
      </c>
      <c r="AQ2" s="48" t="inlineStr">
        <is>
          <t>Fri</t>
        </is>
      </c>
      <c r="AR2" s="48" t="inlineStr">
        <is>
          <t>Sat</t>
        </is>
      </c>
    </row>
    <row r="3">
      <c r="A3" t="inlineStr">
        <is>
          <t>00:00</t>
        </is>
      </c>
      <c r="B3" t="n">
        <v>18.3</v>
      </c>
      <c r="C3" t="n">
        <v>13.2</v>
      </c>
      <c r="D3" t="n">
        <v>18.8</v>
      </c>
      <c r="E3" t="n">
        <v>20.4</v>
      </c>
      <c r="F3" t="n">
        <v>19.6</v>
      </c>
      <c r="G3" t="n">
        <v>20.4</v>
      </c>
      <c r="H3" t="n">
        <v>15.6</v>
      </c>
      <c r="J3" t="n">
        <v>21</v>
      </c>
      <c r="K3" t="n">
        <v>11.5</v>
      </c>
      <c r="L3" t="n">
        <v>23.25</v>
      </c>
      <c r="M3" t="n">
        <v>27</v>
      </c>
      <c r="N3" t="n">
        <v>26</v>
      </c>
      <c r="O3" t="n">
        <v>24.5</v>
      </c>
      <c r="P3" t="n">
        <v>21.25</v>
      </c>
      <c r="R3" t="n">
        <v>0.1421052631578947</v>
      </c>
      <c r="S3" s="54" t="n">
        <v>0.1125</v>
      </c>
      <c r="T3" s="54" t="n">
        <v>0.07012987012987013</v>
      </c>
      <c r="U3" s="54" t="n">
        <v>0.103030303030303</v>
      </c>
      <c r="V3" s="54" t="n">
        <v>0.08680555555555555</v>
      </c>
      <c r="W3" s="54" t="n">
        <v>0.08522727272727272</v>
      </c>
      <c r="X3" s="54" t="n">
        <v>0.1076388888888889</v>
      </c>
      <c r="Y3" s="54" t="n"/>
      <c r="Z3" t="n">
        <v>18.01578947368421</v>
      </c>
      <c r="AA3" t="n">
        <v>10.20625</v>
      </c>
      <c r="AB3" t="n">
        <v>21.61948051948052</v>
      </c>
      <c r="AC3" t="n">
        <v>24.21818181818182</v>
      </c>
      <c r="AD3" t="n">
        <v>23.74305555555555</v>
      </c>
      <c r="AE3" t="n">
        <v>22.41193181818182</v>
      </c>
      <c r="AF3" t="n">
        <v>18.96267361111111</v>
      </c>
      <c r="AH3" t="n">
        <v>0.9844693701466782</v>
      </c>
      <c r="AI3" s="54" t="n">
        <v>0.7732007575757576</v>
      </c>
      <c r="AJ3" s="54" t="n">
        <v>1.149972368057474</v>
      </c>
      <c r="AK3" s="54" t="n">
        <v>1.18716577540107</v>
      </c>
      <c r="AL3" s="54" t="n">
        <v>1.211380385487528</v>
      </c>
      <c r="AM3" s="54" t="n">
        <v>1.098624108734403</v>
      </c>
      <c r="AN3" s="54" t="n">
        <v>1.215556000712251</v>
      </c>
      <c r="AO3" s="54" t="n"/>
    </row>
    <row r="4">
      <c r="A4" t="inlineStr">
        <is>
          <t>01:00</t>
        </is>
      </c>
      <c r="B4" t="n">
        <v>15.1</v>
      </c>
      <c r="C4" t="n">
        <v>11</v>
      </c>
      <c r="D4" t="n">
        <v>15.6</v>
      </c>
      <c r="E4" t="n">
        <v>17.2</v>
      </c>
      <c r="F4" t="n">
        <v>17</v>
      </c>
      <c r="G4" t="n">
        <v>16.4</v>
      </c>
      <c r="H4" t="n">
        <v>12.3</v>
      </c>
      <c r="J4" t="n">
        <v>18</v>
      </c>
      <c r="K4" t="n">
        <v>13.5</v>
      </c>
      <c r="L4" t="n">
        <v>30.5</v>
      </c>
      <c r="M4" t="n">
        <v>31.5</v>
      </c>
      <c r="N4" t="n">
        <v>31.5</v>
      </c>
      <c r="O4" t="n">
        <v>30</v>
      </c>
      <c r="P4" t="n">
        <v>27</v>
      </c>
      <c r="R4" t="n">
        <v>0.1666666666666667</v>
      </c>
      <c r="S4" s="54" t="n">
        <v>0.1083333333333333</v>
      </c>
      <c r="T4" s="54" t="n">
        <v>0.1244019138755981</v>
      </c>
      <c r="U4" s="54" t="n">
        <v>0.1764705882352941</v>
      </c>
      <c r="V4" s="54" t="n">
        <v>0.1640625</v>
      </c>
      <c r="W4" s="54" t="n">
        <v>0.1477272727272727</v>
      </c>
      <c r="X4" s="54" t="n">
        <v>0.1805555555555556</v>
      </c>
      <c r="Y4" s="54" t="n"/>
      <c r="Z4" t="n">
        <v>15</v>
      </c>
      <c r="AA4" t="n">
        <v>12.0375</v>
      </c>
      <c r="AB4" t="n">
        <v>26.70574162679426</v>
      </c>
      <c r="AC4" t="n">
        <v>25.94117647058824</v>
      </c>
      <c r="AD4" t="n">
        <v>26.33203125</v>
      </c>
      <c r="AE4" t="n">
        <v>25.56818181818182</v>
      </c>
      <c r="AF4" t="n">
        <v>22.125</v>
      </c>
      <c r="AH4" t="n">
        <v>0.9933774834437085</v>
      </c>
      <c r="AI4" s="54" t="n">
        <v>1.094318181818182</v>
      </c>
      <c r="AJ4" s="54" t="n">
        <v>1.711906514538093</v>
      </c>
      <c r="AK4" s="54" t="n">
        <v>1.508207934336525</v>
      </c>
      <c r="AL4" s="54" t="n">
        <v>1.548943014705882</v>
      </c>
      <c r="AM4" s="54" t="n">
        <v>1.559035476718404</v>
      </c>
      <c r="AN4" s="54" t="n">
        <v>1.798780487804878</v>
      </c>
      <c r="AO4" s="54" t="n"/>
    </row>
    <row r="5">
      <c r="A5" t="inlineStr">
        <is>
          <t>02:00</t>
        </is>
      </c>
      <c r="B5" t="n">
        <v>12.9</v>
      </c>
      <c r="C5" t="n">
        <v>7.5</v>
      </c>
      <c r="D5" t="n">
        <v>14.8</v>
      </c>
      <c r="E5" t="n">
        <v>14.8</v>
      </c>
      <c r="F5" t="n">
        <v>15.6</v>
      </c>
      <c r="G5" t="n">
        <v>13.2</v>
      </c>
      <c r="H5" t="n">
        <v>9.9</v>
      </c>
      <c r="J5" t="n">
        <v>16</v>
      </c>
      <c r="K5" t="n">
        <v>13.75</v>
      </c>
      <c r="L5" t="n">
        <v>14.75</v>
      </c>
      <c r="M5" t="n">
        <v>15.75</v>
      </c>
      <c r="N5" t="n">
        <v>15.75</v>
      </c>
      <c r="O5" t="n">
        <v>14</v>
      </c>
      <c r="P5" t="n">
        <v>11</v>
      </c>
      <c r="R5" t="n">
        <v>0.1730769230769231</v>
      </c>
      <c r="S5" s="54" t="n">
        <v>0.130952380952381</v>
      </c>
      <c r="T5" s="54" t="n">
        <v>0.1470588235294118</v>
      </c>
      <c r="U5" s="54" t="n">
        <v>0.16875</v>
      </c>
      <c r="V5" s="54" t="n">
        <v>0.1333333333333333</v>
      </c>
      <c r="W5" s="54" t="n">
        <v>0.1136363636363636</v>
      </c>
      <c r="X5" s="54" t="n">
        <v>0.15</v>
      </c>
      <c r="Y5" s="54" t="n"/>
      <c r="Z5" t="n">
        <v>13.23076923076923</v>
      </c>
      <c r="AA5" t="n">
        <v>11.94940476190476</v>
      </c>
      <c r="AB5" t="n">
        <v>12.58088235294118</v>
      </c>
      <c r="AC5" t="n">
        <v>13.0921875</v>
      </c>
      <c r="AD5" t="n">
        <v>13.65</v>
      </c>
      <c r="AE5" t="n">
        <v>12.40909090909091</v>
      </c>
      <c r="AF5" t="n">
        <v>9.35</v>
      </c>
      <c r="AH5" t="n">
        <v>1.025641025641026</v>
      </c>
      <c r="AI5" s="54" t="n">
        <v>1.593253968253968</v>
      </c>
      <c r="AJ5" s="54" t="n">
        <v>0.8500596184419713</v>
      </c>
      <c r="AK5" s="54" t="n">
        <v>0.8846072635135136</v>
      </c>
      <c r="AL5" s="54" t="n">
        <v>0.875</v>
      </c>
      <c r="AM5" s="54" t="n">
        <v>0.9400826446280992</v>
      </c>
      <c r="AN5" s="54" t="n">
        <v>0.9444444444444444</v>
      </c>
      <c r="AO5" s="54" t="n"/>
    </row>
    <row r="6">
      <c r="A6" t="inlineStr">
        <is>
          <t>03:00</t>
        </is>
      </c>
      <c r="B6" t="n">
        <v>10.8</v>
      </c>
      <c r="C6" t="n">
        <v>6.4</v>
      </c>
      <c r="D6" t="n">
        <v>11</v>
      </c>
      <c r="E6" t="n">
        <v>11.2</v>
      </c>
      <c r="F6" t="n">
        <v>12.8</v>
      </c>
      <c r="G6" t="n">
        <v>11.2</v>
      </c>
      <c r="H6" t="n">
        <v>8</v>
      </c>
      <c r="J6" t="n">
        <v>15</v>
      </c>
      <c r="K6" t="n">
        <v>6.25</v>
      </c>
      <c r="L6" t="n">
        <v>7.75</v>
      </c>
      <c r="M6" t="n">
        <v>7.25</v>
      </c>
      <c r="N6" t="n">
        <v>7.25</v>
      </c>
      <c r="O6" t="n">
        <v>6.5</v>
      </c>
      <c r="P6" t="n">
        <v>5</v>
      </c>
      <c r="R6" t="n">
        <v>0.1648351648351648</v>
      </c>
      <c r="S6" s="54" t="n">
        <v>0.1428571428571428</v>
      </c>
      <c r="T6" s="54" t="n">
        <v>0.1416666666666667</v>
      </c>
      <c r="U6" s="54" t="n">
        <v>0.15</v>
      </c>
      <c r="V6" s="54" t="n">
        <v>0.1083333333333333</v>
      </c>
      <c r="W6" s="54" t="n">
        <v>0.1103896103896104</v>
      </c>
      <c r="X6" s="54" t="n">
        <v>0.1648351648351648</v>
      </c>
      <c r="Y6" s="54" t="n"/>
      <c r="Z6" t="n">
        <v>12.52747252747253</v>
      </c>
      <c r="AA6" t="n">
        <v>5.357142857142858</v>
      </c>
      <c r="AB6" t="n">
        <v>6.652083333333333</v>
      </c>
      <c r="AC6" t="n">
        <v>6.1625</v>
      </c>
      <c r="AD6" t="n">
        <v>6.464583333333334</v>
      </c>
      <c r="AE6" t="n">
        <v>5.782467532467533</v>
      </c>
      <c r="AF6" t="n">
        <v>4.175824175824176</v>
      </c>
      <c r="AH6" t="n">
        <v>1.15995115995116</v>
      </c>
      <c r="AI6" s="54" t="n">
        <v>0.8370535714285715</v>
      </c>
      <c r="AJ6" s="54" t="n">
        <v>0.6047348484848484</v>
      </c>
      <c r="AK6" s="54" t="n">
        <v>0.5502232142857143</v>
      </c>
      <c r="AL6" s="54" t="n">
        <v>0.5050455729166666</v>
      </c>
      <c r="AM6" s="54" t="n">
        <v>0.5162917439703154</v>
      </c>
      <c r="AN6" s="54" t="n">
        <v>0.521978021978022</v>
      </c>
      <c r="AO6" s="54" t="n"/>
    </row>
    <row r="7">
      <c r="A7" t="inlineStr">
        <is>
          <t>04:00</t>
        </is>
      </c>
      <c r="B7" t="n">
        <v>8.6</v>
      </c>
      <c r="C7" t="n">
        <v>7.1</v>
      </c>
      <c r="D7" t="n">
        <v>10</v>
      </c>
      <c r="E7" t="n">
        <v>9.5</v>
      </c>
      <c r="F7" t="n">
        <v>10.3</v>
      </c>
      <c r="G7" t="n">
        <v>9.5</v>
      </c>
      <c r="H7" t="n">
        <v>8.699999999999999</v>
      </c>
      <c r="J7" t="n">
        <v>11</v>
      </c>
      <c r="K7" t="n">
        <v>10</v>
      </c>
      <c r="L7" t="n">
        <v>13</v>
      </c>
      <c r="M7" t="n">
        <v>12</v>
      </c>
      <c r="N7" t="n">
        <v>12</v>
      </c>
      <c r="O7" t="n">
        <v>13</v>
      </c>
      <c r="P7" t="n">
        <v>10</v>
      </c>
      <c r="R7" t="n">
        <v>0.1688311688311688</v>
      </c>
      <c r="S7" s="54" t="n">
        <v>0.1587301587301587</v>
      </c>
      <c r="T7" s="54" t="n">
        <v>0.1442307692307692</v>
      </c>
      <c r="U7" s="54" t="n">
        <v>0.1507936507936508</v>
      </c>
      <c r="V7" s="54" t="n">
        <v>0.1318681318681319</v>
      </c>
      <c r="W7" s="54" t="n">
        <v>0.1048951048951049</v>
      </c>
      <c r="X7" s="54" t="n">
        <v>0.1688311688311688</v>
      </c>
      <c r="Y7" s="54" t="n"/>
      <c r="Z7" t="n">
        <v>9.142857142857144</v>
      </c>
      <c r="AA7" t="n">
        <v>8.412698412698413</v>
      </c>
      <c r="AB7" t="n">
        <v>11.125</v>
      </c>
      <c r="AC7" t="n">
        <v>10.19047619047619</v>
      </c>
      <c r="AD7" t="n">
        <v>10.41758241758242</v>
      </c>
      <c r="AE7" t="n">
        <v>11.63636363636364</v>
      </c>
      <c r="AF7" t="n">
        <v>8.311688311688313</v>
      </c>
      <c r="AH7" t="n">
        <v>1.06312292358804</v>
      </c>
      <c r="AI7" s="54" t="n">
        <v>1.184887100380058</v>
      </c>
      <c r="AJ7" s="54" t="n">
        <v>1.1125</v>
      </c>
      <c r="AK7" s="54" t="n">
        <v>1.072681704260652</v>
      </c>
      <c r="AL7" s="54" t="n">
        <v>1.011415768697322</v>
      </c>
      <c r="AM7" s="54" t="n">
        <v>1.22488038277512</v>
      </c>
      <c r="AN7" s="54" t="n">
        <v>0.9553664726078521</v>
      </c>
      <c r="AO7" s="54" t="n"/>
    </row>
    <row r="8">
      <c r="A8" t="inlineStr">
        <is>
          <t>05:00</t>
        </is>
      </c>
      <c r="B8" t="n">
        <v>5.9</v>
      </c>
      <c r="C8" t="n">
        <v>6.3</v>
      </c>
      <c r="D8" t="n">
        <v>8.6</v>
      </c>
      <c r="E8" t="n">
        <v>8.6</v>
      </c>
      <c r="F8" t="n">
        <v>8.6</v>
      </c>
      <c r="G8" t="n">
        <v>8.6</v>
      </c>
      <c r="H8" t="n">
        <v>8.6</v>
      </c>
      <c r="J8" t="n">
        <v>9</v>
      </c>
      <c r="K8" t="n">
        <v>6.75</v>
      </c>
      <c r="L8" t="n">
        <v>9</v>
      </c>
      <c r="M8" t="n">
        <v>8.25</v>
      </c>
      <c r="N8" t="n">
        <v>8.25</v>
      </c>
      <c r="O8" t="n">
        <v>9.75</v>
      </c>
      <c r="P8" t="n">
        <v>7.5</v>
      </c>
      <c r="R8" t="n">
        <v>0.1142857142857143</v>
      </c>
      <c r="S8" s="54" t="n">
        <v>0.1428571428571428</v>
      </c>
      <c r="T8" s="54" t="n">
        <v>0.1190476190476191</v>
      </c>
      <c r="U8" s="54" t="n">
        <v>0.125</v>
      </c>
      <c r="V8" s="54" t="n">
        <v>0.130952380952381</v>
      </c>
      <c r="W8" s="54" t="n">
        <v>0.1136363636363636</v>
      </c>
      <c r="X8" s="54" t="n">
        <v>0.1571428571428571</v>
      </c>
      <c r="Y8" s="54" t="n"/>
      <c r="Z8" t="n">
        <v>7.971428571428572</v>
      </c>
      <c r="AA8" t="n">
        <v>5.785714285714286</v>
      </c>
      <c r="AB8" t="n">
        <v>7.928571428571429</v>
      </c>
      <c r="AC8" t="n">
        <v>7.21875</v>
      </c>
      <c r="AD8" t="n">
        <v>7.169642857142858</v>
      </c>
      <c r="AE8" t="n">
        <v>8.642045454545455</v>
      </c>
      <c r="AF8" t="n">
        <v>6.321428571428571</v>
      </c>
      <c r="AH8" t="n">
        <v>1.351089588377724</v>
      </c>
      <c r="AI8" s="54" t="n">
        <v>0.9183673469387756</v>
      </c>
      <c r="AJ8" s="54" t="n">
        <v>0.9219269102990034</v>
      </c>
      <c r="AK8" s="54" t="n">
        <v>0.8393895348837209</v>
      </c>
      <c r="AL8" s="54" t="n">
        <v>0.8336794019933556</v>
      </c>
      <c r="AM8" s="54" t="n">
        <v>1.004889006342495</v>
      </c>
      <c r="AN8" s="54" t="n">
        <v>0.7350498338870431</v>
      </c>
      <c r="AO8" s="54" t="n"/>
    </row>
    <row r="9">
      <c r="A9" t="inlineStr">
        <is>
          <t>06:00</t>
        </is>
      </c>
      <c r="B9" t="n">
        <v>4.8</v>
      </c>
      <c r="C9" t="n">
        <v>5</v>
      </c>
      <c r="D9" t="n">
        <v>6.5</v>
      </c>
      <c r="E9" t="n">
        <v>6.5</v>
      </c>
      <c r="F9" t="n">
        <v>6.5</v>
      </c>
      <c r="G9" t="n">
        <v>6.5</v>
      </c>
      <c r="H9" t="n">
        <v>6.5</v>
      </c>
      <c r="J9" t="n">
        <v>8</v>
      </c>
      <c r="K9" t="n">
        <v>9</v>
      </c>
      <c r="L9" t="n">
        <v>12</v>
      </c>
      <c r="M9" t="n">
        <v>11</v>
      </c>
      <c r="N9" t="n">
        <v>11</v>
      </c>
      <c r="O9" t="n">
        <v>13</v>
      </c>
      <c r="P9" t="n">
        <v>10</v>
      </c>
      <c r="R9" t="n">
        <v>0.12</v>
      </c>
      <c r="S9" s="54" t="n">
        <v>0.1428571428571428</v>
      </c>
      <c r="T9" s="54" t="n">
        <v>0.1590909090909091</v>
      </c>
      <c r="U9" s="54" t="n">
        <v>0.1136363636363636</v>
      </c>
      <c r="V9" s="54" t="n">
        <v>0.1515151515151515</v>
      </c>
      <c r="W9" s="54" t="n">
        <v>0.09090909090909091</v>
      </c>
      <c r="X9" s="54" t="n">
        <v>0.1851851851851852</v>
      </c>
      <c r="Y9" s="54" t="n"/>
      <c r="Z9" t="n">
        <v>7.04</v>
      </c>
      <c r="AA9" t="n">
        <v>7.714285714285715</v>
      </c>
      <c r="AB9" t="n">
        <v>10.09090909090909</v>
      </c>
      <c r="AC9" t="n">
        <v>9.75</v>
      </c>
      <c r="AD9" t="n">
        <v>9.333333333333334</v>
      </c>
      <c r="AE9" t="n">
        <v>11.81818181818182</v>
      </c>
      <c r="AF9" t="n">
        <v>8.148148148148147</v>
      </c>
      <c r="AH9" t="n">
        <v>1.466666666666667</v>
      </c>
      <c r="AI9" s="54" t="n">
        <v>1.542857142857143</v>
      </c>
      <c r="AJ9" s="54" t="n">
        <v>1.552447552447553</v>
      </c>
      <c r="AK9" s="54" t="n">
        <v>1.5</v>
      </c>
      <c r="AL9" s="54" t="n">
        <v>1.435897435897436</v>
      </c>
      <c r="AM9" s="54" t="n">
        <v>1.818181818181818</v>
      </c>
      <c r="AN9" s="54" t="n">
        <v>1.253561253561253</v>
      </c>
      <c r="AO9" s="54" t="n"/>
    </row>
    <row r="10">
      <c r="A10" t="inlineStr">
        <is>
          <t>07:00</t>
        </is>
      </c>
      <c r="S10" s="54" t="n"/>
      <c r="T10" s="54" t="n"/>
      <c r="U10" s="54" t="n"/>
      <c r="V10" s="54" t="n"/>
      <c r="W10" s="54" t="n"/>
      <c r="X10" s="54" t="n"/>
      <c r="Y10" s="54" t="n"/>
      <c r="AI10" s="54" t="n"/>
      <c r="AJ10" s="54" t="n"/>
      <c r="AK10" s="54" t="n"/>
      <c r="AL10" s="54" t="n"/>
      <c r="AM10" s="54" t="n"/>
      <c r="AN10" s="54" t="n"/>
      <c r="AO10" s="54" t="n"/>
    </row>
    <row r="11">
      <c r="A11" t="inlineStr">
        <is>
          <t>08:00</t>
        </is>
      </c>
      <c r="S11" s="54" t="n"/>
      <c r="T11" s="54" t="n"/>
      <c r="U11" s="54" t="n"/>
      <c r="V11" s="54" t="n"/>
      <c r="W11" s="54" t="n"/>
      <c r="X11" s="54" t="n"/>
      <c r="Y11" s="54" t="n"/>
      <c r="AI11" s="54" t="n"/>
      <c r="AJ11" s="54" t="n"/>
      <c r="AK11" s="54" t="n"/>
      <c r="AL11" s="54" t="n"/>
      <c r="AM11" s="54" t="n"/>
      <c r="AN11" s="54" t="n"/>
      <c r="AO11" s="54" t="n"/>
    </row>
    <row r="12">
      <c r="A12" t="inlineStr">
        <is>
          <t>09:00</t>
        </is>
      </c>
      <c r="S12" s="54" t="n"/>
      <c r="T12" s="54" t="n"/>
      <c r="U12" s="54" t="n"/>
      <c r="V12" s="54" t="n"/>
      <c r="W12" s="54" t="n"/>
      <c r="X12" s="54" t="n"/>
      <c r="Y12" s="54" t="n"/>
      <c r="AI12" s="54" t="n"/>
      <c r="AJ12" s="54" t="n"/>
      <c r="AK12" s="54" t="n"/>
      <c r="AL12" s="54" t="n"/>
      <c r="AM12" s="54" t="n"/>
      <c r="AN12" s="54" t="n"/>
      <c r="AO12" s="54" t="n"/>
    </row>
    <row r="13">
      <c r="A13" t="inlineStr">
        <is>
          <t>10:00</t>
        </is>
      </c>
      <c r="S13" s="54" t="n"/>
      <c r="T13" s="54" t="n"/>
      <c r="U13" s="54" t="n"/>
      <c r="V13" s="54" t="n"/>
      <c r="W13" s="54" t="n"/>
      <c r="X13" s="54" t="n"/>
      <c r="Y13" s="54" t="n"/>
      <c r="AI13" s="54" t="n"/>
      <c r="AJ13" s="54" t="n"/>
      <c r="AK13" s="54" t="n"/>
      <c r="AL13" s="54" t="n"/>
      <c r="AM13" s="54" t="n"/>
      <c r="AN13" s="54" t="n"/>
      <c r="AO13" s="54" t="n"/>
    </row>
    <row r="14">
      <c r="A14" t="inlineStr">
        <is>
          <t>11:00</t>
        </is>
      </c>
      <c r="S14" s="54" t="n"/>
      <c r="T14" s="54" t="n"/>
      <c r="U14" s="54" t="n"/>
      <c r="V14" s="54" t="n"/>
      <c r="W14" s="54" t="n"/>
      <c r="X14" s="54" t="n"/>
      <c r="Y14" s="54" t="n"/>
      <c r="AI14" s="54" t="n"/>
      <c r="AJ14" s="54" t="n"/>
      <c r="AK14" s="54" t="n"/>
      <c r="AL14" s="54" t="n"/>
      <c r="AM14" s="54" t="n"/>
      <c r="AN14" s="54" t="n"/>
      <c r="AO14" s="54" t="n"/>
    </row>
    <row r="15">
      <c r="A15" t="inlineStr">
        <is>
          <t>12:00</t>
        </is>
      </c>
      <c r="S15" s="54" t="n"/>
      <c r="T15" s="54" t="n"/>
      <c r="U15" s="54" t="n"/>
      <c r="V15" s="54" t="n"/>
      <c r="W15" s="54" t="n"/>
      <c r="X15" s="54" t="n"/>
      <c r="Y15" s="54" t="n"/>
      <c r="AI15" s="54" t="n"/>
      <c r="AJ15" s="54" t="n"/>
      <c r="AK15" s="54" t="n"/>
      <c r="AL15" s="54" t="n"/>
      <c r="AM15" s="54" t="n"/>
      <c r="AN15" s="54" t="n"/>
      <c r="AO15" s="54" t="n"/>
    </row>
    <row r="16">
      <c r="A16" t="inlineStr">
        <is>
          <t>13:00</t>
        </is>
      </c>
      <c r="B16" t="n">
        <v>2.1</v>
      </c>
      <c r="C16" t="n">
        <v>3.4</v>
      </c>
      <c r="D16" t="n">
        <v>3.4</v>
      </c>
      <c r="E16" t="n">
        <v>4.2</v>
      </c>
      <c r="F16" t="n">
        <v>3.4</v>
      </c>
      <c r="G16" t="n">
        <v>3.4</v>
      </c>
      <c r="H16" t="n">
        <v>2.9</v>
      </c>
      <c r="J16" t="n">
        <v>3</v>
      </c>
      <c r="K16" t="n">
        <v>8</v>
      </c>
      <c r="L16" t="n">
        <v>4</v>
      </c>
      <c r="M16" t="n">
        <v>5</v>
      </c>
      <c r="N16" t="n">
        <v>5</v>
      </c>
      <c r="O16" t="n">
        <v>5</v>
      </c>
      <c r="P16" t="n">
        <v>3</v>
      </c>
      <c r="R16" t="n">
        <v>0.2</v>
      </c>
      <c r="S16" s="54" t="n">
        <v>0.2857142857142857</v>
      </c>
      <c r="T16" s="54" t="n">
        <v>0.1428571428571428</v>
      </c>
      <c r="U16" s="54" t="n">
        <v>0.125</v>
      </c>
      <c r="V16" s="54" t="n">
        <v>0.3</v>
      </c>
      <c r="W16" s="54" t="n">
        <v>0.2666666666666667</v>
      </c>
      <c r="X16" s="54" t="n">
        <v>0.125</v>
      </c>
      <c r="Y16" s="54" t="n"/>
      <c r="Z16" t="n">
        <v>2.4</v>
      </c>
      <c r="AA16" t="n">
        <v>5.714285714285714</v>
      </c>
      <c r="AB16" t="n">
        <v>3.428571428571429</v>
      </c>
      <c r="AC16" t="n">
        <v>4.375</v>
      </c>
      <c r="AD16" t="n">
        <v>3.5</v>
      </c>
      <c r="AE16" t="n">
        <v>3.666666666666667</v>
      </c>
      <c r="AF16" t="n">
        <v>2.625</v>
      </c>
      <c r="AH16" t="n">
        <v>1.142857142857143</v>
      </c>
      <c r="AI16" s="54" t="n">
        <v>1.680672268907563</v>
      </c>
      <c r="AJ16" s="54" t="n">
        <v>1.008403361344538</v>
      </c>
      <c r="AK16" s="54" t="n">
        <v>1.041666666666667</v>
      </c>
      <c r="AL16" s="54" t="n">
        <v>1.029411764705882</v>
      </c>
      <c r="AM16" s="54" t="n">
        <v>1.07843137254902</v>
      </c>
      <c r="AN16" s="54" t="n">
        <v>0.9051724137931034</v>
      </c>
      <c r="AO16" s="54" t="n"/>
    </row>
    <row r="17">
      <c r="A17" t="inlineStr">
        <is>
          <t>14:00</t>
        </is>
      </c>
      <c r="B17" t="n">
        <v>3.4</v>
      </c>
      <c r="C17" t="n">
        <v>6.6</v>
      </c>
      <c r="D17" t="n">
        <v>6.6</v>
      </c>
      <c r="E17" t="n">
        <v>6.6</v>
      </c>
      <c r="F17" t="n">
        <v>6.6</v>
      </c>
      <c r="G17" t="n">
        <v>5.8</v>
      </c>
      <c r="H17" t="n">
        <v>5.8</v>
      </c>
      <c r="J17" t="n">
        <v>4</v>
      </c>
      <c r="K17" t="n">
        <v>8</v>
      </c>
      <c r="L17" t="n">
        <v>7</v>
      </c>
      <c r="M17" t="n">
        <v>7</v>
      </c>
      <c r="N17" t="n">
        <v>7</v>
      </c>
      <c r="O17" t="n">
        <v>6</v>
      </c>
      <c r="P17" t="n">
        <v>6</v>
      </c>
      <c r="R17" t="n">
        <v>0.1836734693877551</v>
      </c>
      <c r="S17" s="54" t="n">
        <v>0.1875</v>
      </c>
      <c r="T17" s="54" t="n">
        <v>0.1041666666666667</v>
      </c>
      <c r="U17" s="54" t="n">
        <v>0.08928571428571429</v>
      </c>
      <c r="V17" s="54" t="n">
        <v>0.1571428571428571</v>
      </c>
      <c r="W17" s="54" t="n">
        <v>0.141025641025641</v>
      </c>
      <c r="X17" s="54" t="n">
        <v>0.08928571428571429</v>
      </c>
      <c r="Y17" s="54" t="n"/>
      <c r="Z17" t="n">
        <v>3.26530612244898</v>
      </c>
      <c r="AA17" t="n">
        <v>6.5</v>
      </c>
      <c r="AB17" t="n">
        <v>6.270833333333333</v>
      </c>
      <c r="AC17" t="n">
        <v>6.375</v>
      </c>
      <c r="AD17" t="n">
        <v>5.9</v>
      </c>
      <c r="AE17" t="n">
        <v>5.153846153846154</v>
      </c>
      <c r="AF17" t="n">
        <v>5.464285714285714</v>
      </c>
      <c r="AH17" t="n">
        <v>0.9603841536614647</v>
      </c>
      <c r="AI17" s="54" t="n">
        <v>0.9848484848484849</v>
      </c>
      <c r="AJ17" s="54" t="n">
        <v>0.9501262626262627</v>
      </c>
      <c r="AK17" s="54" t="n">
        <v>0.9659090909090909</v>
      </c>
      <c r="AL17" s="54" t="n">
        <v>0.893939393939394</v>
      </c>
      <c r="AM17" s="54" t="n">
        <v>0.8885941644562335</v>
      </c>
      <c r="AN17" s="54" t="n">
        <v>0.9421182266009853</v>
      </c>
      <c r="AO17" s="54" t="n"/>
    </row>
    <row r="18">
      <c r="A18" t="inlineStr">
        <is>
          <t>15:00</t>
        </is>
      </c>
      <c r="B18" t="n">
        <v>6.8</v>
      </c>
      <c r="C18" t="n">
        <v>13.7</v>
      </c>
      <c r="D18" t="n">
        <v>12.9</v>
      </c>
      <c r="E18" t="n">
        <v>12.9</v>
      </c>
      <c r="F18" t="n">
        <v>12.1</v>
      </c>
      <c r="G18" t="n">
        <v>12.9</v>
      </c>
      <c r="H18" t="n">
        <v>10</v>
      </c>
      <c r="J18" t="n">
        <v>12.25</v>
      </c>
      <c r="K18" t="n">
        <v>13</v>
      </c>
      <c r="L18" t="n">
        <v>12</v>
      </c>
      <c r="M18" t="n">
        <v>11.75</v>
      </c>
      <c r="N18" t="n">
        <v>13.75</v>
      </c>
      <c r="O18" t="n">
        <v>13.75</v>
      </c>
      <c r="P18" t="n">
        <v>15.25</v>
      </c>
      <c r="R18" t="n">
        <v>0.125</v>
      </c>
      <c r="S18" s="54" t="n">
        <v>0.1818181818181818</v>
      </c>
      <c r="T18" s="54" t="n">
        <v>0.1111111111111111</v>
      </c>
      <c r="U18" s="54" t="n">
        <v>0.09027777777777778</v>
      </c>
      <c r="V18" s="54" t="n">
        <v>0.1833333333333333</v>
      </c>
      <c r="W18" s="54" t="n">
        <v>0.1607142857142857</v>
      </c>
      <c r="X18" s="54" t="n">
        <v>0.1</v>
      </c>
      <c r="Y18" s="54" t="n"/>
      <c r="Z18" t="n">
        <v>10.71875</v>
      </c>
      <c r="AA18" t="n">
        <v>10.63636363636364</v>
      </c>
      <c r="AB18" t="n">
        <v>10.66666666666667</v>
      </c>
      <c r="AC18" t="n">
        <v>10.68923611111111</v>
      </c>
      <c r="AD18" t="n">
        <v>11.22916666666667</v>
      </c>
      <c r="AE18" t="n">
        <v>11.54017857142857</v>
      </c>
      <c r="AF18" t="n">
        <v>13.725</v>
      </c>
      <c r="AH18" t="n">
        <v>1.576286764705882</v>
      </c>
      <c r="AI18" s="54" t="n">
        <v>0.7763769077637691</v>
      </c>
      <c r="AJ18" s="54" t="n">
        <v>0.8268733850129198</v>
      </c>
      <c r="AK18" s="54" t="n">
        <v>0.8286229543496985</v>
      </c>
      <c r="AL18" s="54" t="n">
        <v>0.928030303030303</v>
      </c>
      <c r="AM18" s="54" t="n">
        <v>0.8945874861572536</v>
      </c>
      <c r="AN18" s="54" t="n">
        <v>1.3725</v>
      </c>
      <c r="AO18" s="54" t="n"/>
    </row>
    <row r="19">
      <c r="A19" t="inlineStr">
        <is>
          <t>16:00</t>
        </is>
      </c>
      <c r="B19" t="n">
        <v>7.5</v>
      </c>
      <c r="C19" t="n">
        <v>15.6</v>
      </c>
      <c r="D19" t="n">
        <v>15.6</v>
      </c>
      <c r="E19" t="n">
        <v>16.4</v>
      </c>
      <c r="F19" t="n">
        <v>15.6</v>
      </c>
      <c r="G19" t="n">
        <v>17.2</v>
      </c>
      <c r="H19" t="n">
        <v>10.7</v>
      </c>
      <c r="J19" t="n">
        <v>15.75</v>
      </c>
      <c r="K19" t="n">
        <v>16</v>
      </c>
      <c r="L19" t="n">
        <v>15.25</v>
      </c>
      <c r="M19" t="n">
        <v>15.5</v>
      </c>
      <c r="N19" t="n">
        <v>15.5</v>
      </c>
      <c r="O19" t="n">
        <v>15.75</v>
      </c>
      <c r="P19" t="n">
        <v>19.25</v>
      </c>
      <c r="R19" t="n">
        <v>0.1367521367521367</v>
      </c>
      <c r="S19" s="54" t="n">
        <v>0.07037037037037036</v>
      </c>
      <c r="T19" s="54" t="n">
        <v>0.05862068965517241</v>
      </c>
      <c r="U19" s="54" t="n">
        <v>0.053125</v>
      </c>
      <c r="V19" s="54" t="n">
        <v>0.09285714285714286</v>
      </c>
      <c r="W19" s="54" t="n">
        <v>0.08984375</v>
      </c>
      <c r="X19" s="54" t="n">
        <v>0.1043478260869565</v>
      </c>
      <c r="Y19" s="54" t="n"/>
      <c r="Z19" t="n">
        <v>13.59615384615385</v>
      </c>
      <c r="AA19" t="n">
        <v>14.87407407407407</v>
      </c>
      <c r="AB19" t="n">
        <v>14.35603448275862</v>
      </c>
      <c r="AC19" t="n">
        <v>14.6765625</v>
      </c>
      <c r="AD19" t="n">
        <v>14.06071428571429</v>
      </c>
      <c r="AE19" t="n">
        <v>14.3349609375</v>
      </c>
      <c r="AF19" t="n">
        <v>17.24130434782609</v>
      </c>
      <c r="AH19" t="n">
        <v>1.812820512820513</v>
      </c>
      <c r="AI19" s="54" t="n">
        <v>0.9534662867996201</v>
      </c>
      <c r="AJ19" s="54" t="n">
        <v>0.9202586206896551</v>
      </c>
      <c r="AK19" s="54" t="n">
        <v>0.8949123475609757</v>
      </c>
      <c r="AL19" s="54" t="n">
        <v>0.9013278388278388</v>
      </c>
      <c r="AM19" s="54" t="n">
        <v>0.8334279614825582</v>
      </c>
      <c r="AN19" s="54" t="n">
        <v>1.611336854937018</v>
      </c>
      <c r="AO19" s="54" t="n"/>
    </row>
    <row r="20">
      <c r="A20" t="inlineStr">
        <is>
          <t>17:00</t>
        </is>
      </c>
      <c r="B20" t="n">
        <v>14</v>
      </c>
      <c r="C20" t="n">
        <v>25.8</v>
      </c>
      <c r="D20" t="n">
        <v>20.2</v>
      </c>
      <c r="E20" t="n">
        <v>24.2</v>
      </c>
      <c r="F20" t="n">
        <v>21.8</v>
      </c>
      <c r="G20" t="n">
        <v>24.2</v>
      </c>
      <c r="H20" t="n">
        <v>18.3</v>
      </c>
      <c r="J20" t="n">
        <v>13.75</v>
      </c>
      <c r="K20" t="n">
        <v>30.25</v>
      </c>
      <c r="L20" t="n">
        <v>30.5</v>
      </c>
      <c r="M20" t="n">
        <v>30.5</v>
      </c>
      <c r="N20" t="n">
        <v>30</v>
      </c>
      <c r="O20" t="n">
        <v>29.75</v>
      </c>
      <c r="P20" t="n">
        <v>17.5</v>
      </c>
      <c r="R20" t="n">
        <v>0.1241830065359477</v>
      </c>
      <c r="S20" s="54" t="n">
        <v>0.08484848484848485</v>
      </c>
      <c r="T20" s="54" t="n">
        <v>0.06969696969696969</v>
      </c>
      <c r="U20" s="54" t="n">
        <v>0.06336088154269973</v>
      </c>
      <c r="V20" s="54" t="n">
        <v>0.1133333333333333</v>
      </c>
      <c r="W20" s="54" t="n">
        <v>0.1213235294117647</v>
      </c>
      <c r="X20" s="54" t="n">
        <v>0.1347826086956522</v>
      </c>
      <c r="Y20" s="54" t="n"/>
      <c r="Z20" t="n">
        <v>12.04248366013072</v>
      </c>
      <c r="AA20" t="n">
        <v>27.68333333333333</v>
      </c>
      <c r="AB20" t="n">
        <v>28.37424242424242</v>
      </c>
      <c r="AC20" t="n">
        <v>28.56749311294766</v>
      </c>
      <c r="AD20" t="n">
        <v>26.6</v>
      </c>
      <c r="AE20" t="n">
        <v>26.140625</v>
      </c>
      <c r="AF20" t="n">
        <v>15.14130434782609</v>
      </c>
      <c r="AH20" t="n">
        <v>0.8601774042950513</v>
      </c>
      <c r="AI20" s="54" t="n">
        <v>1.072997416020672</v>
      </c>
      <c r="AJ20" s="54" t="n">
        <v>1.404665466546655</v>
      </c>
      <c r="AK20" s="54" t="n">
        <v>1.18047492202263</v>
      </c>
      <c r="AL20" s="54" t="n">
        <v>1.220183486238532</v>
      </c>
      <c r="AM20" s="54" t="n">
        <v>1.080191115702479</v>
      </c>
      <c r="AN20" s="54" t="n">
        <v>0.8273936802090758</v>
      </c>
      <c r="AO20" s="54" t="n"/>
    </row>
    <row r="21">
      <c r="A21" t="inlineStr">
        <is>
          <t>18:00</t>
        </is>
      </c>
      <c r="B21" t="n">
        <v>14.3</v>
      </c>
      <c r="C21" t="n">
        <v>25.8</v>
      </c>
      <c r="D21" t="n">
        <v>21</v>
      </c>
      <c r="E21" t="n">
        <v>25</v>
      </c>
      <c r="F21" t="n">
        <v>22.6</v>
      </c>
      <c r="G21" t="n">
        <v>25</v>
      </c>
      <c r="H21" t="n">
        <v>18.6</v>
      </c>
      <c r="J21" t="n">
        <v>13.75</v>
      </c>
      <c r="K21" t="n">
        <v>27.75</v>
      </c>
      <c r="L21" t="n">
        <v>29.25</v>
      </c>
      <c r="M21" t="n">
        <v>28.75</v>
      </c>
      <c r="N21" t="n">
        <v>29.25</v>
      </c>
      <c r="O21" t="n">
        <v>29.25</v>
      </c>
      <c r="P21" t="n">
        <v>17.5</v>
      </c>
      <c r="R21" t="n">
        <v>0.1241830065359477</v>
      </c>
      <c r="S21" s="54" t="n">
        <v>0.08522727272727272</v>
      </c>
      <c r="T21" s="54" t="n">
        <v>0.07954545454545454</v>
      </c>
      <c r="U21" s="54" t="n">
        <v>0.07272727272727272</v>
      </c>
      <c r="V21" s="54" t="n">
        <v>0.1161290322580645</v>
      </c>
      <c r="W21" s="54" t="n">
        <v>0.1284722222222222</v>
      </c>
      <c r="X21" s="54" t="n">
        <v>0.1347826086956522</v>
      </c>
      <c r="Y21" s="54" t="n"/>
      <c r="Z21" t="n">
        <v>12.04248366013072</v>
      </c>
      <c r="AA21" t="n">
        <v>25.38494318181818</v>
      </c>
      <c r="AB21" t="n">
        <v>26.92329545454545</v>
      </c>
      <c r="AC21" t="n">
        <v>26.65909090909091</v>
      </c>
      <c r="AD21" t="n">
        <v>25.85322580645161</v>
      </c>
      <c r="AE21" t="n">
        <v>25.4921875</v>
      </c>
      <c r="AF21" t="n">
        <v>15.14130434782609</v>
      </c>
      <c r="AH21" t="n">
        <v>0.8421317244846656</v>
      </c>
      <c r="AI21" s="54" t="n">
        <v>0.9839125264270614</v>
      </c>
      <c r="AJ21" s="54" t="n">
        <v>1.282061688311688</v>
      </c>
      <c r="AK21" s="54" t="n">
        <v>1.066363636363636</v>
      </c>
      <c r="AL21" s="54" t="n">
        <v>1.143948044533257</v>
      </c>
      <c r="AM21" s="54" t="n">
        <v>1.0196875</v>
      </c>
      <c r="AN21" s="54" t="n">
        <v>0.8140486208508648</v>
      </c>
      <c r="AO21" s="54" t="n"/>
    </row>
    <row r="22">
      <c r="A22" t="inlineStr">
        <is>
          <t>19:00</t>
        </is>
      </c>
      <c r="B22" t="n">
        <v>15.1</v>
      </c>
      <c r="C22" t="n">
        <v>25</v>
      </c>
      <c r="D22" t="n">
        <v>22.6</v>
      </c>
      <c r="E22" t="n">
        <v>25</v>
      </c>
      <c r="F22" t="n">
        <v>24.2</v>
      </c>
      <c r="G22" t="n">
        <v>25</v>
      </c>
      <c r="H22" t="n">
        <v>19.4</v>
      </c>
      <c r="J22" t="n">
        <v>16.5</v>
      </c>
      <c r="K22" t="n">
        <v>29</v>
      </c>
      <c r="L22" t="n">
        <v>27.5</v>
      </c>
      <c r="M22" t="n">
        <v>28</v>
      </c>
      <c r="N22" t="n">
        <v>27</v>
      </c>
      <c r="O22" t="n">
        <v>27.5</v>
      </c>
      <c r="P22" t="n">
        <v>19.5</v>
      </c>
      <c r="R22" t="n">
        <v>0.117283950617284</v>
      </c>
      <c r="S22" s="54" t="n">
        <v>0.08522727272727272</v>
      </c>
      <c r="T22" s="54" t="n">
        <v>0.07954545454545454</v>
      </c>
      <c r="U22" s="54" t="n">
        <v>0.07272727272727272</v>
      </c>
      <c r="V22" s="54" t="n">
        <v>0.1161290322580645</v>
      </c>
      <c r="W22" s="54" t="n">
        <v>0.1284722222222222</v>
      </c>
      <c r="X22" s="54" t="n">
        <v>0.132</v>
      </c>
      <c r="Y22" s="54" t="n"/>
      <c r="Z22" t="n">
        <v>14.56481481481481</v>
      </c>
      <c r="AA22" t="n">
        <v>26.52840909090909</v>
      </c>
      <c r="AB22" t="n">
        <v>25.3125</v>
      </c>
      <c r="AC22" t="n">
        <v>25.96363636363636</v>
      </c>
      <c r="AD22" t="n">
        <v>23.86451612903226</v>
      </c>
      <c r="AE22" t="n">
        <v>23.96701388888889</v>
      </c>
      <c r="AF22" t="n">
        <v>16.926</v>
      </c>
      <c r="AH22" t="n">
        <v>0.9645572725042922</v>
      </c>
      <c r="AI22" s="54" t="n">
        <v>1.061136363636364</v>
      </c>
      <c r="AJ22" s="54" t="n">
        <v>1.120022123893805</v>
      </c>
      <c r="AK22" s="54" t="n">
        <v>1.038545454545454</v>
      </c>
      <c r="AL22" s="54" t="n">
        <v>0.9861370301253001</v>
      </c>
      <c r="AM22" s="54" t="n">
        <v>0.9586805555555555</v>
      </c>
      <c r="AN22" s="54" t="n">
        <v>0.8724742268041237</v>
      </c>
      <c r="AO22" s="54" t="n"/>
    </row>
    <row r="23">
      <c r="A23" t="inlineStr">
        <is>
          <t>20:00</t>
        </is>
      </c>
      <c r="B23" t="n">
        <v>15.9</v>
      </c>
      <c r="C23" t="n">
        <v>25</v>
      </c>
      <c r="D23" t="n">
        <v>23.4</v>
      </c>
      <c r="E23" t="n">
        <v>25</v>
      </c>
      <c r="F23" t="n">
        <v>25</v>
      </c>
      <c r="G23" t="n">
        <v>25.8</v>
      </c>
      <c r="H23" t="n">
        <v>20.2</v>
      </c>
      <c r="J23" t="n">
        <v>13.5</v>
      </c>
      <c r="K23" t="n">
        <v>30.25</v>
      </c>
      <c r="L23" t="n">
        <v>30.75</v>
      </c>
      <c r="M23" t="n">
        <v>30.75</v>
      </c>
      <c r="N23" t="n">
        <v>27.75</v>
      </c>
      <c r="O23" t="n">
        <v>27.25</v>
      </c>
      <c r="P23" t="n">
        <v>17</v>
      </c>
      <c r="R23" t="n">
        <v>0.1228070175438597</v>
      </c>
      <c r="S23" s="54" t="n">
        <v>0.09641873278236913</v>
      </c>
      <c r="T23" s="54" t="n">
        <v>0.09358288770053476</v>
      </c>
      <c r="U23" s="54" t="n">
        <v>0.08838383838383838</v>
      </c>
      <c r="V23" s="54" t="n">
        <v>0.1125</v>
      </c>
      <c r="W23" s="54" t="n">
        <v>0.1317567567567567</v>
      </c>
      <c r="X23" s="54" t="n">
        <v>0.1461538461538461</v>
      </c>
      <c r="Y23" s="54" t="n"/>
      <c r="Z23" t="n">
        <v>11.84210526315789</v>
      </c>
      <c r="AA23" t="n">
        <v>27.33333333333334</v>
      </c>
      <c r="AB23" t="n">
        <v>27.87232620320856</v>
      </c>
      <c r="AC23" t="n">
        <v>28.03219696969697</v>
      </c>
      <c r="AD23" t="n">
        <v>24.628125</v>
      </c>
      <c r="AE23" t="n">
        <v>23.65962837837838</v>
      </c>
      <c r="AF23" t="n">
        <v>14.51538461538462</v>
      </c>
      <c r="AH23" t="n">
        <v>0.7447864945382323</v>
      </c>
      <c r="AI23" s="54" t="n">
        <v>1.093333333333333</v>
      </c>
      <c r="AJ23" s="54" t="n">
        <v>1.191125051419169</v>
      </c>
      <c r="AK23" s="54" t="n">
        <v>1.121287878787879</v>
      </c>
      <c r="AL23" s="54" t="n">
        <v>0.9851249999999999</v>
      </c>
      <c r="AM23" s="54" t="n">
        <v>0.9170398596270689</v>
      </c>
      <c r="AN23" s="54" t="n">
        <v>0.7185833968012187</v>
      </c>
      <c r="AO23" s="54" t="n"/>
    </row>
    <row r="24">
      <c r="A24" t="inlineStr">
        <is>
          <t>21:00</t>
        </is>
      </c>
      <c r="B24" t="n">
        <v>15.9</v>
      </c>
      <c r="C24" t="n">
        <v>23.4</v>
      </c>
      <c r="D24" t="n">
        <v>23.4</v>
      </c>
      <c r="E24" t="n">
        <v>24.2</v>
      </c>
      <c r="F24" t="n">
        <v>25</v>
      </c>
      <c r="G24" t="n">
        <v>23.4</v>
      </c>
      <c r="H24" t="n">
        <v>19.9</v>
      </c>
      <c r="J24" t="n">
        <v>15.5</v>
      </c>
      <c r="K24" t="n">
        <v>31.5</v>
      </c>
      <c r="L24" t="n">
        <v>31.5</v>
      </c>
      <c r="M24" t="n">
        <v>31.25</v>
      </c>
      <c r="N24" t="n">
        <v>30.5</v>
      </c>
      <c r="O24" t="n">
        <v>30.5</v>
      </c>
      <c r="P24" t="n">
        <v>19</v>
      </c>
      <c r="R24" t="n">
        <v>0.1166666666666667</v>
      </c>
      <c r="S24" s="54" t="n">
        <v>0.08823529411764706</v>
      </c>
      <c r="T24" s="54" t="n">
        <v>0.1064935064935065</v>
      </c>
      <c r="U24" s="54" t="n">
        <v>0.1007371007371007</v>
      </c>
      <c r="V24" s="54" t="n">
        <v>0.1303030303030303</v>
      </c>
      <c r="W24" s="54" t="n">
        <v>0.1228070175438597</v>
      </c>
      <c r="X24" s="54" t="n">
        <v>0.1581196581196581</v>
      </c>
      <c r="Y24" s="54" t="n"/>
      <c r="Z24" t="n">
        <v>13.69166666666667</v>
      </c>
      <c r="AA24" t="n">
        <v>28.72058823529412</v>
      </c>
      <c r="AB24" t="n">
        <v>28.14545454545454</v>
      </c>
      <c r="AC24" t="n">
        <v>28.1019656019656</v>
      </c>
      <c r="AD24" t="n">
        <v>26.52575757575757</v>
      </c>
      <c r="AE24" t="n">
        <v>26.75438596491228</v>
      </c>
      <c r="AF24" t="n">
        <v>15.9957264957265</v>
      </c>
      <c r="AH24" t="n">
        <v>0.861111111111111</v>
      </c>
      <c r="AI24" s="54" t="n">
        <v>1.22737556561086</v>
      </c>
      <c r="AJ24" s="54" t="n">
        <v>1.202797202797203</v>
      </c>
      <c r="AK24" s="54" t="n">
        <v>1.161238248015108</v>
      </c>
      <c r="AL24" s="54" t="n">
        <v>1.061030303030303</v>
      </c>
      <c r="AM24" s="54" t="n">
        <v>1.143349827560354</v>
      </c>
      <c r="AN24" s="54" t="n">
        <v>0.8038053515440451</v>
      </c>
      <c r="AO24" s="54" t="n"/>
    </row>
    <row r="25">
      <c r="A25" t="inlineStr">
        <is>
          <t>22:00</t>
        </is>
      </c>
      <c r="B25" t="n">
        <v>14.8</v>
      </c>
      <c r="C25" t="n">
        <v>21.8</v>
      </c>
      <c r="D25" t="n">
        <v>21.8</v>
      </c>
      <c r="E25" t="n">
        <v>23.4</v>
      </c>
      <c r="F25" t="n">
        <v>22.6</v>
      </c>
      <c r="G25" t="n">
        <v>20.2</v>
      </c>
      <c r="H25" t="n">
        <v>17.5</v>
      </c>
      <c r="J25" t="n">
        <v>24.25</v>
      </c>
      <c r="K25" t="n">
        <v>35</v>
      </c>
      <c r="L25" t="n">
        <v>33.5</v>
      </c>
      <c r="M25" t="n">
        <v>33.75</v>
      </c>
      <c r="N25" t="n">
        <v>33.5</v>
      </c>
      <c r="O25" t="n">
        <v>30.5</v>
      </c>
      <c r="P25" t="n">
        <v>27.5</v>
      </c>
      <c r="R25" t="n">
        <v>0.1</v>
      </c>
      <c r="S25" s="54" t="n">
        <v>0.07954545454545454</v>
      </c>
      <c r="T25" s="54" t="n">
        <v>0.09318181818181817</v>
      </c>
      <c r="U25" s="54" t="n">
        <v>0.0909090909090909</v>
      </c>
      <c r="V25" s="54" t="n">
        <v>0.105</v>
      </c>
      <c r="W25" s="54" t="n">
        <v>0.1058201058201058</v>
      </c>
      <c r="X25" s="54" t="n">
        <v>0.1392857142857143</v>
      </c>
      <c r="Y25" s="54" t="n"/>
      <c r="Z25" t="n">
        <v>21.825</v>
      </c>
      <c r="AA25" t="n">
        <v>32.21590909090909</v>
      </c>
      <c r="AB25" t="n">
        <v>30.37840909090909</v>
      </c>
      <c r="AC25" t="n">
        <v>30.68181818181818</v>
      </c>
      <c r="AD25" t="n">
        <v>29.9825</v>
      </c>
      <c r="AE25" t="n">
        <v>27.27248677248677</v>
      </c>
      <c r="AF25" t="n">
        <v>23.66964285714286</v>
      </c>
      <c r="AH25" t="n">
        <v>1.474662162162162</v>
      </c>
      <c r="AI25" s="54" t="n">
        <v>1.47779399499583</v>
      </c>
      <c r="AJ25" s="54" t="n">
        <v>1.393505004170142</v>
      </c>
      <c r="AK25" s="54" t="n">
        <v>1.311188811188811</v>
      </c>
      <c r="AL25" s="54" t="n">
        <v>1.326659292035398</v>
      </c>
      <c r="AM25" s="54" t="n">
        <v>1.35012310754885</v>
      </c>
      <c r="AN25" s="54" t="n">
        <v>1.352551020408163</v>
      </c>
      <c r="AO25" s="54" t="n"/>
    </row>
    <row r="26">
      <c r="A26" t="inlineStr">
        <is>
          <t>23:00</t>
        </is>
      </c>
      <c r="B26" t="n">
        <v>28</v>
      </c>
      <c r="C26" t="n">
        <v>40.8</v>
      </c>
      <c r="D26" t="n">
        <v>42.4</v>
      </c>
      <c r="E26" t="n">
        <v>40.8</v>
      </c>
      <c r="F26" t="n">
        <v>44</v>
      </c>
      <c r="G26" t="n">
        <v>34</v>
      </c>
      <c r="H26" t="n">
        <v>28.6</v>
      </c>
      <c r="J26" t="n">
        <v>27</v>
      </c>
      <c r="K26" t="n">
        <v>45</v>
      </c>
      <c r="L26" t="n">
        <v>44</v>
      </c>
      <c r="M26" t="n">
        <v>44</v>
      </c>
      <c r="N26" t="n">
        <v>44</v>
      </c>
      <c r="O26" t="n">
        <v>41</v>
      </c>
      <c r="P26" t="n">
        <v>31</v>
      </c>
      <c r="R26" t="n">
        <v>0.105</v>
      </c>
      <c r="S26" s="54" t="n">
        <v>0.08108108108108109</v>
      </c>
      <c r="T26" s="54" t="n">
        <v>0.1057142857142857</v>
      </c>
      <c r="U26" s="54" t="n">
        <v>0.1057142857142857</v>
      </c>
      <c r="V26" s="54" t="n">
        <v>0.1057142857142857</v>
      </c>
      <c r="W26" s="54" t="n">
        <v>0.1174603174603174</v>
      </c>
      <c r="X26" s="54" t="n">
        <v>0.1590909090909091</v>
      </c>
      <c r="Y26" s="54" t="n"/>
      <c r="Z26" t="n">
        <v>24.165</v>
      </c>
      <c r="AA26" t="n">
        <v>41.35135135135135</v>
      </c>
      <c r="AB26" t="n">
        <v>39.34857142857143</v>
      </c>
      <c r="AC26" t="n">
        <v>39.34857142857143</v>
      </c>
      <c r="AD26" t="n">
        <v>39.34857142857143</v>
      </c>
      <c r="AE26" t="n">
        <v>36.18412698412699</v>
      </c>
      <c r="AF26" t="n">
        <v>26.06818181818182</v>
      </c>
      <c r="AH26" t="n">
        <v>0.8630357142857142</v>
      </c>
      <c r="AI26" s="54" t="n">
        <v>1.013513513513513</v>
      </c>
      <c r="AJ26" s="54" t="n">
        <v>0.9280323450134772</v>
      </c>
      <c r="AK26" s="54" t="n">
        <v>0.9644257703081234</v>
      </c>
      <c r="AL26" s="54" t="n">
        <v>0.8942857142857144</v>
      </c>
      <c r="AM26" s="54" t="n">
        <v>1.064239028944912</v>
      </c>
      <c r="AN26" s="54" t="n">
        <v>0.9114748887476161</v>
      </c>
      <c r="AO26" s="54" t="n"/>
    </row>
  </sheetData>
  <mergeCells count="1">
    <mergeCell ref="A1:AR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S282"/>
  <sheetViews>
    <sheetView showGridLines="0" workbookViewId="0">
      <selection activeCell="A1" sqref="A1"/>
    </sheetView>
  </sheetViews>
  <sheetFormatPr baseColWidth="8" defaultRowHeight="15"/>
  <cols>
    <col width="15" customWidth="1" style="45" min="1" max="19"/>
  </cols>
  <sheetData>
    <row r="1">
      <c r="A1" s="48" t="inlineStr">
        <is>
          <t>Slot</t>
        </is>
      </c>
      <c r="B1" s="48" t="inlineStr">
        <is>
          <t>Associate</t>
        </is>
      </c>
      <c r="C1" s="48" t="inlineStr">
        <is>
          <t>Work Day</t>
        </is>
      </c>
      <c r="D1" s="48" t="inlineStr">
        <is>
          <t>Shift</t>
        </is>
      </c>
      <c r="E1" s="48" t="inlineStr">
        <is>
          <t>Break 1 Type</t>
        </is>
      </c>
      <c r="F1" s="48" t="inlineStr">
        <is>
          <t>Break 1 Time</t>
        </is>
      </c>
      <c r="G1" s="48" t="inlineStr">
        <is>
          <t>Break 1 Day</t>
        </is>
      </c>
      <c r="H1" s="48" t="inlineStr">
        <is>
          <t>Break 1 Interval</t>
        </is>
      </c>
      <c r="I1" s="48" t="inlineStr">
        <is>
          <t>Break 1 Deduct</t>
        </is>
      </c>
      <c r="J1" s="48" t="inlineStr">
        <is>
          <t>Break 2 Type</t>
        </is>
      </c>
      <c r="K1" s="48" t="inlineStr">
        <is>
          <t>Break 2 Time</t>
        </is>
      </c>
      <c r="L1" s="48" t="inlineStr">
        <is>
          <t>Break 2 Day</t>
        </is>
      </c>
      <c r="M1" s="48" t="inlineStr">
        <is>
          <t>Break 2 Interval</t>
        </is>
      </c>
      <c r="N1" s="48" t="inlineStr">
        <is>
          <t>Break 2 Deduct</t>
        </is>
      </c>
      <c r="O1" s="48" t="inlineStr">
        <is>
          <t>Break 3 Type</t>
        </is>
      </c>
      <c r="P1" s="48" t="inlineStr">
        <is>
          <t>Break 3 Time</t>
        </is>
      </c>
      <c r="Q1" s="48" t="inlineStr">
        <is>
          <t>Break 3 Day</t>
        </is>
      </c>
      <c r="R1" s="48" t="inlineStr">
        <is>
          <t>Break 3 Interval</t>
        </is>
      </c>
      <c r="S1" s="48" t="inlineStr">
        <is>
          <t>Break 3 Deduct</t>
        </is>
      </c>
    </row>
    <row r="2">
      <c r="A2" t="n">
        <v>1</v>
      </c>
      <c r="B2" t="inlineStr">
        <is>
          <t>Amr Farouk</t>
        </is>
      </c>
      <c r="C2" t="inlineStr">
        <is>
          <t>Tue</t>
        </is>
      </c>
      <c r="D2" t="inlineStr">
        <is>
          <t>14:00 - 01:00</t>
        </is>
      </c>
      <c r="E2" t="inlineStr">
        <is>
          <t>Short 1</t>
        </is>
      </c>
      <c r="F2" t="inlineStr">
        <is>
          <t>16:30</t>
        </is>
      </c>
      <c r="G2" t="inlineStr">
        <is>
          <t>Tue</t>
        </is>
      </c>
      <c r="H2" t="inlineStr">
        <is>
          <t>16:00</t>
        </is>
      </c>
      <c r="I2" t="n">
        <v>0.25</v>
      </c>
      <c r="J2" t="inlineStr">
        <is>
          <t>Lunch</t>
        </is>
      </c>
      <c r="K2" t="inlineStr">
        <is>
          <t>19:30</t>
        </is>
      </c>
      <c r="L2" t="inlineStr">
        <is>
          <t>Tue</t>
        </is>
      </c>
      <c r="M2" t="inlineStr">
        <is>
          <t>19:00</t>
        </is>
      </c>
      <c r="N2" t="n">
        <v>0.5</v>
      </c>
      <c r="O2" t="inlineStr">
        <is>
          <t>Short 2</t>
        </is>
      </c>
      <c r="P2" t="inlineStr">
        <is>
          <t>22:30</t>
        </is>
      </c>
      <c r="Q2" t="inlineStr">
        <is>
          <t>Tue</t>
        </is>
      </c>
      <c r="R2" t="inlineStr">
        <is>
          <t>22:00</t>
        </is>
      </c>
      <c r="S2" t="n">
        <v>0.25</v>
      </c>
    </row>
    <row r="3">
      <c r="A3" t="n">
        <v>1</v>
      </c>
      <c r="B3" t="inlineStr">
        <is>
          <t>Amr Farouk</t>
        </is>
      </c>
      <c r="C3" t="inlineStr">
        <is>
          <t>Wed</t>
        </is>
      </c>
      <c r="D3" t="inlineStr">
        <is>
          <t>14:00 - 01:00</t>
        </is>
      </c>
      <c r="E3" t="inlineStr">
        <is>
          <t>Short 1</t>
        </is>
      </c>
      <c r="F3" t="inlineStr">
        <is>
          <t>16:30</t>
        </is>
      </c>
      <c r="G3" t="inlineStr">
        <is>
          <t>Wed</t>
        </is>
      </c>
      <c r="H3" t="inlineStr">
        <is>
          <t>16:00</t>
        </is>
      </c>
      <c r="I3" t="n">
        <v>0.25</v>
      </c>
      <c r="J3" t="inlineStr">
        <is>
          <t>Lunch</t>
        </is>
      </c>
      <c r="K3" t="inlineStr">
        <is>
          <t>19:30</t>
        </is>
      </c>
      <c r="L3" t="inlineStr">
        <is>
          <t>Wed</t>
        </is>
      </c>
      <c r="M3" t="inlineStr">
        <is>
          <t>19:00</t>
        </is>
      </c>
      <c r="N3" t="n">
        <v>0.5</v>
      </c>
      <c r="O3" t="inlineStr">
        <is>
          <t>Short 2</t>
        </is>
      </c>
      <c r="P3" t="inlineStr">
        <is>
          <t>22:30</t>
        </is>
      </c>
      <c r="Q3" t="inlineStr">
        <is>
          <t>Wed</t>
        </is>
      </c>
      <c r="R3" t="inlineStr">
        <is>
          <t>22:00</t>
        </is>
      </c>
      <c r="S3" t="n">
        <v>0.25</v>
      </c>
    </row>
    <row r="4">
      <c r="A4" t="n">
        <v>1</v>
      </c>
      <c r="B4" t="inlineStr">
        <is>
          <t>Amr Farouk</t>
        </is>
      </c>
      <c r="C4" t="inlineStr">
        <is>
          <t>Thu</t>
        </is>
      </c>
      <c r="D4" t="inlineStr">
        <is>
          <t>14:00 - 01:00</t>
        </is>
      </c>
      <c r="E4" t="inlineStr">
        <is>
          <t>Short 1</t>
        </is>
      </c>
      <c r="F4" t="inlineStr">
        <is>
          <t>16:30</t>
        </is>
      </c>
      <c r="G4" t="inlineStr">
        <is>
          <t>Thu</t>
        </is>
      </c>
      <c r="H4" t="inlineStr">
        <is>
          <t>16:00</t>
        </is>
      </c>
      <c r="I4" t="n">
        <v>0.25</v>
      </c>
      <c r="J4" t="inlineStr">
        <is>
          <t>Lunch</t>
        </is>
      </c>
      <c r="K4" t="inlineStr">
        <is>
          <t>19:30</t>
        </is>
      </c>
      <c r="L4" t="inlineStr">
        <is>
          <t>Thu</t>
        </is>
      </c>
      <c r="M4" t="inlineStr">
        <is>
          <t>19:00</t>
        </is>
      </c>
      <c r="N4" t="n">
        <v>0.5</v>
      </c>
      <c r="O4" t="inlineStr">
        <is>
          <t>Short 2</t>
        </is>
      </c>
      <c r="P4" t="inlineStr">
        <is>
          <t>22:30</t>
        </is>
      </c>
      <c r="Q4" t="inlineStr">
        <is>
          <t>Thu</t>
        </is>
      </c>
      <c r="R4" t="inlineStr">
        <is>
          <t>22:00</t>
        </is>
      </c>
      <c r="S4" t="n">
        <v>0.25</v>
      </c>
    </row>
    <row r="5">
      <c r="A5" t="n">
        <v>1</v>
      </c>
      <c r="B5" t="inlineStr">
        <is>
          <t>Amr Farouk</t>
        </is>
      </c>
      <c r="C5" t="inlineStr">
        <is>
          <t>Sat</t>
        </is>
      </c>
      <c r="D5" t="inlineStr">
        <is>
          <t>14:00 - 01:00</t>
        </is>
      </c>
      <c r="E5" t="inlineStr">
        <is>
          <t>Short 1</t>
        </is>
      </c>
      <c r="F5" t="inlineStr">
        <is>
          <t>16:30</t>
        </is>
      </c>
      <c r="G5" t="inlineStr">
        <is>
          <t>Sat</t>
        </is>
      </c>
      <c r="H5" t="inlineStr">
        <is>
          <t>16:00</t>
        </is>
      </c>
      <c r="I5" t="n">
        <v>0.25</v>
      </c>
      <c r="J5" t="inlineStr">
        <is>
          <t>Lunch</t>
        </is>
      </c>
      <c r="K5" t="inlineStr">
        <is>
          <t>19:30</t>
        </is>
      </c>
      <c r="L5" t="inlineStr">
        <is>
          <t>Sat</t>
        </is>
      </c>
      <c r="M5" t="inlineStr">
        <is>
          <t>19:00</t>
        </is>
      </c>
      <c r="N5" t="n">
        <v>0.5</v>
      </c>
      <c r="O5" t="inlineStr">
        <is>
          <t>Short 2</t>
        </is>
      </c>
      <c r="P5" t="inlineStr">
        <is>
          <t>22:30</t>
        </is>
      </c>
      <c r="Q5" t="inlineStr">
        <is>
          <t>Sat</t>
        </is>
      </c>
      <c r="R5" t="inlineStr">
        <is>
          <t>22:00</t>
        </is>
      </c>
      <c r="S5" t="n">
        <v>0.25</v>
      </c>
    </row>
    <row r="6">
      <c r="A6" t="n">
        <v>2</v>
      </c>
      <c r="B6" t="inlineStr">
        <is>
          <t>Zack Zakaria</t>
        </is>
      </c>
      <c r="C6" t="inlineStr">
        <is>
          <t>Tue</t>
        </is>
      </c>
      <c r="D6" t="inlineStr">
        <is>
          <t>14:00 - 01:00</t>
        </is>
      </c>
      <c r="E6" t="inlineStr">
        <is>
          <t>Short 1</t>
        </is>
      </c>
      <c r="F6" t="inlineStr">
        <is>
          <t>16:30</t>
        </is>
      </c>
      <c r="G6" t="inlineStr">
        <is>
          <t>Tue</t>
        </is>
      </c>
      <c r="H6" t="inlineStr">
        <is>
          <t>16:00</t>
        </is>
      </c>
      <c r="I6" t="n">
        <v>0.25</v>
      </c>
      <c r="J6" t="inlineStr">
        <is>
          <t>Lunch</t>
        </is>
      </c>
      <c r="K6" t="inlineStr">
        <is>
          <t>19:30</t>
        </is>
      </c>
      <c r="L6" t="inlineStr">
        <is>
          <t>Tue</t>
        </is>
      </c>
      <c r="M6" t="inlineStr">
        <is>
          <t>19:00</t>
        </is>
      </c>
      <c r="N6" t="n">
        <v>0.5</v>
      </c>
      <c r="O6" t="inlineStr">
        <is>
          <t>Short 2</t>
        </is>
      </c>
      <c r="P6" t="inlineStr">
        <is>
          <t>22:30</t>
        </is>
      </c>
      <c r="Q6" t="inlineStr">
        <is>
          <t>Tue</t>
        </is>
      </c>
      <c r="R6" t="inlineStr">
        <is>
          <t>22:00</t>
        </is>
      </c>
      <c r="S6" t="n">
        <v>0.25</v>
      </c>
    </row>
    <row r="7">
      <c r="A7" t="n">
        <v>2</v>
      </c>
      <c r="B7" t="inlineStr">
        <is>
          <t>Zack Zakaria</t>
        </is>
      </c>
      <c r="C7" t="inlineStr">
        <is>
          <t>Wed</t>
        </is>
      </c>
      <c r="D7" t="inlineStr">
        <is>
          <t>14:00 - 01:00</t>
        </is>
      </c>
      <c r="E7" t="inlineStr">
        <is>
          <t>Short 1</t>
        </is>
      </c>
      <c r="F7" t="inlineStr">
        <is>
          <t>16:30</t>
        </is>
      </c>
      <c r="G7" t="inlineStr">
        <is>
          <t>Wed</t>
        </is>
      </c>
      <c r="H7" t="inlineStr">
        <is>
          <t>16:00</t>
        </is>
      </c>
      <c r="I7" t="n">
        <v>0.25</v>
      </c>
      <c r="J7" t="inlineStr">
        <is>
          <t>Lunch</t>
        </is>
      </c>
      <c r="K7" t="inlineStr">
        <is>
          <t>19:30</t>
        </is>
      </c>
      <c r="L7" t="inlineStr">
        <is>
          <t>Wed</t>
        </is>
      </c>
      <c r="M7" t="inlineStr">
        <is>
          <t>19:00</t>
        </is>
      </c>
      <c r="N7" t="n">
        <v>0.5</v>
      </c>
      <c r="O7" t="inlineStr">
        <is>
          <t>Short 2</t>
        </is>
      </c>
      <c r="P7" t="inlineStr">
        <is>
          <t>22:30</t>
        </is>
      </c>
      <c r="Q7" t="inlineStr">
        <is>
          <t>Wed</t>
        </is>
      </c>
      <c r="R7" t="inlineStr">
        <is>
          <t>22:00</t>
        </is>
      </c>
      <c r="S7" t="n">
        <v>0.25</v>
      </c>
    </row>
    <row r="8">
      <c r="A8" t="n">
        <v>2</v>
      </c>
      <c r="B8" t="inlineStr">
        <is>
          <t>Zack Zakaria</t>
        </is>
      </c>
      <c r="C8" t="inlineStr">
        <is>
          <t>Thu</t>
        </is>
      </c>
      <c r="D8" t="inlineStr">
        <is>
          <t>14:00 - 01:00</t>
        </is>
      </c>
      <c r="E8" t="inlineStr">
        <is>
          <t>Short 1</t>
        </is>
      </c>
      <c r="F8" t="inlineStr">
        <is>
          <t>16:30</t>
        </is>
      </c>
      <c r="G8" t="inlineStr">
        <is>
          <t>Thu</t>
        </is>
      </c>
      <c r="H8" t="inlineStr">
        <is>
          <t>16:00</t>
        </is>
      </c>
      <c r="I8" t="n">
        <v>0.25</v>
      </c>
      <c r="J8" t="inlineStr">
        <is>
          <t>Lunch</t>
        </is>
      </c>
      <c r="K8" t="inlineStr">
        <is>
          <t>19:30</t>
        </is>
      </c>
      <c r="L8" t="inlineStr">
        <is>
          <t>Thu</t>
        </is>
      </c>
      <c r="M8" t="inlineStr">
        <is>
          <t>19:00</t>
        </is>
      </c>
      <c r="N8" t="n">
        <v>0.5</v>
      </c>
      <c r="O8" t="inlineStr">
        <is>
          <t>Short 2</t>
        </is>
      </c>
      <c r="P8" t="inlineStr">
        <is>
          <t>22:30</t>
        </is>
      </c>
      <c r="Q8" t="inlineStr">
        <is>
          <t>Thu</t>
        </is>
      </c>
      <c r="R8" t="inlineStr">
        <is>
          <t>22:00</t>
        </is>
      </c>
      <c r="S8" t="n">
        <v>0.25</v>
      </c>
    </row>
    <row r="9">
      <c r="A9" t="n">
        <v>2</v>
      </c>
      <c r="B9" t="inlineStr">
        <is>
          <t>Zack Zakaria</t>
        </is>
      </c>
      <c r="C9" t="inlineStr">
        <is>
          <t>Sat</t>
        </is>
      </c>
      <c r="D9" t="inlineStr">
        <is>
          <t>14:00 - 01:00</t>
        </is>
      </c>
      <c r="E9" t="inlineStr">
        <is>
          <t>Short 1</t>
        </is>
      </c>
      <c r="F9" t="inlineStr">
        <is>
          <t>16:30</t>
        </is>
      </c>
      <c r="G9" t="inlineStr">
        <is>
          <t>Sat</t>
        </is>
      </c>
      <c r="H9" t="inlineStr">
        <is>
          <t>16:00</t>
        </is>
      </c>
      <c r="I9" t="n">
        <v>0.25</v>
      </c>
      <c r="J9" t="inlineStr">
        <is>
          <t>Lunch</t>
        </is>
      </c>
      <c r="K9" t="inlineStr">
        <is>
          <t>19:30</t>
        </is>
      </c>
      <c r="L9" t="inlineStr">
        <is>
          <t>Sat</t>
        </is>
      </c>
      <c r="M9" t="inlineStr">
        <is>
          <t>19:00</t>
        </is>
      </c>
      <c r="N9" t="n">
        <v>0.5</v>
      </c>
      <c r="O9" t="inlineStr">
        <is>
          <t>Short 2</t>
        </is>
      </c>
      <c r="P9" t="inlineStr">
        <is>
          <t>22:30</t>
        </is>
      </c>
      <c r="Q9" t="inlineStr">
        <is>
          <t>Sat</t>
        </is>
      </c>
      <c r="R9" t="inlineStr">
        <is>
          <t>22:00</t>
        </is>
      </c>
      <c r="S9" t="n">
        <v>0.25</v>
      </c>
    </row>
    <row r="10">
      <c r="A10" t="n">
        <v>3</v>
      </c>
      <c r="B10" t="inlineStr">
        <is>
          <t>Adam Ibrahim</t>
        </is>
      </c>
      <c r="C10" t="inlineStr">
        <is>
          <t>Mon</t>
        </is>
      </c>
      <c r="D10" t="inlineStr">
        <is>
          <t>13:00 - 00:00</t>
        </is>
      </c>
      <c r="E10" t="inlineStr">
        <is>
          <t>Short 1</t>
        </is>
      </c>
      <c r="F10" t="inlineStr">
        <is>
          <t>15:30</t>
        </is>
      </c>
      <c r="G10" t="inlineStr">
        <is>
          <t>Mon</t>
        </is>
      </c>
      <c r="H10" t="inlineStr">
        <is>
          <t>15:00</t>
        </is>
      </c>
      <c r="I10" t="n">
        <v>0.25</v>
      </c>
      <c r="J10" t="inlineStr">
        <is>
          <t>Lunch</t>
        </is>
      </c>
      <c r="K10" t="inlineStr">
        <is>
          <t>18:30</t>
        </is>
      </c>
      <c r="L10" t="inlineStr">
        <is>
          <t>Mon</t>
        </is>
      </c>
      <c r="M10" t="inlineStr">
        <is>
          <t>18:00</t>
        </is>
      </c>
      <c r="N10" t="n">
        <v>0.5</v>
      </c>
      <c r="O10" t="inlineStr">
        <is>
          <t>Short 2</t>
        </is>
      </c>
      <c r="P10" t="inlineStr">
        <is>
          <t>21:30</t>
        </is>
      </c>
      <c r="Q10" t="inlineStr">
        <is>
          <t>Mon</t>
        </is>
      </c>
      <c r="R10" t="inlineStr">
        <is>
          <t>21:00</t>
        </is>
      </c>
      <c r="S10" t="n">
        <v>0.25</v>
      </c>
    </row>
    <row r="11">
      <c r="A11" t="n">
        <v>3</v>
      </c>
      <c r="B11" t="inlineStr">
        <is>
          <t>Adam Ibrahim</t>
        </is>
      </c>
      <c r="C11" t="inlineStr">
        <is>
          <t>Wed</t>
        </is>
      </c>
      <c r="D11" t="inlineStr">
        <is>
          <t>13:00 - 00:00</t>
        </is>
      </c>
      <c r="E11" t="inlineStr">
        <is>
          <t>Short 1</t>
        </is>
      </c>
      <c r="F11" t="inlineStr">
        <is>
          <t>15:30</t>
        </is>
      </c>
      <c r="G11" t="inlineStr">
        <is>
          <t>Wed</t>
        </is>
      </c>
      <c r="H11" t="inlineStr">
        <is>
          <t>15:00</t>
        </is>
      </c>
      <c r="I11" t="n">
        <v>0.25</v>
      </c>
      <c r="J11" t="inlineStr">
        <is>
          <t>Lunch</t>
        </is>
      </c>
      <c r="K11" t="inlineStr">
        <is>
          <t>18:30</t>
        </is>
      </c>
      <c r="L11" t="inlineStr">
        <is>
          <t>Wed</t>
        </is>
      </c>
      <c r="M11" t="inlineStr">
        <is>
          <t>18:00</t>
        </is>
      </c>
      <c r="N11" t="n">
        <v>0.5</v>
      </c>
      <c r="O11" t="inlineStr">
        <is>
          <t>Short 2</t>
        </is>
      </c>
      <c r="P11" t="inlineStr">
        <is>
          <t>21:30</t>
        </is>
      </c>
      <c r="Q11" t="inlineStr">
        <is>
          <t>Wed</t>
        </is>
      </c>
      <c r="R11" t="inlineStr">
        <is>
          <t>21:00</t>
        </is>
      </c>
      <c r="S11" t="n">
        <v>0.25</v>
      </c>
    </row>
    <row r="12">
      <c r="A12" t="n">
        <v>3</v>
      </c>
      <c r="B12" t="inlineStr">
        <is>
          <t>Adam Ibrahim</t>
        </is>
      </c>
      <c r="C12" t="inlineStr">
        <is>
          <t>Thu</t>
        </is>
      </c>
      <c r="D12" t="inlineStr">
        <is>
          <t>13:00 - 00:00</t>
        </is>
      </c>
      <c r="E12" t="inlineStr">
        <is>
          <t>Short 1</t>
        </is>
      </c>
      <c r="F12" t="inlineStr">
        <is>
          <t>15:30</t>
        </is>
      </c>
      <c r="G12" t="inlineStr">
        <is>
          <t>Thu</t>
        </is>
      </c>
      <c r="H12" t="inlineStr">
        <is>
          <t>15:00</t>
        </is>
      </c>
      <c r="I12" t="n">
        <v>0.25</v>
      </c>
      <c r="J12" t="inlineStr">
        <is>
          <t>Lunch</t>
        </is>
      </c>
      <c r="K12" t="inlineStr">
        <is>
          <t>18:30</t>
        </is>
      </c>
      <c r="L12" t="inlineStr">
        <is>
          <t>Thu</t>
        </is>
      </c>
      <c r="M12" t="inlineStr">
        <is>
          <t>18:00</t>
        </is>
      </c>
      <c r="N12" t="n">
        <v>0.5</v>
      </c>
      <c r="O12" t="inlineStr">
        <is>
          <t>Short 2</t>
        </is>
      </c>
      <c r="P12" t="inlineStr">
        <is>
          <t>21:30</t>
        </is>
      </c>
      <c r="Q12" t="inlineStr">
        <is>
          <t>Thu</t>
        </is>
      </c>
      <c r="R12" t="inlineStr">
        <is>
          <t>21:00</t>
        </is>
      </c>
      <c r="S12" t="n">
        <v>0.25</v>
      </c>
    </row>
    <row r="13">
      <c r="A13" t="n">
        <v>3</v>
      </c>
      <c r="B13" t="inlineStr">
        <is>
          <t>Adam Ibrahim</t>
        </is>
      </c>
      <c r="C13" t="inlineStr">
        <is>
          <t>Fri</t>
        </is>
      </c>
      <c r="D13" t="inlineStr">
        <is>
          <t>13:00 - 00:00</t>
        </is>
      </c>
      <c r="E13" t="inlineStr">
        <is>
          <t>Short 1</t>
        </is>
      </c>
      <c r="F13" t="inlineStr">
        <is>
          <t>15:30</t>
        </is>
      </c>
      <c r="G13" t="inlineStr">
        <is>
          <t>Fri</t>
        </is>
      </c>
      <c r="H13" t="inlineStr">
        <is>
          <t>15:00</t>
        </is>
      </c>
      <c r="I13" t="n">
        <v>0.25</v>
      </c>
      <c r="J13" t="inlineStr">
        <is>
          <t>Lunch</t>
        </is>
      </c>
      <c r="K13" t="inlineStr">
        <is>
          <t>18:30</t>
        </is>
      </c>
      <c r="L13" t="inlineStr">
        <is>
          <t>Fri</t>
        </is>
      </c>
      <c r="M13" t="inlineStr">
        <is>
          <t>18:00</t>
        </is>
      </c>
      <c r="N13" t="n">
        <v>0.5</v>
      </c>
      <c r="O13" t="inlineStr">
        <is>
          <t>Short 2</t>
        </is>
      </c>
      <c r="P13" t="inlineStr">
        <is>
          <t>21:30</t>
        </is>
      </c>
      <c r="Q13" t="inlineStr">
        <is>
          <t>Fri</t>
        </is>
      </c>
      <c r="R13" t="inlineStr">
        <is>
          <t>21:00</t>
        </is>
      </c>
      <c r="S13" t="n">
        <v>0.25</v>
      </c>
    </row>
    <row r="14">
      <c r="A14" t="n">
        <v>4</v>
      </c>
      <c r="B14" t="inlineStr">
        <is>
          <t>Nada Suliman</t>
        </is>
      </c>
      <c r="C14" t="inlineStr">
        <is>
          <t>Mon</t>
        </is>
      </c>
      <c r="D14" t="inlineStr">
        <is>
          <t>13:00 - 00:00</t>
        </is>
      </c>
      <c r="E14" t="inlineStr">
        <is>
          <t>Short 1</t>
        </is>
      </c>
      <c r="F14" t="inlineStr">
        <is>
          <t>15:30</t>
        </is>
      </c>
      <c r="G14" t="inlineStr">
        <is>
          <t>Mon</t>
        </is>
      </c>
      <c r="H14" t="inlineStr">
        <is>
          <t>15:00</t>
        </is>
      </c>
      <c r="I14" t="n">
        <v>0.25</v>
      </c>
      <c r="J14" t="inlineStr">
        <is>
          <t>Lunch</t>
        </is>
      </c>
      <c r="K14" t="inlineStr">
        <is>
          <t>18:30</t>
        </is>
      </c>
      <c r="L14" t="inlineStr">
        <is>
          <t>Mon</t>
        </is>
      </c>
      <c r="M14" t="inlineStr">
        <is>
          <t>18:00</t>
        </is>
      </c>
      <c r="N14" t="n">
        <v>0.5</v>
      </c>
      <c r="O14" t="inlineStr">
        <is>
          <t>Short 2</t>
        </is>
      </c>
      <c r="P14" t="inlineStr">
        <is>
          <t>21:30</t>
        </is>
      </c>
      <c r="Q14" t="inlineStr">
        <is>
          <t>Mon</t>
        </is>
      </c>
      <c r="R14" t="inlineStr">
        <is>
          <t>21:00</t>
        </is>
      </c>
      <c r="S14" t="n">
        <v>0.25</v>
      </c>
    </row>
    <row r="15">
      <c r="A15" t="n">
        <v>4</v>
      </c>
      <c r="B15" t="inlineStr">
        <is>
          <t>Nada Suliman</t>
        </is>
      </c>
      <c r="C15" t="inlineStr">
        <is>
          <t>Wed</t>
        </is>
      </c>
      <c r="D15" t="inlineStr">
        <is>
          <t>13:00 - 00:00</t>
        </is>
      </c>
      <c r="E15" t="inlineStr">
        <is>
          <t>Short 1</t>
        </is>
      </c>
      <c r="F15" t="inlineStr">
        <is>
          <t>15:30</t>
        </is>
      </c>
      <c r="G15" t="inlineStr">
        <is>
          <t>Wed</t>
        </is>
      </c>
      <c r="H15" t="inlineStr">
        <is>
          <t>15:00</t>
        </is>
      </c>
      <c r="I15" t="n">
        <v>0.25</v>
      </c>
      <c r="J15" t="inlineStr">
        <is>
          <t>Lunch</t>
        </is>
      </c>
      <c r="K15" t="inlineStr">
        <is>
          <t>18:30</t>
        </is>
      </c>
      <c r="L15" t="inlineStr">
        <is>
          <t>Wed</t>
        </is>
      </c>
      <c r="M15" t="inlineStr">
        <is>
          <t>18:00</t>
        </is>
      </c>
      <c r="N15" t="n">
        <v>0.5</v>
      </c>
      <c r="O15" t="inlineStr">
        <is>
          <t>Short 2</t>
        </is>
      </c>
      <c r="P15" t="inlineStr">
        <is>
          <t>21:30</t>
        </is>
      </c>
      <c r="Q15" t="inlineStr">
        <is>
          <t>Wed</t>
        </is>
      </c>
      <c r="R15" t="inlineStr">
        <is>
          <t>21:00</t>
        </is>
      </c>
      <c r="S15" t="n">
        <v>0.25</v>
      </c>
    </row>
    <row r="16">
      <c r="A16" t="n">
        <v>4</v>
      </c>
      <c r="B16" t="inlineStr">
        <is>
          <t>Nada Suliman</t>
        </is>
      </c>
      <c r="C16" t="inlineStr">
        <is>
          <t>Thu</t>
        </is>
      </c>
      <c r="D16" t="inlineStr">
        <is>
          <t>13:00 - 00:00</t>
        </is>
      </c>
      <c r="E16" t="inlineStr">
        <is>
          <t>Short 1</t>
        </is>
      </c>
      <c r="F16" t="inlineStr">
        <is>
          <t>15:30</t>
        </is>
      </c>
      <c r="G16" t="inlineStr">
        <is>
          <t>Thu</t>
        </is>
      </c>
      <c r="H16" t="inlineStr">
        <is>
          <t>15:00</t>
        </is>
      </c>
      <c r="I16" t="n">
        <v>0.25</v>
      </c>
      <c r="J16" t="inlineStr">
        <is>
          <t>Lunch</t>
        </is>
      </c>
      <c r="K16" t="inlineStr">
        <is>
          <t>18:30</t>
        </is>
      </c>
      <c r="L16" t="inlineStr">
        <is>
          <t>Thu</t>
        </is>
      </c>
      <c r="M16" t="inlineStr">
        <is>
          <t>18:00</t>
        </is>
      </c>
      <c r="N16" t="n">
        <v>0.5</v>
      </c>
      <c r="O16" t="inlineStr">
        <is>
          <t>Short 2</t>
        </is>
      </c>
      <c r="P16" t="inlineStr">
        <is>
          <t>21:30</t>
        </is>
      </c>
      <c r="Q16" t="inlineStr">
        <is>
          <t>Thu</t>
        </is>
      </c>
      <c r="R16" t="inlineStr">
        <is>
          <t>21:00</t>
        </is>
      </c>
      <c r="S16" t="n">
        <v>0.25</v>
      </c>
    </row>
    <row r="17">
      <c r="A17" t="n">
        <v>4</v>
      </c>
      <c r="B17" t="inlineStr">
        <is>
          <t>Nada Suliman</t>
        </is>
      </c>
      <c r="C17" t="inlineStr">
        <is>
          <t>Fri</t>
        </is>
      </c>
      <c r="D17" t="inlineStr">
        <is>
          <t>13:00 - 00:00</t>
        </is>
      </c>
      <c r="E17" t="inlineStr">
        <is>
          <t>Short 1</t>
        </is>
      </c>
      <c r="F17" t="inlineStr">
        <is>
          <t>15:30</t>
        </is>
      </c>
      <c r="G17" t="inlineStr">
        <is>
          <t>Fri</t>
        </is>
      </c>
      <c r="H17" t="inlineStr">
        <is>
          <t>15:00</t>
        </is>
      </c>
      <c r="I17" t="n">
        <v>0.25</v>
      </c>
      <c r="J17" t="inlineStr">
        <is>
          <t>Lunch</t>
        </is>
      </c>
      <c r="K17" t="inlineStr">
        <is>
          <t>18:30</t>
        </is>
      </c>
      <c r="L17" t="inlineStr">
        <is>
          <t>Fri</t>
        </is>
      </c>
      <c r="M17" t="inlineStr">
        <is>
          <t>18:00</t>
        </is>
      </c>
      <c r="N17" t="n">
        <v>0.5</v>
      </c>
      <c r="O17" t="inlineStr">
        <is>
          <t>Short 2</t>
        </is>
      </c>
      <c r="P17" t="inlineStr">
        <is>
          <t>21:30</t>
        </is>
      </c>
      <c r="Q17" t="inlineStr">
        <is>
          <t>Fri</t>
        </is>
      </c>
      <c r="R17" t="inlineStr">
        <is>
          <t>21:00</t>
        </is>
      </c>
      <c r="S17" t="n">
        <v>0.25</v>
      </c>
    </row>
    <row r="18">
      <c r="A18" t="n">
        <v>5</v>
      </c>
      <c r="B18" t="inlineStr">
        <is>
          <t>Mohamed Khalid</t>
        </is>
      </c>
      <c r="C18" t="inlineStr">
        <is>
          <t>Mon</t>
        </is>
      </c>
      <c r="D18" t="inlineStr">
        <is>
          <t>13:00 - 00:00</t>
        </is>
      </c>
      <c r="E18" t="inlineStr">
        <is>
          <t>Short 1</t>
        </is>
      </c>
      <c r="F18" t="inlineStr">
        <is>
          <t>15:30</t>
        </is>
      </c>
      <c r="G18" t="inlineStr">
        <is>
          <t>Mon</t>
        </is>
      </c>
      <c r="H18" t="inlineStr">
        <is>
          <t>15:00</t>
        </is>
      </c>
      <c r="I18" t="n">
        <v>0.25</v>
      </c>
      <c r="J18" t="inlineStr">
        <is>
          <t>Lunch</t>
        </is>
      </c>
      <c r="K18" t="inlineStr">
        <is>
          <t>18:30</t>
        </is>
      </c>
      <c r="L18" t="inlineStr">
        <is>
          <t>Mon</t>
        </is>
      </c>
      <c r="M18" t="inlineStr">
        <is>
          <t>18:00</t>
        </is>
      </c>
      <c r="N18" t="n">
        <v>0.5</v>
      </c>
      <c r="O18" t="inlineStr">
        <is>
          <t>Short 2</t>
        </is>
      </c>
      <c r="P18" t="inlineStr">
        <is>
          <t>21:30</t>
        </is>
      </c>
      <c r="Q18" t="inlineStr">
        <is>
          <t>Mon</t>
        </is>
      </c>
      <c r="R18" t="inlineStr">
        <is>
          <t>21:00</t>
        </is>
      </c>
      <c r="S18" t="n">
        <v>0.25</v>
      </c>
    </row>
    <row r="19">
      <c r="A19" t="n">
        <v>5</v>
      </c>
      <c r="B19" t="inlineStr">
        <is>
          <t>Mohamed Khalid</t>
        </is>
      </c>
      <c r="C19" t="inlineStr">
        <is>
          <t>Tue</t>
        </is>
      </c>
      <c r="D19" t="inlineStr">
        <is>
          <t>13:00 - 00:00</t>
        </is>
      </c>
      <c r="E19" t="inlineStr">
        <is>
          <t>Short 1</t>
        </is>
      </c>
      <c r="F19" t="inlineStr">
        <is>
          <t>15:30</t>
        </is>
      </c>
      <c r="G19" t="inlineStr">
        <is>
          <t>Tue</t>
        </is>
      </c>
      <c r="H19" t="inlineStr">
        <is>
          <t>15:00</t>
        </is>
      </c>
      <c r="I19" t="n">
        <v>0.25</v>
      </c>
      <c r="J19" t="inlineStr">
        <is>
          <t>Lunch</t>
        </is>
      </c>
      <c r="K19" t="inlineStr">
        <is>
          <t>18:30</t>
        </is>
      </c>
      <c r="L19" t="inlineStr">
        <is>
          <t>Tue</t>
        </is>
      </c>
      <c r="M19" t="inlineStr">
        <is>
          <t>18:00</t>
        </is>
      </c>
      <c r="N19" t="n">
        <v>0.5</v>
      </c>
      <c r="O19" t="inlineStr">
        <is>
          <t>Short 2</t>
        </is>
      </c>
      <c r="P19" t="inlineStr">
        <is>
          <t>21:30</t>
        </is>
      </c>
      <c r="Q19" t="inlineStr">
        <is>
          <t>Tue</t>
        </is>
      </c>
      <c r="R19" t="inlineStr">
        <is>
          <t>21:00</t>
        </is>
      </c>
      <c r="S19" t="n">
        <v>0.25</v>
      </c>
    </row>
    <row r="20">
      <c r="A20" t="n">
        <v>5</v>
      </c>
      <c r="B20" t="inlineStr">
        <is>
          <t>Mohamed Khalid</t>
        </is>
      </c>
      <c r="C20" t="inlineStr">
        <is>
          <t>Fri</t>
        </is>
      </c>
      <c r="D20" t="inlineStr">
        <is>
          <t>13:00 - 00:00</t>
        </is>
      </c>
      <c r="E20" t="inlineStr">
        <is>
          <t>Short 1</t>
        </is>
      </c>
      <c r="F20" t="inlineStr">
        <is>
          <t>15:30</t>
        </is>
      </c>
      <c r="G20" t="inlineStr">
        <is>
          <t>Fri</t>
        </is>
      </c>
      <c r="H20" t="inlineStr">
        <is>
          <t>15:00</t>
        </is>
      </c>
      <c r="I20" t="n">
        <v>0.25</v>
      </c>
      <c r="J20" t="inlineStr">
        <is>
          <t>Lunch</t>
        </is>
      </c>
      <c r="K20" t="inlineStr">
        <is>
          <t>18:30</t>
        </is>
      </c>
      <c r="L20" t="inlineStr">
        <is>
          <t>Fri</t>
        </is>
      </c>
      <c r="M20" t="inlineStr">
        <is>
          <t>18:00</t>
        </is>
      </c>
      <c r="N20" t="n">
        <v>0.5</v>
      </c>
      <c r="O20" t="inlineStr">
        <is>
          <t>Short 2</t>
        </is>
      </c>
      <c r="P20" t="inlineStr">
        <is>
          <t>21:30</t>
        </is>
      </c>
      <c r="Q20" t="inlineStr">
        <is>
          <t>Fri</t>
        </is>
      </c>
      <c r="R20" t="inlineStr">
        <is>
          <t>21:00</t>
        </is>
      </c>
      <c r="S20" t="n">
        <v>0.25</v>
      </c>
    </row>
    <row r="21">
      <c r="A21" t="n">
        <v>5</v>
      </c>
      <c r="B21" t="inlineStr">
        <is>
          <t>Mohamed Khalid</t>
        </is>
      </c>
      <c r="C21" t="inlineStr">
        <is>
          <t>Sat</t>
        </is>
      </c>
      <c r="D21" t="inlineStr">
        <is>
          <t>13:00 - 00:00</t>
        </is>
      </c>
      <c r="E21" t="inlineStr">
        <is>
          <t>Short 1</t>
        </is>
      </c>
      <c r="F21" t="inlineStr">
        <is>
          <t>15:30</t>
        </is>
      </c>
      <c r="G21" t="inlineStr">
        <is>
          <t>Sat</t>
        </is>
      </c>
      <c r="H21" t="inlineStr">
        <is>
          <t>15:00</t>
        </is>
      </c>
      <c r="I21" t="n">
        <v>0.25</v>
      </c>
      <c r="J21" t="inlineStr">
        <is>
          <t>Lunch</t>
        </is>
      </c>
      <c r="K21" t="inlineStr">
        <is>
          <t>18:30</t>
        </is>
      </c>
      <c r="L21" t="inlineStr">
        <is>
          <t>Sat</t>
        </is>
      </c>
      <c r="M21" t="inlineStr">
        <is>
          <t>18:00</t>
        </is>
      </c>
      <c r="N21" t="n">
        <v>0.5</v>
      </c>
      <c r="O21" t="inlineStr">
        <is>
          <t>Short 2</t>
        </is>
      </c>
      <c r="P21" t="inlineStr">
        <is>
          <t>21:30</t>
        </is>
      </c>
      <c r="Q21" t="inlineStr">
        <is>
          <t>Sat</t>
        </is>
      </c>
      <c r="R21" t="inlineStr">
        <is>
          <t>21:00</t>
        </is>
      </c>
      <c r="S21" t="n">
        <v>0.25</v>
      </c>
    </row>
    <row r="22">
      <c r="A22" t="n">
        <v>6</v>
      </c>
      <c r="B22" t="inlineStr">
        <is>
          <t>Moe sherif</t>
        </is>
      </c>
      <c r="C22" t="inlineStr">
        <is>
          <t>Mon</t>
        </is>
      </c>
      <c r="D22" t="inlineStr">
        <is>
          <t>16:00 - 03:00</t>
        </is>
      </c>
      <c r="E22" t="inlineStr">
        <is>
          <t>Short 1</t>
        </is>
      </c>
      <c r="F22" t="inlineStr">
        <is>
          <t>18:30</t>
        </is>
      </c>
      <c r="G22" t="inlineStr">
        <is>
          <t>Mon</t>
        </is>
      </c>
      <c r="H22" t="inlineStr">
        <is>
          <t>18:00</t>
        </is>
      </c>
      <c r="I22" t="n">
        <v>0.25</v>
      </c>
      <c r="J22" t="inlineStr">
        <is>
          <t>Lunch</t>
        </is>
      </c>
      <c r="K22" t="inlineStr">
        <is>
          <t>21:30</t>
        </is>
      </c>
      <c r="L22" t="inlineStr">
        <is>
          <t>Mon</t>
        </is>
      </c>
      <c r="M22" t="inlineStr">
        <is>
          <t>21:00</t>
        </is>
      </c>
      <c r="N22" t="n">
        <v>0.5</v>
      </c>
      <c r="O22" t="inlineStr">
        <is>
          <t>Short 2</t>
        </is>
      </c>
      <c r="P22" t="inlineStr">
        <is>
          <t>00:30</t>
        </is>
      </c>
      <c r="Q22" t="inlineStr">
        <is>
          <t>Tue</t>
        </is>
      </c>
      <c r="R22" t="inlineStr">
        <is>
          <t>00:00</t>
        </is>
      </c>
      <c r="S22" t="n">
        <v>0.25</v>
      </c>
    </row>
    <row r="23">
      <c r="A23" t="n">
        <v>6</v>
      </c>
      <c r="B23" t="inlineStr">
        <is>
          <t>Moe sherif</t>
        </is>
      </c>
      <c r="C23" t="inlineStr">
        <is>
          <t>Tue</t>
        </is>
      </c>
      <c r="D23" t="inlineStr">
        <is>
          <t>16:00 - 03:00</t>
        </is>
      </c>
      <c r="E23" t="inlineStr">
        <is>
          <t>Short 1</t>
        </is>
      </c>
      <c r="F23" t="inlineStr">
        <is>
          <t>18:30</t>
        </is>
      </c>
      <c r="G23" t="inlineStr">
        <is>
          <t>Tue</t>
        </is>
      </c>
      <c r="H23" t="inlineStr">
        <is>
          <t>18:00</t>
        </is>
      </c>
      <c r="I23" t="n">
        <v>0.25</v>
      </c>
      <c r="J23" t="inlineStr">
        <is>
          <t>Lunch</t>
        </is>
      </c>
      <c r="K23" t="inlineStr">
        <is>
          <t>21:30</t>
        </is>
      </c>
      <c r="L23" t="inlineStr">
        <is>
          <t>Tue</t>
        </is>
      </c>
      <c r="M23" t="inlineStr">
        <is>
          <t>21:00</t>
        </is>
      </c>
      <c r="N23" t="n">
        <v>0.5</v>
      </c>
      <c r="O23" t="inlineStr">
        <is>
          <t>Short 2</t>
        </is>
      </c>
      <c r="P23" t="inlineStr">
        <is>
          <t>00:30</t>
        </is>
      </c>
      <c r="Q23" t="inlineStr">
        <is>
          <t>Wed</t>
        </is>
      </c>
      <c r="R23" t="inlineStr">
        <is>
          <t>00:00</t>
        </is>
      </c>
      <c r="S23" t="n">
        <v>0.25</v>
      </c>
    </row>
    <row r="24">
      <c r="A24" t="n">
        <v>6</v>
      </c>
      <c r="B24" t="inlineStr">
        <is>
          <t>Moe sherif</t>
        </is>
      </c>
      <c r="C24" t="inlineStr">
        <is>
          <t>Wed</t>
        </is>
      </c>
      <c r="D24" t="inlineStr">
        <is>
          <t>16:00 - 03:00</t>
        </is>
      </c>
      <c r="E24" t="inlineStr">
        <is>
          <t>Short 1</t>
        </is>
      </c>
      <c r="F24" t="inlineStr">
        <is>
          <t>18:30</t>
        </is>
      </c>
      <c r="G24" t="inlineStr">
        <is>
          <t>Wed</t>
        </is>
      </c>
      <c r="H24" t="inlineStr">
        <is>
          <t>18:00</t>
        </is>
      </c>
      <c r="I24" t="n">
        <v>0.25</v>
      </c>
      <c r="J24" t="inlineStr">
        <is>
          <t>Lunch</t>
        </is>
      </c>
      <c r="K24" t="inlineStr">
        <is>
          <t>21:30</t>
        </is>
      </c>
      <c r="L24" t="inlineStr">
        <is>
          <t>Wed</t>
        </is>
      </c>
      <c r="M24" t="inlineStr">
        <is>
          <t>21:00</t>
        </is>
      </c>
      <c r="N24" t="n">
        <v>0.5</v>
      </c>
      <c r="O24" t="inlineStr">
        <is>
          <t>Short 2</t>
        </is>
      </c>
      <c r="P24" t="inlineStr">
        <is>
          <t>00:30</t>
        </is>
      </c>
      <c r="Q24" t="inlineStr">
        <is>
          <t>Thu</t>
        </is>
      </c>
      <c r="R24" t="inlineStr">
        <is>
          <t>00:00</t>
        </is>
      </c>
      <c r="S24" t="n">
        <v>0.25</v>
      </c>
    </row>
    <row r="25">
      <c r="A25" t="n">
        <v>6</v>
      </c>
      <c r="B25" t="inlineStr">
        <is>
          <t>Moe sherif</t>
        </is>
      </c>
      <c r="C25" t="inlineStr">
        <is>
          <t>Sat</t>
        </is>
      </c>
      <c r="D25" t="inlineStr">
        <is>
          <t>16:00 - 03:00</t>
        </is>
      </c>
      <c r="E25" t="inlineStr">
        <is>
          <t>Short 1</t>
        </is>
      </c>
      <c r="F25" t="inlineStr">
        <is>
          <t>18:30</t>
        </is>
      </c>
      <c r="G25" t="inlineStr">
        <is>
          <t>Sat</t>
        </is>
      </c>
      <c r="H25" t="inlineStr">
        <is>
          <t>18:00</t>
        </is>
      </c>
      <c r="I25" t="n">
        <v>0.25</v>
      </c>
      <c r="J25" t="inlineStr">
        <is>
          <t>Lunch</t>
        </is>
      </c>
      <c r="K25" t="inlineStr">
        <is>
          <t>21:30</t>
        </is>
      </c>
      <c r="L25" t="inlineStr">
        <is>
          <t>Sat</t>
        </is>
      </c>
      <c r="M25" t="inlineStr">
        <is>
          <t>21:00</t>
        </is>
      </c>
      <c r="N25" t="n">
        <v>0.5</v>
      </c>
    </row>
    <row r="26">
      <c r="A26" t="n">
        <v>7</v>
      </c>
      <c r="B26" t="inlineStr">
        <is>
          <t>Bassem Farag</t>
        </is>
      </c>
      <c r="C26" t="inlineStr">
        <is>
          <t>Mon</t>
        </is>
      </c>
      <c r="D26" t="inlineStr">
        <is>
          <t>13:00 - 00:00</t>
        </is>
      </c>
      <c r="E26" t="inlineStr">
        <is>
          <t>Short 1</t>
        </is>
      </c>
      <c r="F26" t="inlineStr">
        <is>
          <t>15:30</t>
        </is>
      </c>
      <c r="G26" t="inlineStr">
        <is>
          <t>Mon</t>
        </is>
      </c>
      <c r="H26" t="inlineStr">
        <is>
          <t>15:00</t>
        </is>
      </c>
      <c r="I26" t="n">
        <v>0.25</v>
      </c>
      <c r="J26" t="inlineStr">
        <is>
          <t>Lunch</t>
        </is>
      </c>
      <c r="K26" t="inlineStr">
        <is>
          <t>18:30</t>
        </is>
      </c>
      <c r="L26" t="inlineStr">
        <is>
          <t>Mon</t>
        </is>
      </c>
      <c r="M26" t="inlineStr">
        <is>
          <t>18:00</t>
        </is>
      </c>
      <c r="N26" t="n">
        <v>0.5</v>
      </c>
      <c r="O26" t="inlineStr">
        <is>
          <t>Short 2</t>
        </is>
      </c>
      <c r="P26" t="inlineStr">
        <is>
          <t>21:30</t>
        </is>
      </c>
      <c r="Q26" t="inlineStr">
        <is>
          <t>Mon</t>
        </is>
      </c>
      <c r="R26" t="inlineStr">
        <is>
          <t>21:00</t>
        </is>
      </c>
      <c r="S26" t="n">
        <v>0.25</v>
      </c>
    </row>
    <row r="27">
      <c r="A27" t="n">
        <v>7</v>
      </c>
      <c r="B27" t="inlineStr">
        <is>
          <t>Bassem Farag</t>
        </is>
      </c>
      <c r="C27" t="inlineStr">
        <is>
          <t>Tue</t>
        </is>
      </c>
      <c r="D27" t="inlineStr">
        <is>
          <t>13:00 - 00:00</t>
        </is>
      </c>
      <c r="E27" t="inlineStr">
        <is>
          <t>Short 1</t>
        </is>
      </c>
      <c r="F27" t="inlineStr">
        <is>
          <t>15:30</t>
        </is>
      </c>
      <c r="G27" t="inlineStr">
        <is>
          <t>Tue</t>
        </is>
      </c>
      <c r="H27" t="inlineStr">
        <is>
          <t>15:00</t>
        </is>
      </c>
      <c r="I27" t="n">
        <v>0.25</v>
      </c>
      <c r="J27" t="inlineStr">
        <is>
          <t>Lunch</t>
        </is>
      </c>
      <c r="K27" t="inlineStr">
        <is>
          <t>18:30</t>
        </is>
      </c>
      <c r="L27" t="inlineStr">
        <is>
          <t>Tue</t>
        </is>
      </c>
      <c r="M27" t="inlineStr">
        <is>
          <t>18:00</t>
        </is>
      </c>
      <c r="N27" t="n">
        <v>0.5</v>
      </c>
      <c r="O27" t="inlineStr">
        <is>
          <t>Short 2</t>
        </is>
      </c>
      <c r="P27" t="inlineStr">
        <is>
          <t>21:30</t>
        </is>
      </c>
      <c r="Q27" t="inlineStr">
        <is>
          <t>Tue</t>
        </is>
      </c>
      <c r="R27" t="inlineStr">
        <is>
          <t>21:00</t>
        </is>
      </c>
      <c r="S27" t="n">
        <v>0.25</v>
      </c>
    </row>
    <row r="28">
      <c r="A28" t="n">
        <v>7</v>
      </c>
      <c r="B28" t="inlineStr">
        <is>
          <t>Bassem Farag</t>
        </is>
      </c>
      <c r="C28" t="inlineStr">
        <is>
          <t>Wed</t>
        </is>
      </c>
      <c r="D28" t="inlineStr">
        <is>
          <t>13:00 - 00:00</t>
        </is>
      </c>
      <c r="E28" t="inlineStr">
        <is>
          <t>Short 1</t>
        </is>
      </c>
      <c r="F28" t="inlineStr">
        <is>
          <t>15:30</t>
        </is>
      </c>
      <c r="G28" t="inlineStr">
        <is>
          <t>Wed</t>
        </is>
      </c>
      <c r="H28" t="inlineStr">
        <is>
          <t>15:00</t>
        </is>
      </c>
      <c r="I28" t="n">
        <v>0.25</v>
      </c>
      <c r="J28" t="inlineStr">
        <is>
          <t>Lunch</t>
        </is>
      </c>
      <c r="K28" t="inlineStr">
        <is>
          <t>18:30</t>
        </is>
      </c>
      <c r="L28" t="inlineStr">
        <is>
          <t>Wed</t>
        </is>
      </c>
      <c r="M28" t="inlineStr">
        <is>
          <t>18:00</t>
        </is>
      </c>
      <c r="N28" t="n">
        <v>0.5</v>
      </c>
      <c r="O28" t="inlineStr">
        <is>
          <t>Short 2</t>
        </is>
      </c>
      <c r="P28" t="inlineStr">
        <is>
          <t>21:30</t>
        </is>
      </c>
      <c r="Q28" t="inlineStr">
        <is>
          <t>Wed</t>
        </is>
      </c>
      <c r="R28" t="inlineStr">
        <is>
          <t>21:00</t>
        </is>
      </c>
      <c r="S28" t="n">
        <v>0.25</v>
      </c>
    </row>
    <row r="29">
      <c r="A29" t="n">
        <v>7</v>
      </c>
      <c r="B29" t="inlineStr">
        <is>
          <t>Bassem Farag</t>
        </is>
      </c>
      <c r="C29" t="inlineStr">
        <is>
          <t>Thu</t>
        </is>
      </c>
      <c r="D29" t="inlineStr">
        <is>
          <t>13:00 - 00:00</t>
        </is>
      </c>
      <c r="E29" t="inlineStr">
        <is>
          <t>Short 1</t>
        </is>
      </c>
      <c r="F29" t="inlineStr">
        <is>
          <t>15:30</t>
        </is>
      </c>
      <c r="G29" t="inlineStr">
        <is>
          <t>Thu</t>
        </is>
      </c>
      <c r="H29" t="inlineStr">
        <is>
          <t>15:00</t>
        </is>
      </c>
      <c r="I29" t="n">
        <v>0.25</v>
      </c>
      <c r="J29" t="inlineStr">
        <is>
          <t>Lunch</t>
        </is>
      </c>
      <c r="K29" t="inlineStr">
        <is>
          <t>18:30</t>
        </is>
      </c>
      <c r="L29" t="inlineStr">
        <is>
          <t>Thu</t>
        </is>
      </c>
      <c r="M29" t="inlineStr">
        <is>
          <t>18:00</t>
        </is>
      </c>
      <c r="N29" t="n">
        <v>0.5</v>
      </c>
      <c r="O29" t="inlineStr">
        <is>
          <t>Short 2</t>
        </is>
      </c>
      <c r="P29" t="inlineStr">
        <is>
          <t>21:30</t>
        </is>
      </c>
      <c r="Q29" t="inlineStr">
        <is>
          <t>Thu</t>
        </is>
      </c>
      <c r="R29" t="inlineStr">
        <is>
          <t>21:00</t>
        </is>
      </c>
      <c r="S29" t="n">
        <v>0.25</v>
      </c>
    </row>
    <row r="30">
      <c r="A30" t="n">
        <v>8</v>
      </c>
      <c r="B30" t="inlineStr">
        <is>
          <t>Nour Abdelrahim</t>
        </is>
      </c>
      <c r="C30" t="inlineStr">
        <is>
          <t>Sun</t>
        </is>
      </c>
      <c r="D30" t="inlineStr">
        <is>
          <t>16:00 - 03:00</t>
        </is>
      </c>
      <c r="E30" t="inlineStr">
        <is>
          <t>Short 1</t>
        </is>
      </c>
      <c r="F30" t="inlineStr">
        <is>
          <t>18:30</t>
        </is>
      </c>
      <c r="G30" t="inlineStr">
        <is>
          <t>Sun</t>
        </is>
      </c>
      <c r="H30" t="inlineStr">
        <is>
          <t>18:00</t>
        </is>
      </c>
      <c r="I30" t="n">
        <v>0.25</v>
      </c>
      <c r="J30" t="inlineStr">
        <is>
          <t>Lunch</t>
        </is>
      </c>
      <c r="K30" t="inlineStr">
        <is>
          <t>21:30</t>
        </is>
      </c>
      <c r="L30" t="inlineStr">
        <is>
          <t>Sun</t>
        </is>
      </c>
      <c r="M30" t="inlineStr">
        <is>
          <t>21:00</t>
        </is>
      </c>
      <c r="N30" t="n">
        <v>0.5</v>
      </c>
      <c r="O30" t="inlineStr">
        <is>
          <t>Short 2</t>
        </is>
      </c>
      <c r="P30" t="inlineStr">
        <is>
          <t>00:30</t>
        </is>
      </c>
      <c r="Q30" t="inlineStr">
        <is>
          <t>Mon</t>
        </is>
      </c>
      <c r="R30" t="inlineStr">
        <is>
          <t>00:00</t>
        </is>
      </c>
      <c r="S30" t="n">
        <v>0.25</v>
      </c>
    </row>
    <row r="31">
      <c r="A31" t="n">
        <v>8</v>
      </c>
      <c r="B31" t="inlineStr">
        <is>
          <t>Nour Abdelrahim</t>
        </is>
      </c>
      <c r="C31" t="inlineStr">
        <is>
          <t>Thu</t>
        </is>
      </c>
      <c r="D31" t="inlineStr">
        <is>
          <t>16:00 - 03:00</t>
        </is>
      </c>
      <c r="E31" t="inlineStr">
        <is>
          <t>Short 1</t>
        </is>
      </c>
      <c r="F31" t="inlineStr">
        <is>
          <t>18:30</t>
        </is>
      </c>
      <c r="G31" t="inlineStr">
        <is>
          <t>Thu</t>
        </is>
      </c>
      <c r="H31" t="inlineStr">
        <is>
          <t>18:00</t>
        </is>
      </c>
      <c r="I31" t="n">
        <v>0.25</v>
      </c>
      <c r="J31" t="inlineStr">
        <is>
          <t>Lunch</t>
        </is>
      </c>
      <c r="K31" t="inlineStr">
        <is>
          <t>21:30</t>
        </is>
      </c>
      <c r="L31" t="inlineStr">
        <is>
          <t>Thu</t>
        </is>
      </c>
      <c r="M31" t="inlineStr">
        <is>
          <t>21:00</t>
        </is>
      </c>
      <c r="N31" t="n">
        <v>0.5</v>
      </c>
      <c r="O31" t="inlineStr">
        <is>
          <t>Short 2</t>
        </is>
      </c>
      <c r="P31" t="inlineStr">
        <is>
          <t>00:30</t>
        </is>
      </c>
      <c r="Q31" t="inlineStr">
        <is>
          <t>Fri</t>
        </is>
      </c>
      <c r="R31" t="inlineStr">
        <is>
          <t>00:00</t>
        </is>
      </c>
      <c r="S31" t="n">
        <v>0.25</v>
      </c>
    </row>
    <row r="32">
      <c r="A32" t="n">
        <v>8</v>
      </c>
      <c r="B32" t="inlineStr">
        <is>
          <t>Nour Abdelrahim</t>
        </is>
      </c>
      <c r="C32" t="inlineStr">
        <is>
          <t>Fri</t>
        </is>
      </c>
      <c r="D32" t="inlineStr">
        <is>
          <t>16:00 - 03:00</t>
        </is>
      </c>
      <c r="E32" t="inlineStr">
        <is>
          <t>Short 1</t>
        </is>
      </c>
      <c r="F32" t="inlineStr">
        <is>
          <t>18:30</t>
        </is>
      </c>
      <c r="G32" t="inlineStr">
        <is>
          <t>Fri</t>
        </is>
      </c>
      <c r="H32" t="inlineStr">
        <is>
          <t>18:00</t>
        </is>
      </c>
      <c r="I32" t="n">
        <v>0.25</v>
      </c>
      <c r="J32" t="inlineStr">
        <is>
          <t>Lunch</t>
        </is>
      </c>
      <c r="K32" t="inlineStr">
        <is>
          <t>21:30</t>
        </is>
      </c>
      <c r="L32" t="inlineStr">
        <is>
          <t>Fri</t>
        </is>
      </c>
      <c r="M32" t="inlineStr">
        <is>
          <t>21:00</t>
        </is>
      </c>
      <c r="N32" t="n">
        <v>0.5</v>
      </c>
      <c r="O32" t="inlineStr">
        <is>
          <t>Short 2</t>
        </is>
      </c>
      <c r="P32" t="inlineStr">
        <is>
          <t>00:30</t>
        </is>
      </c>
      <c r="Q32" t="inlineStr">
        <is>
          <t>Sat</t>
        </is>
      </c>
      <c r="R32" t="inlineStr">
        <is>
          <t>00:00</t>
        </is>
      </c>
      <c r="S32" t="n">
        <v>0.25</v>
      </c>
    </row>
    <row r="33">
      <c r="A33" t="n">
        <v>8</v>
      </c>
      <c r="B33" t="inlineStr">
        <is>
          <t>Nour Abdelrahim</t>
        </is>
      </c>
      <c r="C33" t="inlineStr">
        <is>
          <t>Sat</t>
        </is>
      </c>
      <c r="D33" t="inlineStr">
        <is>
          <t>16:00 - 03:00</t>
        </is>
      </c>
      <c r="E33" t="inlineStr">
        <is>
          <t>Short 1</t>
        </is>
      </c>
      <c r="F33" t="inlineStr">
        <is>
          <t>18:30</t>
        </is>
      </c>
      <c r="G33" t="inlineStr">
        <is>
          <t>Sat</t>
        </is>
      </c>
      <c r="H33" t="inlineStr">
        <is>
          <t>18:00</t>
        </is>
      </c>
      <c r="I33" t="n">
        <v>0.25</v>
      </c>
      <c r="J33" t="inlineStr">
        <is>
          <t>Lunch</t>
        </is>
      </c>
      <c r="K33" t="inlineStr">
        <is>
          <t>21:30</t>
        </is>
      </c>
      <c r="L33" t="inlineStr">
        <is>
          <t>Sat</t>
        </is>
      </c>
      <c r="M33" t="inlineStr">
        <is>
          <t>21:00</t>
        </is>
      </c>
      <c r="N33" t="n">
        <v>0.5</v>
      </c>
    </row>
    <row r="34">
      <c r="A34" t="n">
        <v>9</v>
      </c>
      <c r="B34" t="inlineStr">
        <is>
          <t>Ocean Yasser</t>
        </is>
      </c>
      <c r="C34" t="inlineStr">
        <is>
          <t>Sun</t>
        </is>
      </c>
      <c r="D34" t="inlineStr">
        <is>
          <t>14:00 - 01:00</t>
        </is>
      </c>
      <c r="E34" t="inlineStr">
        <is>
          <t>Short 1</t>
        </is>
      </c>
      <c r="F34" t="inlineStr">
        <is>
          <t>16:30</t>
        </is>
      </c>
      <c r="G34" t="inlineStr">
        <is>
          <t>Sun</t>
        </is>
      </c>
      <c r="H34" t="inlineStr">
        <is>
          <t>16:00</t>
        </is>
      </c>
      <c r="I34" t="n">
        <v>0.25</v>
      </c>
      <c r="J34" t="inlineStr">
        <is>
          <t>Lunch</t>
        </is>
      </c>
      <c r="K34" t="inlineStr">
        <is>
          <t>19:30</t>
        </is>
      </c>
      <c r="L34" t="inlineStr">
        <is>
          <t>Sun</t>
        </is>
      </c>
      <c r="M34" t="inlineStr">
        <is>
          <t>19:00</t>
        </is>
      </c>
      <c r="N34" t="n">
        <v>0.5</v>
      </c>
      <c r="O34" t="inlineStr">
        <is>
          <t>Short 2</t>
        </is>
      </c>
      <c r="P34" t="inlineStr">
        <is>
          <t>22:30</t>
        </is>
      </c>
      <c r="Q34" t="inlineStr">
        <is>
          <t>Sun</t>
        </is>
      </c>
      <c r="R34" t="inlineStr">
        <is>
          <t>22:00</t>
        </is>
      </c>
      <c r="S34" t="n">
        <v>0.25</v>
      </c>
    </row>
    <row r="35">
      <c r="A35" t="n">
        <v>9</v>
      </c>
      <c r="B35" t="inlineStr">
        <is>
          <t>Ocean Yasser</t>
        </is>
      </c>
      <c r="C35" t="inlineStr">
        <is>
          <t>Tue</t>
        </is>
      </c>
      <c r="D35" t="inlineStr">
        <is>
          <t>14:00 - 01:00</t>
        </is>
      </c>
      <c r="E35" t="inlineStr">
        <is>
          <t>Short 1</t>
        </is>
      </c>
      <c r="F35" t="inlineStr">
        <is>
          <t>16:30</t>
        </is>
      </c>
      <c r="G35" t="inlineStr">
        <is>
          <t>Tue</t>
        </is>
      </c>
      <c r="H35" t="inlineStr">
        <is>
          <t>16:00</t>
        </is>
      </c>
      <c r="I35" t="n">
        <v>0.25</v>
      </c>
      <c r="J35" t="inlineStr">
        <is>
          <t>Lunch</t>
        </is>
      </c>
      <c r="K35" t="inlineStr">
        <is>
          <t>19:30</t>
        </is>
      </c>
      <c r="L35" t="inlineStr">
        <is>
          <t>Tue</t>
        </is>
      </c>
      <c r="M35" t="inlineStr">
        <is>
          <t>19:00</t>
        </is>
      </c>
      <c r="N35" t="n">
        <v>0.5</v>
      </c>
      <c r="O35" t="inlineStr">
        <is>
          <t>Short 2</t>
        </is>
      </c>
      <c r="P35" t="inlineStr">
        <is>
          <t>22:30</t>
        </is>
      </c>
      <c r="Q35" t="inlineStr">
        <is>
          <t>Tue</t>
        </is>
      </c>
      <c r="R35" t="inlineStr">
        <is>
          <t>22:00</t>
        </is>
      </c>
      <c r="S35" t="n">
        <v>0.25</v>
      </c>
    </row>
    <row r="36">
      <c r="A36" t="n">
        <v>9</v>
      </c>
      <c r="B36" t="inlineStr">
        <is>
          <t>Ocean Yasser</t>
        </is>
      </c>
      <c r="C36" t="inlineStr">
        <is>
          <t>Fri</t>
        </is>
      </c>
      <c r="D36" t="inlineStr">
        <is>
          <t>14:00 - 01:00</t>
        </is>
      </c>
      <c r="E36" t="inlineStr">
        <is>
          <t>Short 1</t>
        </is>
      </c>
      <c r="F36" t="inlineStr">
        <is>
          <t>16:30</t>
        </is>
      </c>
      <c r="G36" t="inlineStr">
        <is>
          <t>Fri</t>
        </is>
      </c>
      <c r="H36" t="inlineStr">
        <is>
          <t>16:00</t>
        </is>
      </c>
      <c r="I36" t="n">
        <v>0.25</v>
      </c>
      <c r="J36" t="inlineStr">
        <is>
          <t>Lunch</t>
        </is>
      </c>
      <c r="K36" t="inlineStr">
        <is>
          <t>19:30</t>
        </is>
      </c>
      <c r="L36" t="inlineStr">
        <is>
          <t>Fri</t>
        </is>
      </c>
      <c r="M36" t="inlineStr">
        <is>
          <t>19:00</t>
        </is>
      </c>
      <c r="N36" t="n">
        <v>0.5</v>
      </c>
      <c r="O36" t="inlineStr">
        <is>
          <t>Short 2</t>
        </is>
      </c>
      <c r="P36" t="inlineStr">
        <is>
          <t>22:30</t>
        </is>
      </c>
      <c r="Q36" t="inlineStr">
        <is>
          <t>Fri</t>
        </is>
      </c>
      <c r="R36" t="inlineStr">
        <is>
          <t>22:00</t>
        </is>
      </c>
      <c r="S36" t="n">
        <v>0.25</v>
      </c>
    </row>
    <row r="37">
      <c r="A37" t="n">
        <v>9</v>
      </c>
      <c r="B37" t="inlineStr">
        <is>
          <t>Ocean Yasser</t>
        </is>
      </c>
      <c r="C37" t="inlineStr">
        <is>
          <t>Sat</t>
        </is>
      </c>
      <c r="D37" t="inlineStr">
        <is>
          <t>14:00 - 01:00</t>
        </is>
      </c>
      <c r="E37" t="inlineStr">
        <is>
          <t>Short 1</t>
        </is>
      </c>
      <c r="F37" t="inlineStr">
        <is>
          <t>16:30</t>
        </is>
      </c>
      <c r="G37" t="inlineStr">
        <is>
          <t>Sat</t>
        </is>
      </c>
      <c r="H37" t="inlineStr">
        <is>
          <t>16:00</t>
        </is>
      </c>
      <c r="I37" t="n">
        <v>0.25</v>
      </c>
      <c r="J37" t="inlineStr">
        <is>
          <t>Lunch</t>
        </is>
      </c>
      <c r="K37" t="inlineStr">
        <is>
          <t>19:30</t>
        </is>
      </c>
      <c r="L37" t="inlineStr">
        <is>
          <t>Sat</t>
        </is>
      </c>
      <c r="M37" t="inlineStr">
        <is>
          <t>19:00</t>
        </is>
      </c>
      <c r="N37" t="n">
        <v>0.5</v>
      </c>
      <c r="O37" t="inlineStr">
        <is>
          <t>Short 2</t>
        </is>
      </c>
      <c r="P37" t="inlineStr">
        <is>
          <t>22:30</t>
        </is>
      </c>
      <c r="Q37" t="inlineStr">
        <is>
          <t>Sat</t>
        </is>
      </c>
      <c r="R37" t="inlineStr">
        <is>
          <t>22:00</t>
        </is>
      </c>
      <c r="S37" t="n">
        <v>0.25</v>
      </c>
    </row>
    <row r="38">
      <c r="A38" t="n">
        <v>10</v>
      </c>
      <c r="B38" t="inlineStr">
        <is>
          <t>Miguel Moussa</t>
        </is>
      </c>
      <c r="C38" t="inlineStr">
        <is>
          <t>Sun</t>
        </is>
      </c>
      <c r="D38" t="inlineStr">
        <is>
          <t>16:00 - 03:00</t>
        </is>
      </c>
      <c r="E38" t="inlineStr">
        <is>
          <t>Short 1</t>
        </is>
      </c>
      <c r="F38" t="inlineStr">
        <is>
          <t>18:30</t>
        </is>
      </c>
      <c r="G38" t="inlineStr">
        <is>
          <t>Sun</t>
        </is>
      </c>
      <c r="H38" t="inlineStr">
        <is>
          <t>18:00</t>
        </is>
      </c>
      <c r="I38" t="n">
        <v>0.25</v>
      </c>
      <c r="J38" t="inlineStr">
        <is>
          <t>Lunch</t>
        </is>
      </c>
      <c r="K38" t="inlineStr">
        <is>
          <t>21:30</t>
        </is>
      </c>
      <c r="L38" t="inlineStr">
        <is>
          <t>Sun</t>
        </is>
      </c>
      <c r="M38" t="inlineStr">
        <is>
          <t>21:00</t>
        </is>
      </c>
      <c r="N38" t="n">
        <v>0.5</v>
      </c>
      <c r="O38" t="inlineStr">
        <is>
          <t>Short 2</t>
        </is>
      </c>
      <c r="P38" t="inlineStr">
        <is>
          <t>00:30</t>
        </is>
      </c>
      <c r="Q38" t="inlineStr">
        <is>
          <t>Mon</t>
        </is>
      </c>
      <c r="R38" t="inlineStr">
        <is>
          <t>00:00</t>
        </is>
      </c>
      <c r="S38" t="n">
        <v>0.25</v>
      </c>
    </row>
    <row r="39">
      <c r="A39" t="n">
        <v>10</v>
      </c>
      <c r="B39" t="inlineStr">
        <is>
          <t>Miguel Moussa</t>
        </is>
      </c>
      <c r="C39" t="inlineStr">
        <is>
          <t>Tue</t>
        </is>
      </c>
      <c r="D39" t="inlineStr">
        <is>
          <t>16:00 - 03:00</t>
        </is>
      </c>
      <c r="E39" t="inlineStr">
        <is>
          <t>Short 1</t>
        </is>
      </c>
      <c r="F39" t="inlineStr">
        <is>
          <t>18:30</t>
        </is>
      </c>
      <c r="G39" t="inlineStr">
        <is>
          <t>Tue</t>
        </is>
      </c>
      <c r="H39" t="inlineStr">
        <is>
          <t>18:00</t>
        </is>
      </c>
      <c r="I39" t="n">
        <v>0.25</v>
      </c>
      <c r="J39" t="inlineStr">
        <is>
          <t>Lunch</t>
        </is>
      </c>
      <c r="K39" t="inlineStr">
        <is>
          <t>21:30</t>
        </is>
      </c>
      <c r="L39" t="inlineStr">
        <is>
          <t>Tue</t>
        </is>
      </c>
      <c r="M39" t="inlineStr">
        <is>
          <t>21:00</t>
        </is>
      </c>
      <c r="N39" t="n">
        <v>0.5</v>
      </c>
      <c r="O39" t="inlineStr">
        <is>
          <t>Short 2</t>
        </is>
      </c>
      <c r="P39" t="inlineStr">
        <is>
          <t>00:30</t>
        </is>
      </c>
      <c r="Q39" t="inlineStr">
        <is>
          <t>Wed</t>
        </is>
      </c>
      <c r="R39" t="inlineStr">
        <is>
          <t>00:00</t>
        </is>
      </c>
      <c r="S39" t="n">
        <v>0.25</v>
      </c>
    </row>
    <row r="40">
      <c r="A40" t="n">
        <v>10</v>
      </c>
      <c r="B40" t="inlineStr">
        <is>
          <t>Miguel Moussa</t>
        </is>
      </c>
      <c r="C40" t="inlineStr">
        <is>
          <t>Wed</t>
        </is>
      </c>
      <c r="D40" t="inlineStr">
        <is>
          <t>16:00 - 03:00</t>
        </is>
      </c>
      <c r="E40" t="inlineStr">
        <is>
          <t>Short 1</t>
        </is>
      </c>
      <c r="F40" t="inlineStr">
        <is>
          <t>18:30</t>
        </is>
      </c>
      <c r="G40" t="inlineStr">
        <is>
          <t>Wed</t>
        </is>
      </c>
      <c r="H40" t="inlineStr">
        <is>
          <t>18:00</t>
        </is>
      </c>
      <c r="I40" t="n">
        <v>0.25</v>
      </c>
      <c r="J40" t="inlineStr">
        <is>
          <t>Lunch</t>
        </is>
      </c>
      <c r="K40" t="inlineStr">
        <is>
          <t>21:30</t>
        </is>
      </c>
      <c r="L40" t="inlineStr">
        <is>
          <t>Wed</t>
        </is>
      </c>
      <c r="M40" t="inlineStr">
        <is>
          <t>21:00</t>
        </is>
      </c>
      <c r="N40" t="n">
        <v>0.5</v>
      </c>
      <c r="O40" t="inlineStr">
        <is>
          <t>Short 2</t>
        </is>
      </c>
      <c r="P40" t="inlineStr">
        <is>
          <t>00:30</t>
        </is>
      </c>
      <c r="Q40" t="inlineStr">
        <is>
          <t>Thu</t>
        </is>
      </c>
      <c r="R40" t="inlineStr">
        <is>
          <t>00:00</t>
        </is>
      </c>
      <c r="S40" t="n">
        <v>0.25</v>
      </c>
    </row>
    <row r="41">
      <c r="A41" t="n">
        <v>10</v>
      </c>
      <c r="B41" t="inlineStr">
        <is>
          <t>Miguel Moussa</t>
        </is>
      </c>
      <c r="C41" t="inlineStr">
        <is>
          <t>Sat</t>
        </is>
      </c>
      <c r="D41" t="inlineStr">
        <is>
          <t>16:00 - 03:00</t>
        </is>
      </c>
      <c r="E41" t="inlineStr">
        <is>
          <t>Short 1</t>
        </is>
      </c>
      <c r="F41" t="inlineStr">
        <is>
          <t>18:30</t>
        </is>
      </c>
      <c r="G41" t="inlineStr">
        <is>
          <t>Sat</t>
        </is>
      </c>
      <c r="H41" t="inlineStr">
        <is>
          <t>18:00</t>
        </is>
      </c>
      <c r="I41" t="n">
        <v>0.25</v>
      </c>
      <c r="J41" t="inlineStr">
        <is>
          <t>Lunch</t>
        </is>
      </c>
      <c r="K41" t="inlineStr">
        <is>
          <t>21:30</t>
        </is>
      </c>
      <c r="L41" t="inlineStr">
        <is>
          <t>Sat</t>
        </is>
      </c>
      <c r="M41" t="inlineStr">
        <is>
          <t>21:00</t>
        </is>
      </c>
      <c r="N41" t="n">
        <v>0.5</v>
      </c>
    </row>
    <row r="42">
      <c r="A42" t="n">
        <v>11</v>
      </c>
      <c r="B42" t="inlineStr">
        <is>
          <t>Eman Ramadan</t>
        </is>
      </c>
      <c r="C42" t="inlineStr">
        <is>
          <t>Sun</t>
        </is>
      </c>
      <c r="D42" t="inlineStr">
        <is>
          <t>16:00 - 03:00</t>
        </is>
      </c>
      <c r="E42" t="inlineStr">
        <is>
          <t>Short 1</t>
        </is>
      </c>
      <c r="F42" t="inlineStr">
        <is>
          <t>18:30</t>
        </is>
      </c>
      <c r="G42" t="inlineStr">
        <is>
          <t>Sun</t>
        </is>
      </c>
      <c r="H42" t="inlineStr">
        <is>
          <t>18:00</t>
        </is>
      </c>
      <c r="I42" t="n">
        <v>0.25</v>
      </c>
      <c r="J42" t="inlineStr">
        <is>
          <t>Lunch</t>
        </is>
      </c>
      <c r="K42" t="inlineStr">
        <is>
          <t>21:30</t>
        </is>
      </c>
      <c r="L42" t="inlineStr">
        <is>
          <t>Sun</t>
        </is>
      </c>
      <c r="M42" t="inlineStr">
        <is>
          <t>21:00</t>
        </is>
      </c>
      <c r="N42" t="n">
        <v>0.5</v>
      </c>
      <c r="O42" t="inlineStr">
        <is>
          <t>Short 2</t>
        </is>
      </c>
      <c r="P42" t="inlineStr">
        <is>
          <t>00:30</t>
        </is>
      </c>
      <c r="Q42" t="inlineStr">
        <is>
          <t>Mon</t>
        </is>
      </c>
      <c r="R42" t="inlineStr">
        <is>
          <t>00:00</t>
        </is>
      </c>
      <c r="S42" t="n">
        <v>0.25</v>
      </c>
    </row>
    <row r="43">
      <c r="A43" t="n">
        <v>11</v>
      </c>
      <c r="B43" t="inlineStr">
        <is>
          <t>Eman Ramadan</t>
        </is>
      </c>
      <c r="C43" t="inlineStr">
        <is>
          <t>Tue</t>
        </is>
      </c>
      <c r="D43" t="inlineStr">
        <is>
          <t>16:00 - 03:00</t>
        </is>
      </c>
      <c r="E43" t="inlineStr">
        <is>
          <t>Short 1</t>
        </is>
      </c>
      <c r="F43" t="inlineStr">
        <is>
          <t>18:30</t>
        </is>
      </c>
      <c r="G43" t="inlineStr">
        <is>
          <t>Tue</t>
        </is>
      </c>
      <c r="H43" t="inlineStr">
        <is>
          <t>18:00</t>
        </is>
      </c>
      <c r="I43" t="n">
        <v>0.25</v>
      </c>
      <c r="J43" t="inlineStr">
        <is>
          <t>Lunch</t>
        </is>
      </c>
      <c r="K43" t="inlineStr">
        <is>
          <t>21:30</t>
        </is>
      </c>
      <c r="L43" t="inlineStr">
        <is>
          <t>Tue</t>
        </is>
      </c>
      <c r="M43" t="inlineStr">
        <is>
          <t>21:00</t>
        </is>
      </c>
      <c r="N43" t="n">
        <v>0.5</v>
      </c>
      <c r="O43" t="inlineStr">
        <is>
          <t>Short 2</t>
        </is>
      </c>
      <c r="P43" t="inlineStr">
        <is>
          <t>00:30</t>
        </is>
      </c>
      <c r="Q43" t="inlineStr">
        <is>
          <t>Wed</t>
        </is>
      </c>
      <c r="R43" t="inlineStr">
        <is>
          <t>00:00</t>
        </is>
      </c>
      <c r="S43" t="n">
        <v>0.25</v>
      </c>
    </row>
    <row r="44">
      <c r="A44" t="n">
        <v>11</v>
      </c>
      <c r="B44" t="inlineStr">
        <is>
          <t>Eman Ramadan</t>
        </is>
      </c>
      <c r="C44" t="inlineStr">
        <is>
          <t>Wed</t>
        </is>
      </c>
      <c r="D44" t="inlineStr">
        <is>
          <t>16:00 - 03:00</t>
        </is>
      </c>
      <c r="E44" t="inlineStr">
        <is>
          <t>Short 1</t>
        </is>
      </c>
      <c r="F44" t="inlineStr">
        <is>
          <t>18:30</t>
        </is>
      </c>
      <c r="G44" t="inlineStr">
        <is>
          <t>Wed</t>
        </is>
      </c>
      <c r="H44" t="inlineStr">
        <is>
          <t>18:00</t>
        </is>
      </c>
      <c r="I44" t="n">
        <v>0.25</v>
      </c>
      <c r="J44" t="inlineStr">
        <is>
          <t>Lunch</t>
        </is>
      </c>
      <c r="K44" t="inlineStr">
        <is>
          <t>21:30</t>
        </is>
      </c>
      <c r="L44" t="inlineStr">
        <is>
          <t>Wed</t>
        </is>
      </c>
      <c r="M44" t="inlineStr">
        <is>
          <t>21:00</t>
        </is>
      </c>
      <c r="N44" t="n">
        <v>0.5</v>
      </c>
      <c r="O44" t="inlineStr">
        <is>
          <t>Short 2</t>
        </is>
      </c>
      <c r="P44" t="inlineStr">
        <is>
          <t>00:30</t>
        </is>
      </c>
      <c r="Q44" t="inlineStr">
        <is>
          <t>Thu</t>
        </is>
      </c>
      <c r="R44" t="inlineStr">
        <is>
          <t>00:00</t>
        </is>
      </c>
      <c r="S44" t="n">
        <v>0.25</v>
      </c>
    </row>
    <row r="45">
      <c r="A45" t="n">
        <v>11</v>
      </c>
      <c r="B45" t="inlineStr">
        <is>
          <t>Eman Ramadan</t>
        </is>
      </c>
      <c r="C45" t="inlineStr">
        <is>
          <t>Sat</t>
        </is>
      </c>
      <c r="D45" t="inlineStr">
        <is>
          <t>16:00 - 03:00</t>
        </is>
      </c>
      <c r="E45" t="inlineStr">
        <is>
          <t>Short 1</t>
        </is>
      </c>
      <c r="F45" t="inlineStr">
        <is>
          <t>18:30</t>
        </is>
      </c>
      <c r="G45" t="inlineStr">
        <is>
          <t>Sat</t>
        </is>
      </c>
      <c r="H45" t="inlineStr">
        <is>
          <t>18:00</t>
        </is>
      </c>
      <c r="I45" t="n">
        <v>0.25</v>
      </c>
      <c r="J45" t="inlineStr">
        <is>
          <t>Lunch</t>
        </is>
      </c>
      <c r="K45" t="inlineStr">
        <is>
          <t>21:30</t>
        </is>
      </c>
      <c r="L45" t="inlineStr">
        <is>
          <t>Sat</t>
        </is>
      </c>
      <c r="M45" t="inlineStr">
        <is>
          <t>21:00</t>
        </is>
      </c>
      <c r="N45" t="n">
        <v>0.5</v>
      </c>
    </row>
    <row r="46">
      <c r="A46" t="n">
        <v>12</v>
      </c>
      <c r="B46" t="inlineStr">
        <is>
          <t>Malak Ahmed</t>
        </is>
      </c>
      <c r="C46" t="inlineStr">
        <is>
          <t>Sun</t>
        </is>
      </c>
      <c r="D46" t="inlineStr">
        <is>
          <t>13:00 - 00:00</t>
        </is>
      </c>
      <c r="E46" t="inlineStr">
        <is>
          <t>Short 1</t>
        </is>
      </c>
      <c r="F46" t="inlineStr">
        <is>
          <t>15:30</t>
        </is>
      </c>
      <c r="G46" t="inlineStr">
        <is>
          <t>Sun</t>
        </is>
      </c>
      <c r="H46" t="inlineStr">
        <is>
          <t>15:00</t>
        </is>
      </c>
      <c r="I46" t="n">
        <v>0.25</v>
      </c>
      <c r="J46" t="inlineStr">
        <is>
          <t>Lunch</t>
        </is>
      </c>
      <c r="K46" t="inlineStr">
        <is>
          <t>18:30</t>
        </is>
      </c>
      <c r="L46" t="inlineStr">
        <is>
          <t>Sun</t>
        </is>
      </c>
      <c r="M46" t="inlineStr">
        <is>
          <t>18:00</t>
        </is>
      </c>
      <c r="N46" t="n">
        <v>0.5</v>
      </c>
      <c r="O46" t="inlineStr">
        <is>
          <t>Short 2</t>
        </is>
      </c>
      <c r="P46" t="inlineStr">
        <is>
          <t>21:30</t>
        </is>
      </c>
      <c r="Q46" t="inlineStr">
        <is>
          <t>Sun</t>
        </is>
      </c>
      <c r="R46" t="inlineStr">
        <is>
          <t>21:00</t>
        </is>
      </c>
      <c r="S46" t="n">
        <v>0.25</v>
      </c>
    </row>
    <row r="47">
      <c r="A47" t="n">
        <v>12</v>
      </c>
      <c r="B47" t="inlineStr">
        <is>
          <t>Malak Ahmed</t>
        </is>
      </c>
      <c r="C47" t="inlineStr">
        <is>
          <t>Mon</t>
        </is>
      </c>
      <c r="D47" t="inlineStr">
        <is>
          <t>13:00 - 00:00</t>
        </is>
      </c>
      <c r="E47" t="inlineStr">
        <is>
          <t>Short 1</t>
        </is>
      </c>
      <c r="F47" t="inlineStr">
        <is>
          <t>15:30</t>
        </is>
      </c>
      <c r="G47" t="inlineStr">
        <is>
          <t>Mon</t>
        </is>
      </c>
      <c r="H47" t="inlineStr">
        <is>
          <t>15:00</t>
        </is>
      </c>
      <c r="I47" t="n">
        <v>0.25</v>
      </c>
      <c r="J47" t="inlineStr">
        <is>
          <t>Lunch</t>
        </is>
      </c>
      <c r="K47" t="inlineStr">
        <is>
          <t>18:30</t>
        </is>
      </c>
      <c r="L47" t="inlineStr">
        <is>
          <t>Mon</t>
        </is>
      </c>
      <c r="M47" t="inlineStr">
        <is>
          <t>18:00</t>
        </is>
      </c>
      <c r="N47" t="n">
        <v>0.5</v>
      </c>
      <c r="O47" t="inlineStr">
        <is>
          <t>Short 2</t>
        </is>
      </c>
      <c r="P47" t="inlineStr">
        <is>
          <t>21:30</t>
        </is>
      </c>
      <c r="Q47" t="inlineStr">
        <is>
          <t>Mon</t>
        </is>
      </c>
      <c r="R47" t="inlineStr">
        <is>
          <t>21:00</t>
        </is>
      </c>
      <c r="S47" t="n">
        <v>0.25</v>
      </c>
    </row>
    <row r="48">
      <c r="A48" t="n">
        <v>12</v>
      </c>
      <c r="B48" t="inlineStr">
        <is>
          <t>Malak Ahmed</t>
        </is>
      </c>
      <c r="C48" t="inlineStr">
        <is>
          <t>Thu</t>
        </is>
      </c>
      <c r="D48" t="inlineStr">
        <is>
          <t>13:00 - 00:00</t>
        </is>
      </c>
      <c r="E48" t="inlineStr">
        <is>
          <t>Short 1</t>
        </is>
      </c>
      <c r="F48" t="inlineStr">
        <is>
          <t>15:30</t>
        </is>
      </c>
      <c r="G48" t="inlineStr">
        <is>
          <t>Thu</t>
        </is>
      </c>
      <c r="H48" t="inlineStr">
        <is>
          <t>15:00</t>
        </is>
      </c>
      <c r="I48" t="n">
        <v>0.25</v>
      </c>
      <c r="J48" t="inlineStr">
        <is>
          <t>Lunch</t>
        </is>
      </c>
      <c r="K48" t="inlineStr">
        <is>
          <t>18:30</t>
        </is>
      </c>
      <c r="L48" t="inlineStr">
        <is>
          <t>Thu</t>
        </is>
      </c>
      <c r="M48" t="inlineStr">
        <is>
          <t>18:00</t>
        </is>
      </c>
      <c r="N48" t="n">
        <v>0.5</v>
      </c>
      <c r="O48" t="inlineStr">
        <is>
          <t>Short 2</t>
        </is>
      </c>
      <c r="P48" t="inlineStr">
        <is>
          <t>21:30</t>
        </is>
      </c>
      <c r="Q48" t="inlineStr">
        <is>
          <t>Thu</t>
        </is>
      </c>
      <c r="R48" t="inlineStr">
        <is>
          <t>21:00</t>
        </is>
      </c>
      <c r="S48" t="n">
        <v>0.25</v>
      </c>
    </row>
    <row r="49">
      <c r="A49" t="n">
        <v>12</v>
      </c>
      <c r="B49" t="inlineStr">
        <is>
          <t>Malak Ahmed</t>
        </is>
      </c>
      <c r="C49" t="inlineStr">
        <is>
          <t>Sat</t>
        </is>
      </c>
      <c r="D49" t="inlineStr">
        <is>
          <t>13:00 - 00:00</t>
        </is>
      </c>
      <c r="E49" t="inlineStr">
        <is>
          <t>Short 1</t>
        </is>
      </c>
      <c r="F49" t="inlineStr">
        <is>
          <t>15:30</t>
        </is>
      </c>
      <c r="G49" t="inlineStr">
        <is>
          <t>Sat</t>
        </is>
      </c>
      <c r="H49" t="inlineStr">
        <is>
          <t>15:00</t>
        </is>
      </c>
      <c r="I49" t="n">
        <v>0.25</v>
      </c>
      <c r="J49" t="inlineStr">
        <is>
          <t>Lunch</t>
        </is>
      </c>
      <c r="K49" t="inlineStr">
        <is>
          <t>18:30</t>
        </is>
      </c>
      <c r="L49" t="inlineStr">
        <is>
          <t>Sat</t>
        </is>
      </c>
      <c r="M49" t="inlineStr">
        <is>
          <t>18:00</t>
        </is>
      </c>
      <c r="N49" t="n">
        <v>0.5</v>
      </c>
      <c r="O49" t="inlineStr">
        <is>
          <t>Short 2</t>
        </is>
      </c>
      <c r="P49" t="inlineStr">
        <is>
          <t>21:30</t>
        </is>
      </c>
      <c r="Q49" t="inlineStr">
        <is>
          <t>Sat</t>
        </is>
      </c>
      <c r="R49" t="inlineStr">
        <is>
          <t>21:00</t>
        </is>
      </c>
      <c r="S49" t="n">
        <v>0.25</v>
      </c>
    </row>
    <row r="50">
      <c r="A50" t="n">
        <v>13</v>
      </c>
      <c r="B50" t="inlineStr">
        <is>
          <t>Billie Saad</t>
        </is>
      </c>
      <c r="C50" t="inlineStr">
        <is>
          <t>Sun</t>
        </is>
      </c>
      <c r="D50" t="inlineStr">
        <is>
          <t>13:00 - 00:00</t>
        </is>
      </c>
      <c r="E50" t="inlineStr">
        <is>
          <t>Short 1</t>
        </is>
      </c>
      <c r="F50" t="inlineStr">
        <is>
          <t>15:30</t>
        </is>
      </c>
      <c r="G50" t="inlineStr">
        <is>
          <t>Sun</t>
        </is>
      </c>
      <c r="H50" t="inlineStr">
        <is>
          <t>15:00</t>
        </is>
      </c>
      <c r="I50" t="n">
        <v>0.25</v>
      </c>
      <c r="J50" t="inlineStr">
        <is>
          <t>Lunch</t>
        </is>
      </c>
      <c r="K50" t="inlineStr">
        <is>
          <t>18:30</t>
        </is>
      </c>
      <c r="L50" t="inlineStr">
        <is>
          <t>Sun</t>
        </is>
      </c>
      <c r="M50" t="inlineStr">
        <is>
          <t>18:00</t>
        </is>
      </c>
      <c r="N50" t="n">
        <v>0.5</v>
      </c>
      <c r="O50" t="inlineStr">
        <is>
          <t>Short 2</t>
        </is>
      </c>
      <c r="P50" t="inlineStr">
        <is>
          <t>21:30</t>
        </is>
      </c>
      <c r="Q50" t="inlineStr">
        <is>
          <t>Sun</t>
        </is>
      </c>
      <c r="R50" t="inlineStr">
        <is>
          <t>21:00</t>
        </is>
      </c>
      <c r="S50" t="n">
        <v>0.25</v>
      </c>
    </row>
    <row r="51">
      <c r="A51" t="n">
        <v>13</v>
      </c>
      <c r="B51" t="inlineStr">
        <is>
          <t>Billie Saad</t>
        </is>
      </c>
      <c r="C51" t="inlineStr">
        <is>
          <t>Mon</t>
        </is>
      </c>
      <c r="D51" t="inlineStr">
        <is>
          <t>13:00 - 00:00</t>
        </is>
      </c>
      <c r="E51" t="inlineStr">
        <is>
          <t>Short 1</t>
        </is>
      </c>
      <c r="F51" t="inlineStr">
        <is>
          <t>15:30</t>
        </is>
      </c>
      <c r="G51" t="inlineStr">
        <is>
          <t>Mon</t>
        </is>
      </c>
      <c r="H51" t="inlineStr">
        <is>
          <t>15:00</t>
        </is>
      </c>
      <c r="I51" t="n">
        <v>0.25</v>
      </c>
      <c r="J51" t="inlineStr">
        <is>
          <t>Lunch</t>
        </is>
      </c>
      <c r="K51" t="inlineStr">
        <is>
          <t>18:30</t>
        </is>
      </c>
      <c r="L51" t="inlineStr">
        <is>
          <t>Mon</t>
        </is>
      </c>
      <c r="M51" t="inlineStr">
        <is>
          <t>18:00</t>
        </is>
      </c>
      <c r="N51" t="n">
        <v>0.5</v>
      </c>
      <c r="O51" t="inlineStr">
        <is>
          <t>Short 2</t>
        </is>
      </c>
      <c r="P51" t="inlineStr">
        <is>
          <t>21:30</t>
        </is>
      </c>
      <c r="Q51" t="inlineStr">
        <is>
          <t>Mon</t>
        </is>
      </c>
      <c r="R51" t="inlineStr">
        <is>
          <t>21:00</t>
        </is>
      </c>
      <c r="S51" t="n">
        <v>0.25</v>
      </c>
    </row>
    <row r="52">
      <c r="A52" t="n">
        <v>13</v>
      </c>
      <c r="B52" t="inlineStr">
        <is>
          <t>Billie Saad</t>
        </is>
      </c>
      <c r="C52" t="inlineStr">
        <is>
          <t>Wed</t>
        </is>
      </c>
      <c r="D52" t="inlineStr">
        <is>
          <t>13:00 - 00:00</t>
        </is>
      </c>
      <c r="E52" t="inlineStr">
        <is>
          <t>Short 1</t>
        </is>
      </c>
      <c r="F52" t="inlineStr">
        <is>
          <t>15:30</t>
        </is>
      </c>
      <c r="G52" t="inlineStr">
        <is>
          <t>Wed</t>
        </is>
      </c>
      <c r="H52" t="inlineStr">
        <is>
          <t>15:00</t>
        </is>
      </c>
      <c r="I52" t="n">
        <v>0.25</v>
      </c>
      <c r="J52" t="inlineStr">
        <is>
          <t>Lunch</t>
        </is>
      </c>
      <c r="K52" t="inlineStr">
        <is>
          <t>18:30</t>
        </is>
      </c>
      <c r="L52" t="inlineStr">
        <is>
          <t>Wed</t>
        </is>
      </c>
      <c r="M52" t="inlineStr">
        <is>
          <t>18:00</t>
        </is>
      </c>
      <c r="N52" t="n">
        <v>0.5</v>
      </c>
      <c r="O52" t="inlineStr">
        <is>
          <t>Short 2</t>
        </is>
      </c>
      <c r="P52" t="inlineStr">
        <is>
          <t>21:30</t>
        </is>
      </c>
      <c r="Q52" t="inlineStr">
        <is>
          <t>Wed</t>
        </is>
      </c>
      <c r="R52" t="inlineStr">
        <is>
          <t>21:00</t>
        </is>
      </c>
      <c r="S52" t="n">
        <v>0.25</v>
      </c>
    </row>
    <row r="53">
      <c r="A53" t="n">
        <v>13</v>
      </c>
      <c r="B53" t="inlineStr">
        <is>
          <t>Billie Saad</t>
        </is>
      </c>
      <c r="C53" t="inlineStr">
        <is>
          <t>Sat</t>
        </is>
      </c>
      <c r="D53" t="inlineStr">
        <is>
          <t>13:00 - 00:00</t>
        </is>
      </c>
      <c r="E53" t="inlineStr">
        <is>
          <t>Short 1</t>
        </is>
      </c>
      <c r="F53" t="inlineStr">
        <is>
          <t>15:30</t>
        </is>
      </c>
      <c r="G53" t="inlineStr">
        <is>
          <t>Sat</t>
        </is>
      </c>
      <c r="H53" t="inlineStr">
        <is>
          <t>15:00</t>
        </is>
      </c>
      <c r="I53" t="n">
        <v>0.25</v>
      </c>
      <c r="J53" t="inlineStr">
        <is>
          <t>Lunch</t>
        </is>
      </c>
      <c r="K53" t="inlineStr">
        <is>
          <t>18:30</t>
        </is>
      </c>
      <c r="L53" t="inlineStr">
        <is>
          <t>Sat</t>
        </is>
      </c>
      <c r="M53" t="inlineStr">
        <is>
          <t>18:00</t>
        </is>
      </c>
      <c r="N53" t="n">
        <v>0.5</v>
      </c>
      <c r="O53" t="inlineStr">
        <is>
          <t>Short 2</t>
        </is>
      </c>
      <c r="P53" t="inlineStr">
        <is>
          <t>21:30</t>
        </is>
      </c>
      <c r="Q53" t="inlineStr">
        <is>
          <t>Sat</t>
        </is>
      </c>
      <c r="R53" t="inlineStr">
        <is>
          <t>21:00</t>
        </is>
      </c>
      <c r="S53" t="n">
        <v>0.25</v>
      </c>
    </row>
    <row r="54">
      <c r="A54" t="n">
        <v>14</v>
      </c>
      <c r="B54" t="inlineStr">
        <is>
          <t>Chris Emara</t>
        </is>
      </c>
      <c r="C54" t="inlineStr">
        <is>
          <t>Sun</t>
        </is>
      </c>
      <c r="D54" t="inlineStr">
        <is>
          <t>13:00 - 00:00</t>
        </is>
      </c>
      <c r="E54" t="inlineStr">
        <is>
          <t>Short 1</t>
        </is>
      </c>
      <c r="F54" t="inlineStr">
        <is>
          <t>15:30</t>
        </is>
      </c>
      <c r="G54" t="inlineStr">
        <is>
          <t>Sun</t>
        </is>
      </c>
      <c r="H54" t="inlineStr">
        <is>
          <t>15:00</t>
        </is>
      </c>
      <c r="I54" t="n">
        <v>0.25</v>
      </c>
      <c r="J54" t="inlineStr">
        <is>
          <t>Lunch</t>
        </is>
      </c>
      <c r="K54" t="inlineStr">
        <is>
          <t>18:30</t>
        </is>
      </c>
      <c r="L54" t="inlineStr">
        <is>
          <t>Sun</t>
        </is>
      </c>
      <c r="M54" t="inlineStr">
        <is>
          <t>18:00</t>
        </is>
      </c>
      <c r="N54" t="n">
        <v>0.5</v>
      </c>
      <c r="O54" t="inlineStr">
        <is>
          <t>Short 2</t>
        </is>
      </c>
      <c r="P54" t="inlineStr">
        <is>
          <t>21:30</t>
        </is>
      </c>
      <c r="Q54" t="inlineStr">
        <is>
          <t>Sun</t>
        </is>
      </c>
      <c r="R54" t="inlineStr">
        <is>
          <t>21:00</t>
        </is>
      </c>
      <c r="S54" t="n">
        <v>0.25</v>
      </c>
    </row>
    <row r="55">
      <c r="A55" t="n">
        <v>14</v>
      </c>
      <c r="B55" t="inlineStr">
        <is>
          <t>Chris Emara</t>
        </is>
      </c>
      <c r="C55" t="inlineStr">
        <is>
          <t>Mon</t>
        </is>
      </c>
      <c r="D55" t="inlineStr">
        <is>
          <t>13:00 - 00:00</t>
        </is>
      </c>
      <c r="E55" t="inlineStr">
        <is>
          <t>Short 1</t>
        </is>
      </c>
      <c r="F55" t="inlineStr">
        <is>
          <t>15:30</t>
        </is>
      </c>
      <c r="G55" t="inlineStr">
        <is>
          <t>Mon</t>
        </is>
      </c>
      <c r="H55" t="inlineStr">
        <is>
          <t>15:00</t>
        </is>
      </c>
      <c r="I55" t="n">
        <v>0.25</v>
      </c>
      <c r="J55" t="inlineStr">
        <is>
          <t>Lunch</t>
        </is>
      </c>
      <c r="K55" t="inlineStr">
        <is>
          <t>18:30</t>
        </is>
      </c>
      <c r="L55" t="inlineStr">
        <is>
          <t>Mon</t>
        </is>
      </c>
      <c r="M55" t="inlineStr">
        <is>
          <t>18:00</t>
        </is>
      </c>
      <c r="N55" t="n">
        <v>0.5</v>
      </c>
      <c r="O55" t="inlineStr">
        <is>
          <t>Short 2</t>
        </is>
      </c>
      <c r="P55" t="inlineStr">
        <is>
          <t>21:30</t>
        </is>
      </c>
      <c r="Q55" t="inlineStr">
        <is>
          <t>Mon</t>
        </is>
      </c>
      <c r="R55" t="inlineStr">
        <is>
          <t>21:00</t>
        </is>
      </c>
      <c r="S55" t="n">
        <v>0.25</v>
      </c>
    </row>
    <row r="56">
      <c r="A56" t="n">
        <v>14</v>
      </c>
      <c r="B56" t="inlineStr">
        <is>
          <t>Chris Emara</t>
        </is>
      </c>
      <c r="C56" t="inlineStr">
        <is>
          <t>Tue</t>
        </is>
      </c>
      <c r="D56" t="inlineStr">
        <is>
          <t>13:00 - 00:00</t>
        </is>
      </c>
      <c r="E56" t="inlineStr">
        <is>
          <t>Short 1</t>
        </is>
      </c>
      <c r="F56" t="inlineStr">
        <is>
          <t>15:30</t>
        </is>
      </c>
      <c r="G56" t="inlineStr">
        <is>
          <t>Tue</t>
        </is>
      </c>
      <c r="H56" t="inlineStr">
        <is>
          <t>15:00</t>
        </is>
      </c>
      <c r="I56" t="n">
        <v>0.25</v>
      </c>
      <c r="J56" t="inlineStr">
        <is>
          <t>Lunch</t>
        </is>
      </c>
      <c r="K56" t="inlineStr">
        <is>
          <t>18:30</t>
        </is>
      </c>
      <c r="L56" t="inlineStr">
        <is>
          <t>Tue</t>
        </is>
      </c>
      <c r="M56" t="inlineStr">
        <is>
          <t>18:00</t>
        </is>
      </c>
      <c r="N56" t="n">
        <v>0.5</v>
      </c>
      <c r="O56" t="inlineStr">
        <is>
          <t>Short 2</t>
        </is>
      </c>
      <c r="P56" t="inlineStr">
        <is>
          <t>21:30</t>
        </is>
      </c>
      <c r="Q56" t="inlineStr">
        <is>
          <t>Tue</t>
        </is>
      </c>
      <c r="R56" t="inlineStr">
        <is>
          <t>21:00</t>
        </is>
      </c>
      <c r="S56" t="n">
        <v>0.25</v>
      </c>
    </row>
    <row r="57">
      <c r="A57" t="n">
        <v>14</v>
      </c>
      <c r="B57" t="inlineStr">
        <is>
          <t>Chris Emara</t>
        </is>
      </c>
      <c r="C57" t="inlineStr">
        <is>
          <t>Fri</t>
        </is>
      </c>
      <c r="D57" t="inlineStr">
        <is>
          <t>13:00 - 00:00</t>
        </is>
      </c>
      <c r="E57" t="inlineStr">
        <is>
          <t>Short 1</t>
        </is>
      </c>
      <c r="F57" t="inlineStr">
        <is>
          <t>15:30</t>
        </is>
      </c>
      <c r="G57" t="inlineStr">
        <is>
          <t>Fri</t>
        </is>
      </c>
      <c r="H57" t="inlineStr">
        <is>
          <t>15:00</t>
        </is>
      </c>
      <c r="I57" t="n">
        <v>0.25</v>
      </c>
      <c r="J57" t="inlineStr">
        <is>
          <t>Lunch</t>
        </is>
      </c>
      <c r="K57" t="inlineStr">
        <is>
          <t>18:30</t>
        </is>
      </c>
      <c r="L57" t="inlineStr">
        <is>
          <t>Fri</t>
        </is>
      </c>
      <c r="M57" t="inlineStr">
        <is>
          <t>18:00</t>
        </is>
      </c>
      <c r="N57" t="n">
        <v>0.5</v>
      </c>
      <c r="O57" t="inlineStr">
        <is>
          <t>Short 2</t>
        </is>
      </c>
      <c r="P57" t="inlineStr">
        <is>
          <t>21:30</t>
        </is>
      </c>
      <c r="Q57" t="inlineStr">
        <is>
          <t>Fri</t>
        </is>
      </c>
      <c r="R57" t="inlineStr">
        <is>
          <t>21:00</t>
        </is>
      </c>
      <c r="S57" t="n">
        <v>0.25</v>
      </c>
    </row>
    <row r="58">
      <c r="A58" t="n">
        <v>15</v>
      </c>
      <c r="B58" t="inlineStr">
        <is>
          <t>Hanna Ahmed</t>
        </is>
      </c>
      <c r="C58" t="inlineStr">
        <is>
          <t>Tue</t>
        </is>
      </c>
      <c r="D58" t="inlineStr">
        <is>
          <t>15:00 - 00:00</t>
        </is>
      </c>
      <c r="E58" t="inlineStr">
        <is>
          <t>Short 1</t>
        </is>
      </c>
      <c r="F58" t="inlineStr">
        <is>
          <t>17:15</t>
        </is>
      </c>
      <c r="G58" t="inlineStr">
        <is>
          <t>Tue</t>
        </is>
      </c>
      <c r="H58" t="inlineStr">
        <is>
          <t>17:00</t>
        </is>
      </c>
      <c r="I58" t="n">
        <v>0.25</v>
      </c>
      <c r="J58" t="inlineStr">
        <is>
          <t>Lunch</t>
        </is>
      </c>
      <c r="K58" t="inlineStr">
        <is>
          <t>20:00</t>
        </is>
      </c>
      <c r="L58" t="inlineStr">
        <is>
          <t>Tue</t>
        </is>
      </c>
      <c r="M58" t="inlineStr">
        <is>
          <t>20:00</t>
        </is>
      </c>
      <c r="N58" t="n">
        <v>0.5</v>
      </c>
      <c r="O58" t="inlineStr">
        <is>
          <t>Short 2</t>
        </is>
      </c>
      <c r="P58" t="inlineStr">
        <is>
          <t>22:15</t>
        </is>
      </c>
      <c r="Q58" t="inlineStr">
        <is>
          <t>Tue</t>
        </is>
      </c>
      <c r="R58" t="inlineStr">
        <is>
          <t>22:00</t>
        </is>
      </c>
      <c r="S58" t="n">
        <v>0.25</v>
      </c>
    </row>
    <row r="59">
      <c r="A59" t="n">
        <v>15</v>
      </c>
      <c r="B59" t="inlineStr">
        <is>
          <t>Hanna Ahmed</t>
        </is>
      </c>
      <c r="C59" t="inlineStr">
        <is>
          <t>Wed</t>
        </is>
      </c>
      <c r="D59" t="inlineStr">
        <is>
          <t>15:00 - 00:00</t>
        </is>
      </c>
      <c r="E59" t="inlineStr">
        <is>
          <t>Short 1</t>
        </is>
      </c>
      <c r="F59" t="inlineStr">
        <is>
          <t>17:15</t>
        </is>
      </c>
      <c r="G59" t="inlineStr">
        <is>
          <t>Wed</t>
        </is>
      </c>
      <c r="H59" t="inlineStr">
        <is>
          <t>17:00</t>
        </is>
      </c>
      <c r="I59" t="n">
        <v>0.25</v>
      </c>
      <c r="J59" t="inlineStr">
        <is>
          <t>Lunch</t>
        </is>
      </c>
      <c r="K59" t="inlineStr">
        <is>
          <t>20:00</t>
        </is>
      </c>
      <c r="L59" t="inlineStr">
        <is>
          <t>Wed</t>
        </is>
      </c>
      <c r="M59" t="inlineStr">
        <is>
          <t>20:00</t>
        </is>
      </c>
      <c r="N59" t="n">
        <v>0.5</v>
      </c>
      <c r="O59" t="inlineStr">
        <is>
          <t>Short 2</t>
        </is>
      </c>
      <c r="P59" t="inlineStr">
        <is>
          <t>22:15</t>
        </is>
      </c>
      <c r="Q59" t="inlineStr">
        <is>
          <t>Wed</t>
        </is>
      </c>
      <c r="R59" t="inlineStr">
        <is>
          <t>22:00</t>
        </is>
      </c>
      <c r="S59" t="n">
        <v>0.25</v>
      </c>
    </row>
    <row r="60">
      <c r="A60" t="n">
        <v>15</v>
      </c>
      <c r="B60" t="inlineStr">
        <is>
          <t>Hanna Ahmed</t>
        </is>
      </c>
      <c r="C60" t="inlineStr">
        <is>
          <t>Thu</t>
        </is>
      </c>
      <c r="D60" t="inlineStr">
        <is>
          <t>15:00 - 00:00</t>
        </is>
      </c>
      <c r="E60" t="inlineStr">
        <is>
          <t>Short 1</t>
        </is>
      </c>
      <c r="F60" t="inlineStr">
        <is>
          <t>17:15</t>
        </is>
      </c>
      <c r="G60" t="inlineStr">
        <is>
          <t>Thu</t>
        </is>
      </c>
      <c r="H60" t="inlineStr">
        <is>
          <t>17:00</t>
        </is>
      </c>
      <c r="I60" t="n">
        <v>0.25</v>
      </c>
      <c r="J60" t="inlineStr">
        <is>
          <t>Lunch</t>
        </is>
      </c>
      <c r="K60" t="inlineStr">
        <is>
          <t>20:00</t>
        </is>
      </c>
      <c r="L60" t="inlineStr">
        <is>
          <t>Thu</t>
        </is>
      </c>
      <c r="M60" t="inlineStr">
        <is>
          <t>20:00</t>
        </is>
      </c>
      <c r="N60" t="n">
        <v>0.5</v>
      </c>
      <c r="O60" t="inlineStr">
        <is>
          <t>Short 2</t>
        </is>
      </c>
      <c r="P60" t="inlineStr">
        <is>
          <t>22:15</t>
        </is>
      </c>
      <c r="Q60" t="inlineStr">
        <is>
          <t>Thu</t>
        </is>
      </c>
      <c r="R60" t="inlineStr">
        <is>
          <t>22:00</t>
        </is>
      </c>
      <c r="S60" t="n">
        <v>0.25</v>
      </c>
    </row>
    <row r="61">
      <c r="A61" t="n">
        <v>15</v>
      </c>
      <c r="B61" t="inlineStr">
        <is>
          <t>Hanna Ahmed</t>
        </is>
      </c>
      <c r="C61" t="inlineStr">
        <is>
          <t>Fri</t>
        </is>
      </c>
      <c r="D61" t="inlineStr">
        <is>
          <t>15:00 - 00:00</t>
        </is>
      </c>
      <c r="E61" t="inlineStr">
        <is>
          <t>Short 1</t>
        </is>
      </c>
      <c r="F61" t="inlineStr">
        <is>
          <t>17:15</t>
        </is>
      </c>
      <c r="G61" t="inlineStr">
        <is>
          <t>Fri</t>
        </is>
      </c>
      <c r="H61" t="inlineStr">
        <is>
          <t>17:00</t>
        </is>
      </c>
      <c r="I61" t="n">
        <v>0.25</v>
      </c>
      <c r="J61" t="inlineStr">
        <is>
          <t>Lunch</t>
        </is>
      </c>
      <c r="K61" t="inlineStr">
        <is>
          <t>20:00</t>
        </is>
      </c>
      <c r="L61" t="inlineStr">
        <is>
          <t>Fri</t>
        </is>
      </c>
      <c r="M61" t="inlineStr">
        <is>
          <t>20:00</t>
        </is>
      </c>
      <c r="N61" t="n">
        <v>0.5</v>
      </c>
      <c r="O61" t="inlineStr">
        <is>
          <t>Short 2</t>
        </is>
      </c>
      <c r="P61" t="inlineStr">
        <is>
          <t>22:15</t>
        </is>
      </c>
      <c r="Q61" t="inlineStr">
        <is>
          <t>Fri</t>
        </is>
      </c>
      <c r="R61" t="inlineStr">
        <is>
          <t>22:00</t>
        </is>
      </c>
      <c r="S61" t="n">
        <v>0.25</v>
      </c>
    </row>
    <row r="62">
      <c r="A62" t="n">
        <v>15</v>
      </c>
      <c r="B62" t="inlineStr">
        <is>
          <t>Hanna Ahmed</t>
        </is>
      </c>
      <c r="C62" t="inlineStr">
        <is>
          <t>Sat</t>
        </is>
      </c>
      <c r="D62" t="inlineStr">
        <is>
          <t>15:00 - 00:00</t>
        </is>
      </c>
      <c r="E62" t="inlineStr">
        <is>
          <t>Short 1</t>
        </is>
      </c>
      <c r="F62" t="inlineStr">
        <is>
          <t>17:15</t>
        </is>
      </c>
      <c r="G62" t="inlineStr">
        <is>
          <t>Sat</t>
        </is>
      </c>
      <c r="H62" t="inlineStr">
        <is>
          <t>17:00</t>
        </is>
      </c>
      <c r="I62" t="n">
        <v>0.25</v>
      </c>
      <c r="J62" t="inlineStr">
        <is>
          <t>Lunch</t>
        </is>
      </c>
      <c r="K62" t="inlineStr">
        <is>
          <t>20:00</t>
        </is>
      </c>
      <c r="L62" t="inlineStr">
        <is>
          <t>Sat</t>
        </is>
      </c>
      <c r="M62" t="inlineStr">
        <is>
          <t>20:00</t>
        </is>
      </c>
      <c r="N62" t="n">
        <v>0.5</v>
      </c>
      <c r="O62" t="inlineStr">
        <is>
          <t>Short 2</t>
        </is>
      </c>
      <c r="P62" t="inlineStr">
        <is>
          <t>22:15</t>
        </is>
      </c>
      <c r="Q62" t="inlineStr">
        <is>
          <t>Sat</t>
        </is>
      </c>
      <c r="R62" t="inlineStr">
        <is>
          <t>22:00</t>
        </is>
      </c>
      <c r="S62" t="n">
        <v>0.25</v>
      </c>
    </row>
    <row r="63">
      <c r="A63" t="n">
        <v>16</v>
      </c>
      <c r="B63" t="inlineStr">
        <is>
          <t>Mary shebl</t>
        </is>
      </c>
      <c r="C63" t="inlineStr">
        <is>
          <t>Tue</t>
        </is>
      </c>
      <c r="D63" t="inlineStr">
        <is>
          <t>15:00 - 00:00</t>
        </is>
      </c>
      <c r="E63" t="inlineStr">
        <is>
          <t>Short 1</t>
        </is>
      </c>
      <c r="F63" t="inlineStr">
        <is>
          <t>17:15</t>
        </is>
      </c>
      <c r="G63" t="inlineStr">
        <is>
          <t>Tue</t>
        </is>
      </c>
      <c r="H63" t="inlineStr">
        <is>
          <t>17:00</t>
        </is>
      </c>
      <c r="I63" t="n">
        <v>0.25</v>
      </c>
      <c r="J63" t="inlineStr">
        <is>
          <t>Lunch</t>
        </is>
      </c>
      <c r="K63" t="inlineStr">
        <is>
          <t>20:00</t>
        </is>
      </c>
      <c r="L63" t="inlineStr">
        <is>
          <t>Tue</t>
        </is>
      </c>
      <c r="M63" t="inlineStr">
        <is>
          <t>20:00</t>
        </is>
      </c>
      <c r="N63" t="n">
        <v>0.5</v>
      </c>
      <c r="O63" t="inlineStr">
        <is>
          <t>Short 2</t>
        </is>
      </c>
      <c r="P63" t="inlineStr">
        <is>
          <t>22:15</t>
        </is>
      </c>
      <c r="Q63" t="inlineStr">
        <is>
          <t>Tue</t>
        </is>
      </c>
      <c r="R63" t="inlineStr">
        <is>
          <t>22:00</t>
        </is>
      </c>
      <c r="S63" t="n">
        <v>0.25</v>
      </c>
    </row>
    <row r="64">
      <c r="A64" t="n">
        <v>16</v>
      </c>
      <c r="B64" t="inlineStr">
        <is>
          <t>Mary shebl</t>
        </is>
      </c>
      <c r="C64" t="inlineStr">
        <is>
          <t>Wed</t>
        </is>
      </c>
      <c r="D64" t="inlineStr">
        <is>
          <t>15:00 - 00:00</t>
        </is>
      </c>
      <c r="E64" t="inlineStr">
        <is>
          <t>Short 1</t>
        </is>
      </c>
      <c r="F64" t="inlineStr">
        <is>
          <t>17:15</t>
        </is>
      </c>
      <c r="G64" t="inlineStr">
        <is>
          <t>Wed</t>
        </is>
      </c>
      <c r="H64" t="inlineStr">
        <is>
          <t>17:00</t>
        </is>
      </c>
      <c r="I64" t="n">
        <v>0.25</v>
      </c>
      <c r="J64" t="inlineStr">
        <is>
          <t>Lunch</t>
        </is>
      </c>
      <c r="K64" t="inlineStr">
        <is>
          <t>20:00</t>
        </is>
      </c>
      <c r="L64" t="inlineStr">
        <is>
          <t>Wed</t>
        </is>
      </c>
      <c r="M64" t="inlineStr">
        <is>
          <t>20:00</t>
        </is>
      </c>
      <c r="N64" t="n">
        <v>0.5</v>
      </c>
      <c r="O64" t="inlineStr">
        <is>
          <t>Short 2</t>
        </is>
      </c>
      <c r="P64" t="inlineStr">
        <is>
          <t>22:15</t>
        </is>
      </c>
      <c r="Q64" t="inlineStr">
        <is>
          <t>Wed</t>
        </is>
      </c>
      <c r="R64" t="inlineStr">
        <is>
          <t>22:00</t>
        </is>
      </c>
      <c r="S64" t="n">
        <v>0.25</v>
      </c>
    </row>
    <row r="65">
      <c r="A65" t="n">
        <v>16</v>
      </c>
      <c r="B65" t="inlineStr">
        <is>
          <t>Mary shebl</t>
        </is>
      </c>
      <c r="C65" t="inlineStr">
        <is>
          <t>Thu</t>
        </is>
      </c>
      <c r="D65" t="inlineStr">
        <is>
          <t>15:00 - 00:00</t>
        </is>
      </c>
      <c r="E65" t="inlineStr">
        <is>
          <t>Short 1</t>
        </is>
      </c>
      <c r="F65" t="inlineStr">
        <is>
          <t>17:15</t>
        </is>
      </c>
      <c r="G65" t="inlineStr">
        <is>
          <t>Thu</t>
        </is>
      </c>
      <c r="H65" t="inlineStr">
        <is>
          <t>17:00</t>
        </is>
      </c>
      <c r="I65" t="n">
        <v>0.25</v>
      </c>
      <c r="J65" t="inlineStr">
        <is>
          <t>Lunch</t>
        </is>
      </c>
      <c r="K65" t="inlineStr">
        <is>
          <t>20:00</t>
        </is>
      </c>
      <c r="L65" t="inlineStr">
        <is>
          <t>Thu</t>
        </is>
      </c>
      <c r="M65" t="inlineStr">
        <is>
          <t>20:00</t>
        </is>
      </c>
      <c r="N65" t="n">
        <v>0.5</v>
      </c>
      <c r="O65" t="inlineStr">
        <is>
          <t>Short 2</t>
        </is>
      </c>
      <c r="P65" t="inlineStr">
        <is>
          <t>22:15</t>
        </is>
      </c>
      <c r="Q65" t="inlineStr">
        <is>
          <t>Thu</t>
        </is>
      </c>
      <c r="R65" t="inlineStr">
        <is>
          <t>22:00</t>
        </is>
      </c>
      <c r="S65" t="n">
        <v>0.25</v>
      </c>
    </row>
    <row r="66">
      <c r="A66" t="n">
        <v>16</v>
      </c>
      <c r="B66" t="inlineStr">
        <is>
          <t>Mary shebl</t>
        </is>
      </c>
      <c r="C66" t="inlineStr">
        <is>
          <t>Fri</t>
        </is>
      </c>
      <c r="D66" t="inlineStr">
        <is>
          <t>15:00 - 00:00</t>
        </is>
      </c>
      <c r="E66" t="inlineStr">
        <is>
          <t>Short 1</t>
        </is>
      </c>
      <c r="F66" t="inlineStr">
        <is>
          <t>17:15</t>
        </is>
      </c>
      <c r="G66" t="inlineStr">
        <is>
          <t>Fri</t>
        </is>
      </c>
      <c r="H66" t="inlineStr">
        <is>
          <t>17:00</t>
        </is>
      </c>
      <c r="I66" t="n">
        <v>0.25</v>
      </c>
      <c r="J66" t="inlineStr">
        <is>
          <t>Lunch</t>
        </is>
      </c>
      <c r="K66" t="inlineStr">
        <is>
          <t>20:00</t>
        </is>
      </c>
      <c r="L66" t="inlineStr">
        <is>
          <t>Fri</t>
        </is>
      </c>
      <c r="M66" t="inlineStr">
        <is>
          <t>20:00</t>
        </is>
      </c>
      <c r="N66" t="n">
        <v>0.5</v>
      </c>
      <c r="O66" t="inlineStr">
        <is>
          <t>Short 2</t>
        </is>
      </c>
      <c r="P66" t="inlineStr">
        <is>
          <t>22:15</t>
        </is>
      </c>
      <c r="Q66" t="inlineStr">
        <is>
          <t>Fri</t>
        </is>
      </c>
      <c r="R66" t="inlineStr">
        <is>
          <t>22:00</t>
        </is>
      </c>
      <c r="S66" t="n">
        <v>0.25</v>
      </c>
    </row>
    <row r="67">
      <c r="A67" t="n">
        <v>16</v>
      </c>
      <c r="B67" t="inlineStr">
        <is>
          <t>Mary shebl</t>
        </is>
      </c>
      <c r="C67" t="inlineStr">
        <is>
          <t>Sat</t>
        </is>
      </c>
      <c r="D67" t="inlineStr">
        <is>
          <t>15:00 - 00:00</t>
        </is>
      </c>
      <c r="E67" t="inlineStr">
        <is>
          <t>Short 1</t>
        </is>
      </c>
      <c r="F67" t="inlineStr">
        <is>
          <t>17:15</t>
        </is>
      </c>
      <c r="G67" t="inlineStr">
        <is>
          <t>Sat</t>
        </is>
      </c>
      <c r="H67" t="inlineStr">
        <is>
          <t>17:00</t>
        </is>
      </c>
      <c r="I67" t="n">
        <v>0.25</v>
      </c>
      <c r="J67" t="inlineStr">
        <is>
          <t>Lunch</t>
        </is>
      </c>
      <c r="K67" t="inlineStr">
        <is>
          <t>20:00</t>
        </is>
      </c>
      <c r="L67" t="inlineStr">
        <is>
          <t>Sat</t>
        </is>
      </c>
      <c r="M67" t="inlineStr">
        <is>
          <t>20:00</t>
        </is>
      </c>
      <c r="N67" t="n">
        <v>0.5</v>
      </c>
      <c r="O67" t="inlineStr">
        <is>
          <t>Short 2</t>
        </is>
      </c>
      <c r="P67" t="inlineStr">
        <is>
          <t>22:15</t>
        </is>
      </c>
      <c r="Q67" t="inlineStr">
        <is>
          <t>Sat</t>
        </is>
      </c>
      <c r="R67" t="inlineStr">
        <is>
          <t>22:00</t>
        </is>
      </c>
      <c r="S67" t="n">
        <v>0.25</v>
      </c>
    </row>
    <row r="68">
      <c r="A68" t="n">
        <v>17</v>
      </c>
      <c r="B68" t="inlineStr">
        <is>
          <t>Sara Aldabee</t>
        </is>
      </c>
      <c r="C68" t="inlineStr">
        <is>
          <t>Tue</t>
        </is>
      </c>
      <c r="D68" t="inlineStr">
        <is>
          <t>22:00 - 07:00</t>
        </is>
      </c>
      <c r="E68" t="inlineStr">
        <is>
          <t>Short 1</t>
        </is>
      </c>
      <c r="F68" t="inlineStr">
        <is>
          <t>00:15</t>
        </is>
      </c>
      <c r="G68" t="inlineStr">
        <is>
          <t>Wed</t>
        </is>
      </c>
      <c r="H68" t="inlineStr">
        <is>
          <t>00:00</t>
        </is>
      </c>
      <c r="I68" t="n">
        <v>0.25</v>
      </c>
      <c r="J68" t="inlineStr">
        <is>
          <t>Lunch</t>
        </is>
      </c>
      <c r="K68" t="inlineStr">
        <is>
          <t>03:00</t>
        </is>
      </c>
      <c r="L68" t="inlineStr">
        <is>
          <t>Wed</t>
        </is>
      </c>
      <c r="M68" t="inlineStr">
        <is>
          <t>03:00</t>
        </is>
      </c>
      <c r="N68" t="n">
        <v>0.5</v>
      </c>
      <c r="O68" t="inlineStr">
        <is>
          <t>Short 2</t>
        </is>
      </c>
      <c r="P68" t="inlineStr">
        <is>
          <t>05:15</t>
        </is>
      </c>
      <c r="Q68" t="inlineStr">
        <is>
          <t>Wed</t>
        </is>
      </c>
      <c r="R68" t="inlineStr">
        <is>
          <t>05:00</t>
        </is>
      </c>
      <c r="S68" t="n">
        <v>0.25</v>
      </c>
    </row>
    <row r="69">
      <c r="A69" t="n">
        <v>17</v>
      </c>
      <c r="B69" t="inlineStr">
        <is>
          <t>Sara Aldabee</t>
        </is>
      </c>
      <c r="C69" t="inlineStr">
        <is>
          <t>Wed</t>
        </is>
      </c>
      <c r="D69" t="inlineStr">
        <is>
          <t>22:00 - 07:00</t>
        </is>
      </c>
      <c r="E69" t="inlineStr">
        <is>
          <t>Short 1</t>
        </is>
      </c>
      <c r="F69" t="inlineStr">
        <is>
          <t>00:15</t>
        </is>
      </c>
      <c r="G69" t="inlineStr">
        <is>
          <t>Thu</t>
        </is>
      </c>
      <c r="H69" t="inlineStr">
        <is>
          <t>00:00</t>
        </is>
      </c>
      <c r="I69" t="n">
        <v>0.25</v>
      </c>
      <c r="J69" t="inlineStr">
        <is>
          <t>Lunch</t>
        </is>
      </c>
      <c r="K69" t="inlineStr">
        <is>
          <t>03:00</t>
        </is>
      </c>
      <c r="L69" t="inlineStr">
        <is>
          <t>Thu</t>
        </is>
      </c>
      <c r="M69" t="inlineStr">
        <is>
          <t>03:00</t>
        </is>
      </c>
      <c r="N69" t="n">
        <v>0.5</v>
      </c>
      <c r="O69" t="inlineStr">
        <is>
          <t>Short 2</t>
        </is>
      </c>
      <c r="P69" t="inlineStr">
        <is>
          <t>05:15</t>
        </is>
      </c>
      <c r="Q69" t="inlineStr">
        <is>
          <t>Thu</t>
        </is>
      </c>
      <c r="R69" t="inlineStr">
        <is>
          <t>05:00</t>
        </is>
      </c>
      <c r="S69" t="n">
        <v>0.25</v>
      </c>
    </row>
    <row r="70">
      <c r="A70" t="n">
        <v>17</v>
      </c>
      <c r="B70" t="inlineStr">
        <is>
          <t>Sara Aldabee</t>
        </is>
      </c>
      <c r="C70" t="inlineStr">
        <is>
          <t>Thu</t>
        </is>
      </c>
      <c r="D70" t="inlineStr">
        <is>
          <t>22:00 - 07:00</t>
        </is>
      </c>
      <c r="E70" t="inlineStr">
        <is>
          <t>Short 1</t>
        </is>
      </c>
      <c r="F70" t="inlineStr">
        <is>
          <t>00:15</t>
        </is>
      </c>
      <c r="G70" t="inlineStr">
        <is>
          <t>Fri</t>
        </is>
      </c>
      <c r="H70" t="inlineStr">
        <is>
          <t>00:00</t>
        </is>
      </c>
      <c r="I70" t="n">
        <v>0.25</v>
      </c>
      <c r="J70" t="inlineStr">
        <is>
          <t>Lunch</t>
        </is>
      </c>
      <c r="K70" t="inlineStr">
        <is>
          <t>03:00</t>
        </is>
      </c>
      <c r="L70" t="inlineStr">
        <is>
          <t>Fri</t>
        </is>
      </c>
      <c r="M70" t="inlineStr">
        <is>
          <t>03:00</t>
        </is>
      </c>
      <c r="N70" t="n">
        <v>0.5</v>
      </c>
      <c r="O70" t="inlineStr">
        <is>
          <t>Short 2</t>
        </is>
      </c>
      <c r="P70" t="inlineStr">
        <is>
          <t>05:15</t>
        </is>
      </c>
      <c r="Q70" t="inlineStr">
        <is>
          <t>Fri</t>
        </is>
      </c>
      <c r="R70" t="inlineStr">
        <is>
          <t>05:00</t>
        </is>
      </c>
      <c r="S70" t="n">
        <v>0.25</v>
      </c>
    </row>
    <row r="71">
      <c r="A71" t="n">
        <v>17</v>
      </c>
      <c r="B71" t="inlineStr">
        <is>
          <t>Sara Aldabee</t>
        </is>
      </c>
      <c r="C71" t="inlineStr">
        <is>
          <t>Fri</t>
        </is>
      </c>
      <c r="D71" t="inlineStr">
        <is>
          <t>22:00 - 07:00</t>
        </is>
      </c>
      <c r="E71" t="inlineStr">
        <is>
          <t>Short 1</t>
        </is>
      </c>
      <c r="F71" t="inlineStr">
        <is>
          <t>00:15</t>
        </is>
      </c>
      <c r="G71" t="inlineStr">
        <is>
          <t>Sat</t>
        </is>
      </c>
      <c r="H71" t="inlineStr">
        <is>
          <t>00:00</t>
        </is>
      </c>
      <c r="I71" t="n">
        <v>0.25</v>
      </c>
      <c r="J71" t="inlineStr">
        <is>
          <t>Lunch</t>
        </is>
      </c>
      <c r="K71" t="inlineStr">
        <is>
          <t>03:00</t>
        </is>
      </c>
      <c r="L71" t="inlineStr">
        <is>
          <t>Sat</t>
        </is>
      </c>
      <c r="M71" t="inlineStr">
        <is>
          <t>03:00</t>
        </is>
      </c>
      <c r="N71" t="n">
        <v>0.5</v>
      </c>
      <c r="O71" t="inlineStr">
        <is>
          <t>Short 2</t>
        </is>
      </c>
      <c r="P71" t="inlineStr">
        <is>
          <t>05:15</t>
        </is>
      </c>
      <c r="Q71" t="inlineStr">
        <is>
          <t>Sat</t>
        </is>
      </c>
      <c r="R71" t="inlineStr">
        <is>
          <t>05:00</t>
        </is>
      </c>
      <c r="S71" t="n">
        <v>0.25</v>
      </c>
    </row>
    <row r="72">
      <c r="A72" t="n">
        <v>17</v>
      </c>
      <c r="B72" t="inlineStr">
        <is>
          <t>Sara Aldabee</t>
        </is>
      </c>
      <c r="C72" t="inlineStr">
        <is>
          <t>Sat</t>
        </is>
      </c>
      <c r="D72" t="inlineStr">
        <is>
          <t>22:00 - 07:00</t>
        </is>
      </c>
    </row>
    <row r="73">
      <c r="A73" t="n">
        <v>18</v>
      </c>
      <c r="B73" t="inlineStr">
        <is>
          <t>Mostafa Sadek</t>
        </is>
      </c>
      <c r="C73" t="inlineStr">
        <is>
          <t>Tue</t>
        </is>
      </c>
      <c r="D73" t="inlineStr">
        <is>
          <t>22:00 - 07:00</t>
        </is>
      </c>
      <c r="E73" t="inlineStr">
        <is>
          <t>Short 1</t>
        </is>
      </c>
      <c r="F73" t="inlineStr">
        <is>
          <t>00:15</t>
        </is>
      </c>
      <c r="G73" t="inlineStr">
        <is>
          <t>Wed</t>
        </is>
      </c>
      <c r="H73" t="inlineStr">
        <is>
          <t>00:00</t>
        </is>
      </c>
      <c r="I73" t="n">
        <v>0.25</v>
      </c>
      <c r="J73" t="inlineStr">
        <is>
          <t>Lunch</t>
        </is>
      </c>
      <c r="K73" t="inlineStr">
        <is>
          <t>03:00</t>
        </is>
      </c>
      <c r="L73" t="inlineStr">
        <is>
          <t>Wed</t>
        </is>
      </c>
      <c r="M73" t="inlineStr">
        <is>
          <t>03:00</t>
        </is>
      </c>
      <c r="N73" t="n">
        <v>0.5</v>
      </c>
      <c r="O73" t="inlineStr">
        <is>
          <t>Short 2</t>
        </is>
      </c>
      <c r="P73" t="inlineStr">
        <is>
          <t>05:15</t>
        </is>
      </c>
      <c r="Q73" t="inlineStr">
        <is>
          <t>Wed</t>
        </is>
      </c>
      <c r="R73" t="inlineStr">
        <is>
          <t>05:00</t>
        </is>
      </c>
      <c r="S73" t="n">
        <v>0.25</v>
      </c>
    </row>
    <row r="74">
      <c r="A74" t="n">
        <v>18</v>
      </c>
      <c r="B74" t="inlineStr">
        <is>
          <t>Mostafa Sadek</t>
        </is>
      </c>
      <c r="C74" t="inlineStr">
        <is>
          <t>Wed</t>
        </is>
      </c>
      <c r="D74" t="inlineStr">
        <is>
          <t>22:00 - 07:00</t>
        </is>
      </c>
      <c r="E74" t="inlineStr">
        <is>
          <t>Short 1</t>
        </is>
      </c>
      <c r="F74" t="inlineStr">
        <is>
          <t>00:15</t>
        </is>
      </c>
      <c r="G74" t="inlineStr">
        <is>
          <t>Thu</t>
        </is>
      </c>
      <c r="H74" t="inlineStr">
        <is>
          <t>00:00</t>
        </is>
      </c>
      <c r="I74" t="n">
        <v>0.25</v>
      </c>
      <c r="J74" t="inlineStr">
        <is>
          <t>Lunch</t>
        </is>
      </c>
      <c r="K74" t="inlineStr">
        <is>
          <t>03:00</t>
        </is>
      </c>
      <c r="L74" t="inlineStr">
        <is>
          <t>Thu</t>
        </is>
      </c>
      <c r="M74" t="inlineStr">
        <is>
          <t>03:00</t>
        </is>
      </c>
      <c r="N74" t="n">
        <v>0.5</v>
      </c>
      <c r="O74" t="inlineStr">
        <is>
          <t>Short 2</t>
        </is>
      </c>
      <c r="P74" t="inlineStr">
        <is>
          <t>05:15</t>
        </is>
      </c>
      <c r="Q74" t="inlineStr">
        <is>
          <t>Thu</t>
        </is>
      </c>
      <c r="R74" t="inlineStr">
        <is>
          <t>05:00</t>
        </is>
      </c>
      <c r="S74" t="n">
        <v>0.25</v>
      </c>
    </row>
    <row r="75">
      <c r="A75" t="n">
        <v>18</v>
      </c>
      <c r="B75" t="inlineStr">
        <is>
          <t>Mostafa Sadek</t>
        </is>
      </c>
      <c r="C75" t="inlineStr">
        <is>
          <t>Thu</t>
        </is>
      </c>
      <c r="D75" t="inlineStr">
        <is>
          <t>22:00 - 07:00</t>
        </is>
      </c>
      <c r="E75" t="inlineStr">
        <is>
          <t>Short 1</t>
        </is>
      </c>
      <c r="F75" t="inlineStr">
        <is>
          <t>00:15</t>
        </is>
      </c>
      <c r="G75" t="inlineStr">
        <is>
          <t>Fri</t>
        </is>
      </c>
      <c r="H75" t="inlineStr">
        <is>
          <t>00:00</t>
        </is>
      </c>
      <c r="I75" t="n">
        <v>0.25</v>
      </c>
      <c r="J75" t="inlineStr">
        <is>
          <t>Lunch</t>
        </is>
      </c>
      <c r="K75" t="inlineStr">
        <is>
          <t>03:00</t>
        </is>
      </c>
      <c r="L75" t="inlineStr">
        <is>
          <t>Fri</t>
        </is>
      </c>
      <c r="M75" t="inlineStr">
        <is>
          <t>03:00</t>
        </is>
      </c>
      <c r="N75" t="n">
        <v>0.5</v>
      </c>
      <c r="O75" t="inlineStr">
        <is>
          <t>Short 2</t>
        </is>
      </c>
      <c r="P75" t="inlineStr">
        <is>
          <t>05:15</t>
        </is>
      </c>
      <c r="Q75" t="inlineStr">
        <is>
          <t>Fri</t>
        </is>
      </c>
      <c r="R75" t="inlineStr">
        <is>
          <t>05:00</t>
        </is>
      </c>
      <c r="S75" t="n">
        <v>0.25</v>
      </c>
    </row>
    <row r="76">
      <c r="A76" t="n">
        <v>18</v>
      </c>
      <c r="B76" t="inlineStr">
        <is>
          <t>Mostafa Sadek</t>
        </is>
      </c>
      <c r="C76" t="inlineStr">
        <is>
          <t>Fri</t>
        </is>
      </c>
      <c r="D76" t="inlineStr">
        <is>
          <t>22:00 - 07:00</t>
        </is>
      </c>
      <c r="E76" t="inlineStr">
        <is>
          <t>Short 1</t>
        </is>
      </c>
      <c r="F76" t="inlineStr">
        <is>
          <t>00:15</t>
        </is>
      </c>
      <c r="G76" t="inlineStr">
        <is>
          <t>Sat</t>
        </is>
      </c>
      <c r="H76" t="inlineStr">
        <is>
          <t>00:00</t>
        </is>
      </c>
      <c r="I76" t="n">
        <v>0.25</v>
      </c>
      <c r="J76" t="inlineStr">
        <is>
          <t>Lunch</t>
        </is>
      </c>
      <c r="K76" t="inlineStr">
        <is>
          <t>03:00</t>
        </is>
      </c>
      <c r="L76" t="inlineStr">
        <is>
          <t>Sat</t>
        </is>
      </c>
      <c r="M76" t="inlineStr">
        <is>
          <t>03:00</t>
        </is>
      </c>
      <c r="N76" t="n">
        <v>0.5</v>
      </c>
      <c r="O76" t="inlineStr">
        <is>
          <t>Short 2</t>
        </is>
      </c>
      <c r="P76" t="inlineStr">
        <is>
          <t>05:15</t>
        </is>
      </c>
      <c r="Q76" t="inlineStr">
        <is>
          <t>Sat</t>
        </is>
      </c>
      <c r="R76" t="inlineStr">
        <is>
          <t>05:00</t>
        </is>
      </c>
      <c r="S76" t="n">
        <v>0.25</v>
      </c>
    </row>
    <row r="77">
      <c r="A77" t="n">
        <v>18</v>
      </c>
      <c r="B77" t="inlineStr">
        <is>
          <t>Mostafa Sadek</t>
        </is>
      </c>
      <c r="C77" t="inlineStr">
        <is>
          <t>Sat</t>
        </is>
      </c>
      <c r="D77" t="inlineStr">
        <is>
          <t>22:00 - 07:00</t>
        </is>
      </c>
    </row>
    <row r="78">
      <c r="A78" t="n">
        <v>19</v>
      </c>
      <c r="B78" t="inlineStr">
        <is>
          <t>Ahmed Hafez</t>
        </is>
      </c>
      <c r="C78" t="inlineStr">
        <is>
          <t>Tue</t>
        </is>
      </c>
      <c r="D78" t="inlineStr">
        <is>
          <t>22:00 - 07:00</t>
        </is>
      </c>
      <c r="E78" t="inlineStr">
        <is>
          <t>Short 1</t>
        </is>
      </c>
      <c r="F78" t="inlineStr">
        <is>
          <t>00:15</t>
        </is>
      </c>
      <c r="G78" t="inlineStr">
        <is>
          <t>Wed</t>
        </is>
      </c>
      <c r="H78" t="inlineStr">
        <is>
          <t>00:00</t>
        </is>
      </c>
      <c r="I78" t="n">
        <v>0.25</v>
      </c>
      <c r="J78" t="inlineStr">
        <is>
          <t>Lunch</t>
        </is>
      </c>
      <c r="K78" t="inlineStr">
        <is>
          <t>03:00</t>
        </is>
      </c>
      <c r="L78" t="inlineStr">
        <is>
          <t>Wed</t>
        </is>
      </c>
      <c r="M78" t="inlineStr">
        <is>
          <t>03:00</t>
        </is>
      </c>
      <c r="N78" t="n">
        <v>0.5</v>
      </c>
      <c r="O78" t="inlineStr">
        <is>
          <t>Short 2</t>
        </is>
      </c>
      <c r="P78" t="inlineStr">
        <is>
          <t>05:15</t>
        </is>
      </c>
      <c r="Q78" t="inlineStr">
        <is>
          <t>Wed</t>
        </is>
      </c>
      <c r="R78" t="inlineStr">
        <is>
          <t>05:00</t>
        </is>
      </c>
      <c r="S78" t="n">
        <v>0.25</v>
      </c>
    </row>
    <row r="79">
      <c r="A79" t="n">
        <v>19</v>
      </c>
      <c r="B79" t="inlineStr">
        <is>
          <t>Ahmed Hafez</t>
        </is>
      </c>
      <c r="C79" t="inlineStr">
        <is>
          <t>Wed</t>
        </is>
      </c>
      <c r="D79" t="inlineStr">
        <is>
          <t>22:00 - 07:00</t>
        </is>
      </c>
      <c r="E79" t="inlineStr">
        <is>
          <t>Short 1</t>
        </is>
      </c>
      <c r="F79" t="inlineStr">
        <is>
          <t>00:15</t>
        </is>
      </c>
      <c r="G79" t="inlineStr">
        <is>
          <t>Thu</t>
        </is>
      </c>
      <c r="H79" t="inlineStr">
        <is>
          <t>00:00</t>
        </is>
      </c>
      <c r="I79" t="n">
        <v>0.25</v>
      </c>
      <c r="J79" t="inlineStr">
        <is>
          <t>Lunch</t>
        </is>
      </c>
      <c r="K79" t="inlineStr">
        <is>
          <t>03:00</t>
        </is>
      </c>
      <c r="L79" t="inlineStr">
        <is>
          <t>Thu</t>
        </is>
      </c>
      <c r="M79" t="inlineStr">
        <is>
          <t>03:00</t>
        </is>
      </c>
      <c r="N79" t="n">
        <v>0.5</v>
      </c>
      <c r="O79" t="inlineStr">
        <is>
          <t>Short 2</t>
        </is>
      </c>
      <c r="P79" t="inlineStr">
        <is>
          <t>05:15</t>
        </is>
      </c>
      <c r="Q79" t="inlineStr">
        <is>
          <t>Thu</t>
        </is>
      </c>
      <c r="R79" t="inlineStr">
        <is>
          <t>05:00</t>
        </is>
      </c>
      <c r="S79" t="n">
        <v>0.25</v>
      </c>
    </row>
    <row r="80">
      <c r="A80" t="n">
        <v>19</v>
      </c>
      <c r="B80" t="inlineStr">
        <is>
          <t>Ahmed Hafez</t>
        </is>
      </c>
      <c r="C80" t="inlineStr">
        <is>
          <t>Thu</t>
        </is>
      </c>
      <c r="D80" t="inlineStr">
        <is>
          <t>22:00 - 07:00</t>
        </is>
      </c>
      <c r="E80" t="inlineStr">
        <is>
          <t>Short 1</t>
        </is>
      </c>
      <c r="F80" t="inlineStr">
        <is>
          <t>00:15</t>
        </is>
      </c>
      <c r="G80" t="inlineStr">
        <is>
          <t>Fri</t>
        </is>
      </c>
      <c r="H80" t="inlineStr">
        <is>
          <t>00:00</t>
        </is>
      </c>
      <c r="I80" t="n">
        <v>0.25</v>
      </c>
      <c r="J80" t="inlineStr">
        <is>
          <t>Lunch</t>
        </is>
      </c>
      <c r="K80" t="inlineStr">
        <is>
          <t>03:00</t>
        </is>
      </c>
      <c r="L80" t="inlineStr">
        <is>
          <t>Fri</t>
        </is>
      </c>
      <c r="M80" t="inlineStr">
        <is>
          <t>03:00</t>
        </is>
      </c>
      <c r="N80" t="n">
        <v>0.5</v>
      </c>
      <c r="O80" t="inlineStr">
        <is>
          <t>Short 2</t>
        </is>
      </c>
      <c r="P80" t="inlineStr">
        <is>
          <t>05:15</t>
        </is>
      </c>
      <c r="Q80" t="inlineStr">
        <is>
          <t>Fri</t>
        </is>
      </c>
      <c r="R80" t="inlineStr">
        <is>
          <t>05:00</t>
        </is>
      </c>
      <c r="S80" t="n">
        <v>0.25</v>
      </c>
    </row>
    <row r="81">
      <c r="A81" t="n">
        <v>19</v>
      </c>
      <c r="B81" t="inlineStr">
        <is>
          <t>Ahmed Hafez</t>
        </is>
      </c>
      <c r="C81" t="inlineStr">
        <is>
          <t>Fri</t>
        </is>
      </c>
      <c r="D81" t="inlineStr">
        <is>
          <t>22:00 - 07:00</t>
        </is>
      </c>
      <c r="E81" t="inlineStr">
        <is>
          <t>Short 1</t>
        </is>
      </c>
      <c r="F81" t="inlineStr">
        <is>
          <t>00:15</t>
        </is>
      </c>
      <c r="G81" t="inlineStr">
        <is>
          <t>Sat</t>
        </is>
      </c>
      <c r="H81" t="inlineStr">
        <is>
          <t>00:00</t>
        </is>
      </c>
      <c r="I81" t="n">
        <v>0.25</v>
      </c>
      <c r="J81" t="inlineStr">
        <is>
          <t>Lunch</t>
        </is>
      </c>
      <c r="K81" t="inlineStr">
        <is>
          <t>03:00</t>
        </is>
      </c>
      <c r="L81" t="inlineStr">
        <is>
          <t>Sat</t>
        </is>
      </c>
      <c r="M81" t="inlineStr">
        <is>
          <t>03:00</t>
        </is>
      </c>
      <c r="N81" t="n">
        <v>0.5</v>
      </c>
      <c r="O81" t="inlineStr">
        <is>
          <t>Short 2</t>
        </is>
      </c>
      <c r="P81" t="inlineStr">
        <is>
          <t>05:15</t>
        </is>
      </c>
      <c r="Q81" t="inlineStr">
        <is>
          <t>Sat</t>
        </is>
      </c>
      <c r="R81" t="inlineStr">
        <is>
          <t>05:00</t>
        </is>
      </c>
      <c r="S81" t="n">
        <v>0.25</v>
      </c>
    </row>
    <row r="82">
      <c r="A82" t="n">
        <v>19</v>
      </c>
      <c r="B82" t="inlineStr">
        <is>
          <t>Ahmed Hafez</t>
        </is>
      </c>
      <c r="C82" t="inlineStr">
        <is>
          <t>Sat</t>
        </is>
      </c>
      <c r="D82" t="inlineStr">
        <is>
          <t>22:00 - 07:00</t>
        </is>
      </c>
    </row>
    <row r="83">
      <c r="A83" t="n">
        <v>20</v>
      </c>
      <c r="B83" t="inlineStr">
        <is>
          <t>Hussein Thair</t>
        </is>
      </c>
      <c r="C83" t="inlineStr">
        <is>
          <t>Mon</t>
        </is>
      </c>
      <c r="D83" t="inlineStr">
        <is>
          <t>13:00 - 22:00</t>
        </is>
      </c>
      <c r="E83" t="inlineStr">
        <is>
          <t>Short 1</t>
        </is>
      </c>
      <c r="F83" t="inlineStr">
        <is>
          <t>15:15</t>
        </is>
      </c>
      <c r="G83" t="inlineStr">
        <is>
          <t>Mon</t>
        </is>
      </c>
      <c r="H83" t="inlineStr">
        <is>
          <t>15:00</t>
        </is>
      </c>
      <c r="I83" t="n">
        <v>0.25</v>
      </c>
      <c r="J83" t="inlineStr">
        <is>
          <t>Lunch</t>
        </is>
      </c>
      <c r="K83" t="inlineStr">
        <is>
          <t>18:00</t>
        </is>
      </c>
      <c r="L83" t="inlineStr">
        <is>
          <t>Mon</t>
        </is>
      </c>
      <c r="M83" t="inlineStr">
        <is>
          <t>18:00</t>
        </is>
      </c>
      <c r="N83" t="n">
        <v>0.5</v>
      </c>
      <c r="O83" t="inlineStr">
        <is>
          <t>Short 2</t>
        </is>
      </c>
      <c r="P83" t="inlineStr">
        <is>
          <t>20:15</t>
        </is>
      </c>
      <c r="Q83" t="inlineStr">
        <is>
          <t>Mon</t>
        </is>
      </c>
      <c r="R83" t="inlineStr">
        <is>
          <t>20:00</t>
        </is>
      </c>
      <c r="S83" t="n">
        <v>0.25</v>
      </c>
    </row>
    <row r="84">
      <c r="A84" t="n">
        <v>20</v>
      </c>
      <c r="B84" t="inlineStr">
        <is>
          <t>Hussein Thair</t>
        </is>
      </c>
      <c r="C84" t="inlineStr">
        <is>
          <t>Tue</t>
        </is>
      </c>
      <c r="D84" t="inlineStr">
        <is>
          <t>13:00 - 22:00</t>
        </is>
      </c>
      <c r="E84" t="inlineStr">
        <is>
          <t>Short 1</t>
        </is>
      </c>
      <c r="F84" t="inlineStr">
        <is>
          <t>15:15</t>
        </is>
      </c>
      <c r="G84" t="inlineStr">
        <is>
          <t>Tue</t>
        </is>
      </c>
      <c r="H84" t="inlineStr">
        <is>
          <t>15:00</t>
        </is>
      </c>
      <c r="I84" t="n">
        <v>0.25</v>
      </c>
      <c r="J84" t="inlineStr">
        <is>
          <t>Lunch</t>
        </is>
      </c>
      <c r="K84" t="inlineStr">
        <is>
          <t>18:00</t>
        </is>
      </c>
      <c r="L84" t="inlineStr">
        <is>
          <t>Tue</t>
        </is>
      </c>
      <c r="M84" t="inlineStr">
        <is>
          <t>18:00</t>
        </is>
      </c>
      <c r="N84" t="n">
        <v>0.5</v>
      </c>
      <c r="O84" t="inlineStr">
        <is>
          <t>Short 2</t>
        </is>
      </c>
      <c r="P84" t="inlineStr">
        <is>
          <t>20:15</t>
        </is>
      </c>
      <c r="Q84" t="inlineStr">
        <is>
          <t>Tue</t>
        </is>
      </c>
      <c r="R84" t="inlineStr">
        <is>
          <t>20:00</t>
        </is>
      </c>
      <c r="S84" t="n">
        <v>0.25</v>
      </c>
    </row>
    <row r="85">
      <c r="A85" t="n">
        <v>20</v>
      </c>
      <c r="B85" t="inlineStr">
        <is>
          <t>Hussein Thair</t>
        </is>
      </c>
      <c r="C85" t="inlineStr">
        <is>
          <t>Wed</t>
        </is>
      </c>
      <c r="D85" t="inlineStr">
        <is>
          <t>13:00 - 22:00</t>
        </is>
      </c>
      <c r="E85" t="inlineStr">
        <is>
          <t>Short 1</t>
        </is>
      </c>
      <c r="F85" t="inlineStr">
        <is>
          <t>15:15</t>
        </is>
      </c>
      <c r="G85" t="inlineStr">
        <is>
          <t>Wed</t>
        </is>
      </c>
      <c r="H85" t="inlineStr">
        <is>
          <t>15:00</t>
        </is>
      </c>
      <c r="I85" t="n">
        <v>0.25</v>
      </c>
      <c r="J85" t="inlineStr">
        <is>
          <t>Lunch</t>
        </is>
      </c>
      <c r="K85" t="inlineStr">
        <is>
          <t>18:00</t>
        </is>
      </c>
      <c r="L85" t="inlineStr">
        <is>
          <t>Wed</t>
        </is>
      </c>
      <c r="M85" t="inlineStr">
        <is>
          <t>18:00</t>
        </is>
      </c>
      <c r="N85" t="n">
        <v>0.5</v>
      </c>
      <c r="O85" t="inlineStr">
        <is>
          <t>Short 2</t>
        </is>
      </c>
      <c r="P85" t="inlineStr">
        <is>
          <t>20:15</t>
        </is>
      </c>
      <c r="Q85" t="inlineStr">
        <is>
          <t>Wed</t>
        </is>
      </c>
      <c r="R85" t="inlineStr">
        <is>
          <t>20:00</t>
        </is>
      </c>
      <c r="S85" t="n">
        <v>0.25</v>
      </c>
    </row>
    <row r="86">
      <c r="A86" t="n">
        <v>20</v>
      </c>
      <c r="B86" t="inlineStr">
        <is>
          <t>Hussein Thair</t>
        </is>
      </c>
      <c r="C86" t="inlineStr">
        <is>
          <t>Thu</t>
        </is>
      </c>
      <c r="D86" t="inlineStr">
        <is>
          <t>13:00 - 22:00</t>
        </is>
      </c>
      <c r="E86" t="inlineStr">
        <is>
          <t>Short 1</t>
        </is>
      </c>
      <c r="F86" t="inlineStr">
        <is>
          <t>15:15</t>
        </is>
      </c>
      <c r="G86" t="inlineStr">
        <is>
          <t>Thu</t>
        </is>
      </c>
      <c r="H86" t="inlineStr">
        <is>
          <t>15:00</t>
        </is>
      </c>
      <c r="I86" t="n">
        <v>0.25</v>
      </c>
      <c r="J86" t="inlineStr">
        <is>
          <t>Lunch</t>
        </is>
      </c>
      <c r="K86" t="inlineStr">
        <is>
          <t>18:00</t>
        </is>
      </c>
      <c r="L86" t="inlineStr">
        <is>
          <t>Thu</t>
        </is>
      </c>
      <c r="M86" t="inlineStr">
        <is>
          <t>18:00</t>
        </is>
      </c>
      <c r="N86" t="n">
        <v>0.5</v>
      </c>
      <c r="O86" t="inlineStr">
        <is>
          <t>Short 2</t>
        </is>
      </c>
      <c r="P86" t="inlineStr">
        <is>
          <t>20:15</t>
        </is>
      </c>
      <c r="Q86" t="inlineStr">
        <is>
          <t>Thu</t>
        </is>
      </c>
      <c r="R86" t="inlineStr">
        <is>
          <t>20:00</t>
        </is>
      </c>
      <c r="S86" t="n">
        <v>0.25</v>
      </c>
    </row>
    <row r="87">
      <c r="A87" t="n">
        <v>20</v>
      </c>
      <c r="B87" t="inlineStr">
        <is>
          <t>Hussein Thair</t>
        </is>
      </c>
      <c r="C87" t="inlineStr">
        <is>
          <t>Fri</t>
        </is>
      </c>
      <c r="D87" t="inlineStr">
        <is>
          <t>13:00 - 22:00</t>
        </is>
      </c>
      <c r="E87" t="inlineStr">
        <is>
          <t>Short 1</t>
        </is>
      </c>
      <c r="F87" t="inlineStr">
        <is>
          <t>15:15</t>
        </is>
      </c>
      <c r="G87" t="inlineStr">
        <is>
          <t>Fri</t>
        </is>
      </c>
      <c r="H87" t="inlineStr">
        <is>
          <t>15:00</t>
        </is>
      </c>
      <c r="I87" t="n">
        <v>0.25</v>
      </c>
      <c r="J87" t="inlineStr">
        <is>
          <t>Lunch</t>
        </is>
      </c>
      <c r="K87" t="inlineStr">
        <is>
          <t>18:00</t>
        </is>
      </c>
      <c r="L87" t="inlineStr">
        <is>
          <t>Fri</t>
        </is>
      </c>
      <c r="M87" t="inlineStr">
        <is>
          <t>18:00</t>
        </is>
      </c>
      <c r="N87" t="n">
        <v>0.5</v>
      </c>
      <c r="O87" t="inlineStr">
        <is>
          <t>Short 2</t>
        </is>
      </c>
      <c r="P87" t="inlineStr">
        <is>
          <t>20:15</t>
        </is>
      </c>
      <c r="Q87" t="inlineStr">
        <is>
          <t>Fri</t>
        </is>
      </c>
      <c r="R87" t="inlineStr">
        <is>
          <t>20:00</t>
        </is>
      </c>
      <c r="S87" t="n">
        <v>0.25</v>
      </c>
    </row>
    <row r="88">
      <c r="A88" t="n">
        <v>21</v>
      </c>
      <c r="B88" t="inlineStr">
        <is>
          <t>Nara Sakr</t>
        </is>
      </c>
      <c r="C88" t="inlineStr">
        <is>
          <t>Mon</t>
        </is>
      </c>
      <c r="D88" t="inlineStr">
        <is>
          <t>22:00 - 07:00</t>
        </is>
      </c>
      <c r="E88" t="inlineStr">
        <is>
          <t>Short 1</t>
        </is>
      </c>
      <c r="F88" t="inlineStr">
        <is>
          <t>00:15</t>
        </is>
      </c>
      <c r="G88" t="inlineStr">
        <is>
          <t>Tue</t>
        </is>
      </c>
      <c r="H88" t="inlineStr">
        <is>
          <t>00:00</t>
        </is>
      </c>
      <c r="I88" t="n">
        <v>0.25</v>
      </c>
      <c r="J88" t="inlineStr">
        <is>
          <t>Lunch</t>
        </is>
      </c>
      <c r="K88" t="inlineStr">
        <is>
          <t>03:00</t>
        </is>
      </c>
      <c r="L88" t="inlineStr">
        <is>
          <t>Tue</t>
        </is>
      </c>
      <c r="M88" t="inlineStr">
        <is>
          <t>03:00</t>
        </is>
      </c>
      <c r="N88" t="n">
        <v>0.5</v>
      </c>
      <c r="O88" t="inlineStr">
        <is>
          <t>Short 2</t>
        </is>
      </c>
      <c r="P88" t="inlineStr">
        <is>
          <t>05:15</t>
        </is>
      </c>
      <c r="Q88" t="inlineStr">
        <is>
          <t>Tue</t>
        </is>
      </c>
      <c r="R88" t="inlineStr">
        <is>
          <t>05:00</t>
        </is>
      </c>
      <c r="S88" t="n">
        <v>0.25</v>
      </c>
    </row>
    <row r="89">
      <c r="A89" t="n">
        <v>21</v>
      </c>
      <c r="B89" t="inlineStr">
        <is>
          <t>Nara Sakr</t>
        </is>
      </c>
      <c r="C89" t="inlineStr">
        <is>
          <t>Tue</t>
        </is>
      </c>
      <c r="D89" t="inlineStr">
        <is>
          <t>22:00 - 07:00</t>
        </is>
      </c>
      <c r="E89" t="inlineStr">
        <is>
          <t>Short 1</t>
        </is>
      </c>
      <c r="F89" t="inlineStr">
        <is>
          <t>00:15</t>
        </is>
      </c>
      <c r="G89" t="inlineStr">
        <is>
          <t>Wed</t>
        </is>
      </c>
      <c r="H89" t="inlineStr">
        <is>
          <t>00:00</t>
        </is>
      </c>
      <c r="I89" t="n">
        <v>0.25</v>
      </c>
      <c r="J89" t="inlineStr">
        <is>
          <t>Lunch</t>
        </is>
      </c>
      <c r="K89" t="inlineStr">
        <is>
          <t>03:00</t>
        </is>
      </c>
      <c r="L89" t="inlineStr">
        <is>
          <t>Wed</t>
        </is>
      </c>
      <c r="M89" t="inlineStr">
        <is>
          <t>03:00</t>
        </is>
      </c>
      <c r="N89" t="n">
        <v>0.5</v>
      </c>
      <c r="O89" t="inlineStr">
        <is>
          <t>Short 2</t>
        </is>
      </c>
      <c r="P89" t="inlineStr">
        <is>
          <t>05:15</t>
        </is>
      </c>
      <c r="Q89" t="inlineStr">
        <is>
          <t>Wed</t>
        </is>
      </c>
      <c r="R89" t="inlineStr">
        <is>
          <t>05:00</t>
        </is>
      </c>
      <c r="S89" t="n">
        <v>0.25</v>
      </c>
    </row>
    <row r="90">
      <c r="A90" t="n">
        <v>21</v>
      </c>
      <c r="B90" t="inlineStr">
        <is>
          <t>Nara Sakr</t>
        </is>
      </c>
      <c r="C90" t="inlineStr">
        <is>
          <t>Wed</t>
        </is>
      </c>
      <c r="D90" t="inlineStr">
        <is>
          <t>22:00 - 07:00</t>
        </is>
      </c>
      <c r="E90" t="inlineStr">
        <is>
          <t>Short 1</t>
        </is>
      </c>
      <c r="F90" t="inlineStr">
        <is>
          <t>00:15</t>
        </is>
      </c>
      <c r="G90" t="inlineStr">
        <is>
          <t>Thu</t>
        </is>
      </c>
      <c r="H90" t="inlineStr">
        <is>
          <t>00:00</t>
        </is>
      </c>
      <c r="I90" t="n">
        <v>0.25</v>
      </c>
      <c r="J90" t="inlineStr">
        <is>
          <t>Lunch</t>
        </is>
      </c>
      <c r="K90" t="inlineStr">
        <is>
          <t>03:00</t>
        </is>
      </c>
      <c r="L90" t="inlineStr">
        <is>
          <t>Thu</t>
        </is>
      </c>
      <c r="M90" t="inlineStr">
        <is>
          <t>03:00</t>
        </is>
      </c>
      <c r="N90" t="n">
        <v>0.5</v>
      </c>
      <c r="O90" t="inlineStr">
        <is>
          <t>Short 2</t>
        </is>
      </c>
      <c r="P90" t="inlineStr">
        <is>
          <t>05:15</t>
        </is>
      </c>
      <c r="Q90" t="inlineStr">
        <is>
          <t>Thu</t>
        </is>
      </c>
      <c r="R90" t="inlineStr">
        <is>
          <t>05:00</t>
        </is>
      </c>
      <c r="S90" t="n">
        <v>0.25</v>
      </c>
    </row>
    <row r="91">
      <c r="A91" t="n">
        <v>21</v>
      </c>
      <c r="B91" t="inlineStr">
        <is>
          <t>Nara Sakr</t>
        </is>
      </c>
      <c r="C91" t="inlineStr">
        <is>
          <t>Thu</t>
        </is>
      </c>
      <c r="D91" t="inlineStr">
        <is>
          <t>22:00 - 07:00</t>
        </is>
      </c>
      <c r="E91" t="inlineStr">
        <is>
          <t>Short 1</t>
        </is>
      </c>
      <c r="F91" t="inlineStr">
        <is>
          <t>00:15</t>
        </is>
      </c>
      <c r="G91" t="inlineStr">
        <is>
          <t>Fri</t>
        </is>
      </c>
      <c r="H91" t="inlineStr">
        <is>
          <t>00:00</t>
        </is>
      </c>
      <c r="I91" t="n">
        <v>0.25</v>
      </c>
      <c r="J91" t="inlineStr">
        <is>
          <t>Lunch</t>
        </is>
      </c>
      <c r="K91" t="inlineStr">
        <is>
          <t>03:00</t>
        </is>
      </c>
      <c r="L91" t="inlineStr">
        <is>
          <t>Fri</t>
        </is>
      </c>
      <c r="M91" t="inlineStr">
        <is>
          <t>03:00</t>
        </is>
      </c>
      <c r="N91" t="n">
        <v>0.5</v>
      </c>
      <c r="O91" t="inlineStr">
        <is>
          <t>Short 2</t>
        </is>
      </c>
      <c r="P91" t="inlineStr">
        <is>
          <t>05:15</t>
        </is>
      </c>
      <c r="Q91" t="inlineStr">
        <is>
          <t>Fri</t>
        </is>
      </c>
      <c r="R91" t="inlineStr">
        <is>
          <t>05:00</t>
        </is>
      </c>
      <c r="S91" t="n">
        <v>0.25</v>
      </c>
    </row>
    <row r="92">
      <c r="A92" t="n">
        <v>21</v>
      </c>
      <c r="B92" t="inlineStr">
        <is>
          <t>Nara Sakr</t>
        </is>
      </c>
      <c r="C92" t="inlineStr">
        <is>
          <t>Fri</t>
        </is>
      </c>
      <c r="D92" t="inlineStr">
        <is>
          <t>22:00 - 07:00</t>
        </is>
      </c>
      <c r="E92" t="inlineStr">
        <is>
          <t>Short 1</t>
        </is>
      </c>
      <c r="F92" t="inlineStr">
        <is>
          <t>00:15</t>
        </is>
      </c>
      <c r="G92" t="inlineStr">
        <is>
          <t>Sat</t>
        </is>
      </c>
      <c r="H92" t="inlineStr">
        <is>
          <t>00:00</t>
        </is>
      </c>
      <c r="I92" t="n">
        <v>0.25</v>
      </c>
      <c r="J92" t="inlineStr">
        <is>
          <t>Lunch</t>
        </is>
      </c>
      <c r="K92" t="inlineStr">
        <is>
          <t>03:00</t>
        </is>
      </c>
      <c r="L92" t="inlineStr">
        <is>
          <t>Sat</t>
        </is>
      </c>
      <c r="M92" t="inlineStr">
        <is>
          <t>03:00</t>
        </is>
      </c>
      <c r="N92" t="n">
        <v>0.5</v>
      </c>
      <c r="O92" t="inlineStr">
        <is>
          <t>Short 2</t>
        </is>
      </c>
      <c r="P92" t="inlineStr">
        <is>
          <t>05:15</t>
        </is>
      </c>
      <c r="Q92" t="inlineStr">
        <is>
          <t>Sat</t>
        </is>
      </c>
      <c r="R92" t="inlineStr">
        <is>
          <t>05:00</t>
        </is>
      </c>
      <c r="S92" t="n">
        <v>0.25</v>
      </c>
    </row>
    <row r="93">
      <c r="A93" t="n">
        <v>22</v>
      </c>
      <c r="B93" t="inlineStr">
        <is>
          <t>Amir Abd El Rahman</t>
        </is>
      </c>
      <c r="C93" t="inlineStr">
        <is>
          <t>Mon</t>
        </is>
      </c>
      <c r="D93" t="inlineStr">
        <is>
          <t>22:00 - 07:00</t>
        </is>
      </c>
      <c r="E93" t="inlineStr">
        <is>
          <t>Short 1</t>
        </is>
      </c>
      <c r="F93" t="inlineStr">
        <is>
          <t>00:15</t>
        </is>
      </c>
      <c r="G93" t="inlineStr">
        <is>
          <t>Tue</t>
        </is>
      </c>
      <c r="H93" t="inlineStr">
        <is>
          <t>00:00</t>
        </is>
      </c>
      <c r="I93" t="n">
        <v>0.25</v>
      </c>
      <c r="J93" t="inlineStr">
        <is>
          <t>Lunch</t>
        </is>
      </c>
      <c r="K93" t="inlineStr">
        <is>
          <t>03:00</t>
        </is>
      </c>
      <c r="L93" t="inlineStr">
        <is>
          <t>Tue</t>
        </is>
      </c>
      <c r="M93" t="inlineStr">
        <is>
          <t>03:00</t>
        </is>
      </c>
      <c r="N93" t="n">
        <v>0.5</v>
      </c>
      <c r="O93" t="inlineStr">
        <is>
          <t>Short 2</t>
        </is>
      </c>
      <c r="P93" t="inlineStr">
        <is>
          <t>05:15</t>
        </is>
      </c>
      <c r="Q93" t="inlineStr">
        <is>
          <t>Tue</t>
        </is>
      </c>
      <c r="R93" t="inlineStr">
        <is>
          <t>05:00</t>
        </is>
      </c>
      <c r="S93" t="n">
        <v>0.25</v>
      </c>
    </row>
    <row r="94">
      <c r="A94" t="n">
        <v>22</v>
      </c>
      <c r="B94" t="inlineStr">
        <is>
          <t>Amir Abd El Rahman</t>
        </is>
      </c>
      <c r="C94" t="inlineStr">
        <is>
          <t>Tue</t>
        </is>
      </c>
      <c r="D94" t="inlineStr">
        <is>
          <t>22:00 - 07:00</t>
        </is>
      </c>
      <c r="E94" t="inlineStr">
        <is>
          <t>Short 1</t>
        </is>
      </c>
      <c r="F94" t="inlineStr">
        <is>
          <t>00:15</t>
        </is>
      </c>
      <c r="G94" t="inlineStr">
        <is>
          <t>Wed</t>
        </is>
      </c>
      <c r="H94" t="inlineStr">
        <is>
          <t>00:00</t>
        </is>
      </c>
      <c r="I94" t="n">
        <v>0.25</v>
      </c>
      <c r="J94" t="inlineStr">
        <is>
          <t>Lunch</t>
        </is>
      </c>
      <c r="K94" t="inlineStr">
        <is>
          <t>03:00</t>
        </is>
      </c>
      <c r="L94" t="inlineStr">
        <is>
          <t>Wed</t>
        </is>
      </c>
      <c r="M94" t="inlineStr">
        <is>
          <t>03:00</t>
        </is>
      </c>
      <c r="N94" t="n">
        <v>0.5</v>
      </c>
      <c r="O94" t="inlineStr">
        <is>
          <t>Short 2</t>
        </is>
      </c>
      <c r="P94" t="inlineStr">
        <is>
          <t>05:15</t>
        </is>
      </c>
      <c r="Q94" t="inlineStr">
        <is>
          <t>Wed</t>
        </is>
      </c>
      <c r="R94" t="inlineStr">
        <is>
          <t>05:00</t>
        </is>
      </c>
      <c r="S94" t="n">
        <v>0.25</v>
      </c>
    </row>
    <row r="95">
      <c r="A95" t="n">
        <v>22</v>
      </c>
      <c r="B95" t="inlineStr">
        <is>
          <t>Amir Abd El Rahman</t>
        </is>
      </c>
      <c r="C95" t="inlineStr">
        <is>
          <t>Wed</t>
        </is>
      </c>
      <c r="D95" t="inlineStr">
        <is>
          <t>22:00 - 07:00</t>
        </is>
      </c>
      <c r="E95" t="inlineStr">
        <is>
          <t>Short 1</t>
        </is>
      </c>
      <c r="F95" t="inlineStr">
        <is>
          <t>00:15</t>
        </is>
      </c>
      <c r="G95" t="inlineStr">
        <is>
          <t>Thu</t>
        </is>
      </c>
      <c r="H95" t="inlineStr">
        <is>
          <t>00:00</t>
        </is>
      </c>
      <c r="I95" t="n">
        <v>0.25</v>
      </c>
      <c r="J95" t="inlineStr">
        <is>
          <t>Lunch</t>
        </is>
      </c>
      <c r="K95" t="inlineStr">
        <is>
          <t>03:00</t>
        </is>
      </c>
      <c r="L95" t="inlineStr">
        <is>
          <t>Thu</t>
        </is>
      </c>
      <c r="M95" t="inlineStr">
        <is>
          <t>03:00</t>
        </is>
      </c>
      <c r="N95" t="n">
        <v>0.5</v>
      </c>
      <c r="O95" t="inlineStr">
        <is>
          <t>Short 2</t>
        </is>
      </c>
      <c r="P95" t="inlineStr">
        <is>
          <t>05:15</t>
        </is>
      </c>
      <c r="Q95" t="inlineStr">
        <is>
          <t>Thu</t>
        </is>
      </c>
      <c r="R95" t="inlineStr">
        <is>
          <t>05:00</t>
        </is>
      </c>
      <c r="S95" t="n">
        <v>0.25</v>
      </c>
    </row>
    <row r="96">
      <c r="A96" t="n">
        <v>22</v>
      </c>
      <c r="B96" t="inlineStr">
        <is>
          <t>Amir Abd El Rahman</t>
        </is>
      </c>
      <c r="C96" t="inlineStr">
        <is>
          <t>Thu</t>
        </is>
      </c>
      <c r="D96" t="inlineStr">
        <is>
          <t>22:00 - 07:00</t>
        </is>
      </c>
      <c r="E96" t="inlineStr">
        <is>
          <t>Short 1</t>
        </is>
      </c>
      <c r="F96" t="inlineStr">
        <is>
          <t>00:15</t>
        </is>
      </c>
      <c r="G96" t="inlineStr">
        <is>
          <t>Fri</t>
        </is>
      </c>
      <c r="H96" t="inlineStr">
        <is>
          <t>00:00</t>
        </is>
      </c>
      <c r="I96" t="n">
        <v>0.25</v>
      </c>
      <c r="J96" t="inlineStr">
        <is>
          <t>Lunch</t>
        </is>
      </c>
      <c r="K96" t="inlineStr">
        <is>
          <t>03:00</t>
        </is>
      </c>
      <c r="L96" t="inlineStr">
        <is>
          <t>Fri</t>
        </is>
      </c>
      <c r="M96" t="inlineStr">
        <is>
          <t>03:00</t>
        </is>
      </c>
      <c r="N96" t="n">
        <v>0.5</v>
      </c>
      <c r="O96" t="inlineStr">
        <is>
          <t>Short 2</t>
        </is>
      </c>
      <c r="P96" t="inlineStr">
        <is>
          <t>05:15</t>
        </is>
      </c>
      <c r="Q96" t="inlineStr">
        <is>
          <t>Fri</t>
        </is>
      </c>
      <c r="R96" t="inlineStr">
        <is>
          <t>05:00</t>
        </is>
      </c>
      <c r="S96" t="n">
        <v>0.25</v>
      </c>
    </row>
    <row r="97">
      <c r="A97" t="n">
        <v>22</v>
      </c>
      <c r="B97" t="inlineStr">
        <is>
          <t>Amir Abd El Rahman</t>
        </is>
      </c>
      <c r="C97" t="inlineStr">
        <is>
          <t>Fri</t>
        </is>
      </c>
      <c r="D97" t="inlineStr">
        <is>
          <t>22:00 - 07:00</t>
        </is>
      </c>
      <c r="E97" t="inlineStr">
        <is>
          <t>Short 1</t>
        </is>
      </c>
      <c r="F97" t="inlineStr">
        <is>
          <t>00:15</t>
        </is>
      </c>
      <c r="G97" t="inlineStr">
        <is>
          <t>Sat</t>
        </is>
      </c>
      <c r="H97" t="inlineStr">
        <is>
          <t>00:00</t>
        </is>
      </c>
      <c r="I97" t="n">
        <v>0.25</v>
      </c>
      <c r="J97" t="inlineStr">
        <is>
          <t>Lunch</t>
        </is>
      </c>
      <c r="K97" t="inlineStr">
        <is>
          <t>03:00</t>
        </is>
      </c>
      <c r="L97" t="inlineStr">
        <is>
          <t>Sat</t>
        </is>
      </c>
      <c r="M97" t="inlineStr">
        <is>
          <t>03:00</t>
        </is>
      </c>
      <c r="N97" t="n">
        <v>0.5</v>
      </c>
      <c r="O97" t="inlineStr">
        <is>
          <t>Short 2</t>
        </is>
      </c>
      <c r="P97" t="inlineStr">
        <is>
          <t>05:15</t>
        </is>
      </c>
      <c r="Q97" t="inlineStr">
        <is>
          <t>Sat</t>
        </is>
      </c>
      <c r="R97" t="inlineStr">
        <is>
          <t>05:00</t>
        </is>
      </c>
      <c r="S97" t="n">
        <v>0.25</v>
      </c>
    </row>
    <row r="98">
      <c r="A98" t="n">
        <v>23</v>
      </c>
      <c r="B98" t="inlineStr">
        <is>
          <t>Lucas Ali</t>
        </is>
      </c>
      <c r="C98" t="inlineStr">
        <is>
          <t>Mon</t>
        </is>
      </c>
      <c r="D98" t="inlineStr">
        <is>
          <t>22:00 - 07:00</t>
        </is>
      </c>
      <c r="E98" t="inlineStr">
        <is>
          <t>Short 1</t>
        </is>
      </c>
      <c r="F98" t="inlineStr">
        <is>
          <t>00:15</t>
        </is>
      </c>
      <c r="G98" t="inlineStr">
        <is>
          <t>Tue</t>
        </is>
      </c>
      <c r="H98" t="inlineStr">
        <is>
          <t>00:00</t>
        </is>
      </c>
      <c r="I98" t="n">
        <v>0.25</v>
      </c>
      <c r="J98" t="inlineStr">
        <is>
          <t>Lunch</t>
        </is>
      </c>
      <c r="K98" t="inlineStr">
        <is>
          <t>03:00</t>
        </is>
      </c>
      <c r="L98" t="inlineStr">
        <is>
          <t>Tue</t>
        </is>
      </c>
      <c r="M98" t="inlineStr">
        <is>
          <t>03:00</t>
        </is>
      </c>
      <c r="N98" t="n">
        <v>0.5</v>
      </c>
      <c r="O98" t="inlineStr">
        <is>
          <t>Short 2</t>
        </is>
      </c>
      <c r="P98" t="inlineStr">
        <is>
          <t>05:15</t>
        </is>
      </c>
      <c r="Q98" t="inlineStr">
        <is>
          <t>Tue</t>
        </is>
      </c>
      <c r="R98" t="inlineStr">
        <is>
          <t>05:00</t>
        </is>
      </c>
      <c r="S98" t="n">
        <v>0.25</v>
      </c>
    </row>
    <row r="99">
      <c r="A99" t="n">
        <v>23</v>
      </c>
      <c r="B99" t="inlineStr">
        <is>
          <t>Lucas Ali</t>
        </is>
      </c>
      <c r="C99" t="inlineStr">
        <is>
          <t>Tue</t>
        </is>
      </c>
      <c r="D99" t="inlineStr">
        <is>
          <t>22:00 - 07:00</t>
        </is>
      </c>
      <c r="E99" t="inlineStr">
        <is>
          <t>Short 1</t>
        </is>
      </c>
      <c r="F99" t="inlineStr">
        <is>
          <t>00:15</t>
        </is>
      </c>
      <c r="G99" t="inlineStr">
        <is>
          <t>Wed</t>
        </is>
      </c>
      <c r="H99" t="inlineStr">
        <is>
          <t>00:00</t>
        </is>
      </c>
      <c r="I99" t="n">
        <v>0.25</v>
      </c>
      <c r="J99" t="inlineStr">
        <is>
          <t>Lunch</t>
        </is>
      </c>
      <c r="K99" t="inlineStr">
        <is>
          <t>03:00</t>
        </is>
      </c>
      <c r="L99" t="inlineStr">
        <is>
          <t>Wed</t>
        </is>
      </c>
      <c r="M99" t="inlineStr">
        <is>
          <t>03:00</t>
        </is>
      </c>
      <c r="N99" t="n">
        <v>0.5</v>
      </c>
      <c r="O99" t="inlineStr">
        <is>
          <t>Short 2</t>
        </is>
      </c>
      <c r="P99" t="inlineStr">
        <is>
          <t>05:15</t>
        </is>
      </c>
      <c r="Q99" t="inlineStr">
        <is>
          <t>Wed</t>
        </is>
      </c>
      <c r="R99" t="inlineStr">
        <is>
          <t>05:00</t>
        </is>
      </c>
      <c r="S99" t="n">
        <v>0.25</v>
      </c>
    </row>
    <row r="100">
      <c r="A100" t="n">
        <v>23</v>
      </c>
      <c r="B100" t="inlineStr">
        <is>
          <t>Lucas Ali</t>
        </is>
      </c>
      <c r="C100" t="inlineStr">
        <is>
          <t>Wed</t>
        </is>
      </c>
      <c r="D100" t="inlineStr">
        <is>
          <t>22:00 - 07:00</t>
        </is>
      </c>
      <c r="E100" t="inlineStr">
        <is>
          <t>Short 1</t>
        </is>
      </c>
      <c r="F100" t="inlineStr">
        <is>
          <t>00:15</t>
        </is>
      </c>
      <c r="G100" t="inlineStr">
        <is>
          <t>Thu</t>
        </is>
      </c>
      <c r="H100" t="inlineStr">
        <is>
          <t>00:00</t>
        </is>
      </c>
      <c r="I100" t="n">
        <v>0.25</v>
      </c>
      <c r="J100" t="inlineStr">
        <is>
          <t>Lunch</t>
        </is>
      </c>
      <c r="K100" t="inlineStr">
        <is>
          <t>03:00</t>
        </is>
      </c>
      <c r="L100" t="inlineStr">
        <is>
          <t>Thu</t>
        </is>
      </c>
      <c r="M100" t="inlineStr">
        <is>
          <t>03:00</t>
        </is>
      </c>
      <c r="N100" t="n">
        <v>0.5</v>
      </c>
      <c r="O100" t="inlineStr">
        <is>
          <t>Short 2</t>
        </is>
      </c>
      <c r="P100" t="inlineStr">
        <is>
          <t>05:15</t>
        </is>
      </c>
      <c r="Q100" t="inlineStr">
        <is>
          <t>Thu</t>
        </is>
      </c>
      <c r="R100" t="inlineStr">
        <is>
          <t>05:00</t>
        </is>
      </c>
      <c r="S100" t="n">
        <v>0.25</v>
      </c>
    </row>
    <row r="101">
      <c r="A101" t="n">
        <v>23</v>
      </c>
      <c r="B101" t="inlineStr">
        <is>
          <t>Lucas Ali</t>
        </is>
      </c>
      <c r="C101" t="inlineStr">
        <is>
          <t>Thu</t>
        </is>
      </c>
      <c r="D101" t="inlineStr">
        <is>
          <t>22:00 - 07:00</t>
        </is>
      </c>
      <c r="E101" t="inlineStr">
        <is>
          <t>Short 1</t>
        </is>
      </c>
      <c r="F101" t="inlineStr">
        <is>
          <t>00:15</t>
        </is>
      </c>
      <c r="G101" t="inlineStr">
        <is>
          <t>Fri</t>
        </is>
      </c>
      <c r="H101" t="inlineStr">
        <is>
          <t>00:00</t>
        </is>
      </c>
      <c r="I101" t="n">
        <v>0.25</v>
      </c>
      <c r="J101" t="inlineStr">
        <is>
          <t>Lunch</t>
        </is>
      </c>
      <c r="K101" t="inlineStr">
        <is>
          <t>03:00</t>
        </is>
      </c>
      <c r="L101" t="inlineStr">
        <is>
          <t>Fri</t>
        </is>
      </c>
      <c r="M101" t="inlineStr">
        <is>
          <t>03:00</t>
        </is>
      </c>
      <c r="N101" t="n">
        <v>0.5</v>
      </c>
      <c r="O101" t="inlineStr">
        <is>
          <t>Short 2</t>
        </is>
      </c>
      <c r="P101" t="inlineStr">
        <is>
          <t>05:15</t>
        </is>
      </c>
      <c r="Q101" t="inlineStr">
        <is>
          <t>Fri</t>
        </is>
      </c>
      <c r="R101" t="inlineStr">
        <is>
          <t>05:00</t>
        </is>
      </c>
      <c r="S101" t="n">
        <v>0.25</v>
      </c>
    </row>
    <row r="102">
      <c r="A102" t="n">
        <v>23</v>
      </c>
      <c r="B102" t="inlineStr">
        <is>
          <t>Lucas Ali</t>
        </is>
      </c>
      <c r="C102" t="inlineStr">
        <is>
          <t>Fri</t>
        </is>
      </c>
      <c r="D102" t="inlineStr">
        <is>
          <t>22:00 - 07:00</t>
        </is>
      </c>
      <c r="E102" t="inlineStr">
        <is>
          <t>Short 1</t>
        </is>
      </c>
      <c r="F102" t="inlineStr">
        <is>
          <t>00:15</t>
        </is>
      </c>
      <c r="G102" t="inlineStr">
        <is>
          <t>Sat</t>
        </is>
      </c>
      <c r="H102" t="inlineStr">
        <is>
          <t>00:00</t>
        </is>
      </c>
      <c r="I102" t="n">
        <v>0.25</v>
      </c>
      <c r="J102" t="inlineStr">
        <is>
          <t>Lunch</t>
        </is>
      </c>
      <c r="K102" t="inlineStr">
        <is>
          <t>03:00</t>
        </is>
      </c>
      <c r="L102" t="inlineStr">
        <is>
          <t>Sat</t>
        </is>
      </c>
      <c r="M102" t="inlineStr">
        <is>
          <t>03:00</t>
        </is>
      </c>
      <c r="N102" t="n">
        <v>0.5</v>
      </c>
      <c r="O102" t="inlineStr">
        <is>
          <t>Short 2</t>
        </is>
      </c>
      <c r="P102" t="inlineStr">
        <is>
          <t>05:15</t>
        </is>
      </c>
      <c r="Q102" t="inlineStr">
        <is>
          <t>Sat</t>
        </is>
      </c>
      <c r="R102" t="inlineStr">
        <is>
          <t>05:00</t>
        </is>
      </c>
      <c r="S102" t="n">
        <v>0.25</v>
      </c>
    </row>
    <row r="103">
      <c r="A103" t="n">
        <v>24</v>
      </c>
      <c r="B103" t="inlineStr">
        <is>
          <t>Soaad Mahmoud</t>
        </is>
      </c>
      <c r="C103" t="inlineStr">
        <is>
          <t>Sun</t>
        </is>
      </c>
      <c r="D103" t="inlineStr">
        <is>
          <t>15:00 - 00:00</t>
        </is>
      </c>
      <c r="E103" t="inlineStr">
        <is>
          <t>Short 1</t>
        </is>
      </c>
      <c r="F103" t="inlineStr">
        <is>
          <t>17:15</t>
        </is>
      </c>
      <c r="G103" t="inlineStr">
        <is>
          <t>Sun</t>
        </is>
      </c>
      <c r="H103" t="inlineStr">
        <is>
          <t>17:00</t>
        </is>
      </c>
      <c r="I103" t="n">
        <v>0.25</v>
      </c>
      <c r="J103" t="inlineStr">
        <is>
          <t>Lunch</t>
        </is>
      </c>
      <c r="K103" t="inlineStr">
        <is>
          <t>20:00</t>
        </is>
      </c>
      <c r="L103" t="inlineStr">
        <is>
          <t>Sun</t>
        </is>
      </c>
      <c r="M103" t="inlineStr">
        <is>
          <t>20:00</t>
        </is>
      </c>
      <c r="N103" t="n">
        <v>0.5</v>
      </c>
      <c r="O103" t="inlineStr">
        <is>
          <t>Short 2</t>
        </is>
      </c>
      <c r="P103" t="inlineStr">
        <is>
          <t>22:15</t>
        </is>
      </c>
      <c r="Q103" t="inlineStr">
        <is>
          <t>Sun</t>
        </is>
      </c>
      <c r="R103" t="inlineStr">
        <is>
          <t>22:00</t>
        </is>
      </c>
      <c r="S103" t="n">
        <v>0.25</v>
      </c>
    </row>
    <row r="104">
      <c r="A104" t="n">
        <v>24</v>
      </c>
      <c r="B104" t="inlineStr">
        <is>
          <t>Soaad Mahmoud</t>
        </is>
      </c>
      <c r="C104" t="inlineStr">
        <is>
          <t>Wed</t>
        </is>
      </c>
      <c r="D104" t="inlineStr">
        <is>
          <t>15:00 - 00:00</t>
        </is>
      </c>
      <c r="E104" t="inlineStr">
        <is>
          <t>Short 1</t>
        </is>
      </c>
      <c r="F104" t="inlineStr">
        <is>
          <t>17:15</t>
        </is>
      </c>
      <c r="G104" t="inlineStr">
        <is>
          <t>Wed</t>
        </is>
      </c>
      <c r="H104" t="inlineStr">
        <is>
          <t>17:00</t>
        </is>
      </c>
      <c r="I104" t="n">
        <v>0.25</v>
      </c>
      <c r="J104" t="inlineStr">
        <is>
          <t>Lunch</t>
        </is>
      </c>
      <c r="K104" t="inlineStr">
        <is>
          <t>20:00</t>
        </is>
      </c>
      <c r="L104" t="inlineStr">
        <is>
          <t>Wed</t>
        </is>
      </c>
      <c r="M104" t="inlineStr">
        <is>
          <t>20:00</t>
        </is>
      </c>
      <c r="N104" t="n">
        <v>0.5</v>
      </c>
      <c r="O104" t="inlineStr">
        <is>
          <t>Short 2</t>
        </is>
      </c>
      <c r="P104" t="inlineStr">
        <is>
          <t>22:15</t>
        </is>
      </c>
      <c r="Q104" t="inlineStr">
        <is>
          <t>Wed</t>
        </is>
      </c>
      <c r="R104" t="inlineStr">
        <is>
          <t>22:00</t>
        </is>
      </c>
      <c r="S104" t="n">
        <v>0.25</v>
      </c>
    </row>
    <row r="105">
      <c r="A105" t="n">
        <v>24</v>
      </c>
      <c r="B105" t="inlineStr">
        <is>
          <t>Soaad Mahmoud</t>
        </is>
      </c>
      <c r="C105" t="inlineStr">
        <is>
          <t>Thu</t>
        </is>
      </c>
      <c r="D105" t="inlineStr">
        <is>
          <t>15:00 - 00:00</t>
        </is>
      </c>
      <c r="E105" t="inlineStr">
        <is>
          <t>Short 1</t>
        </is>
      </c>
      <c r="F105" t="inlineStr">
        <is>
          <t>17:15</t>
        </is>
      </c>
      <c r="G105" t="inlineStr">
        <is>
          <t>Thu</t>
        </is>
      </c>
      <c r="H105" t="inlineStr">
        <is>
          <t>17:00</t>
        </is>
      </c>
      <c r="I105" t="n">
        <v>0.25</v>
      </c>
      <c r="J105" t="inlineStr">
        <is>
          <t>Lunch</t>
        </is>
      </c>
      <c r="K105" t="inlineStr">
        <is>
          <t>20:00</t>
        </is>
      </c>
      <c r="L105" t="inlineStr">
        <is>
          <t>Thu</t>
        </is>
      </c>
      <c r="M105" t="inlineStr">
        <is>
          <t>20:00</t>
        </is>
      </c>
      <c r="N105" t="n">
        <v>0.5</v>
      </c>
      <c r="O105" t="inlineStr">
        <is>
          <t>Short 2</t>
        </is>
      </c>
      <c r="P105" t="inlineStr">
        <is>
          <t>22:15</t>
        </is>
      </c>
      <c r="Q105" t="inlineStr">
        <is>
          <t>Thu</t>
        </is>
      </c>
      <c r="R105" t="inlineStr">
        <is>
          <t>22:00</t>
        </is>
      </c>
      <c r="S105" t="n">
        <v>0.25</v>
      </c>
    </row>
    <row r="106">
      <c r="A106" t="n">
        <v>24</v>
      </c>
      <c r="B106" t="inlineStr">
        <is>
          <t>Soaad Mahmoud</t>
        </is>
      </c>
      <c r="C106" t="inlineStr">
        <is>
          <t>Fri</t>
        </is>
      </c>
      <c r="D106" t="inlineStr">
        <is>
          <t>15:00 - 00:00</t>
        </is>
      </c>
      <c r="E106" t="inlineStr">
        <is>
          <t>Short 1</t>
        </is>
      </c>
      <c r="F106" t="inlineStr">
        <is>
          <t>17:15</t>
        </is>
      </c>
      <c r="G106" t="inlineStr">
        <is>
          <t>Fri</t>
        </is>
      </c>
      <c r="H106" t="inlineStr">
        <is>
          <t>17:00</t>
        </is>
      </c>
      <c r="I106" t="n">
        <v>0.25</v>
      </c>
      <c r="J106" t="inlineStr">
        <is>
          <t>Lunch</t>
        </is>
      </c>
      <c r="K106" t="inlineStr">
        <is>
          <t>20:00</t>
        </is>
      </c>
      <c r="L106" t="inlineStr">
        <is>
          <t>Fri</t>
        </is>
      </c>
      <c r="M106" t="inlineStr">
        <is>
          <t>20:00</t>
        </is>
      </c>
      <c r="N106" t="n">
        <v>0.5</v>
      </c>
      <c r="O106" t="inlineStr">
        <is>
          <t>Short 2</t>
        </is>
      </c>
      <c r="P106" t="inlineStr">
        <is>
          <t>22:15</t>
        </is>
      </c>
      <c r="Q106" t="inlineStr">
        <is>
          <t>Fri</t>
        </is>
      </c>
      <c r="R106" t="inlineStr">
        <is>
          <t>22:00</t>
        </is>
      </c>
      <c r="S106" t="n">
        <v>0.25</v>
      </c>
    </row>
    <row r="107">
      <c r="A107" t="n">
        <v>24</v>
      </c>
      <c r="B107" t="inlineStr">
        <is>
          <t>Soaad Mahmoud</t>
        </is>
      </c>
      <c r="C107" t="inlineStr">
        <is>
          <t>Sat</t>
        </is>
      </c>
      <c r="D107" t="inlineStr">
        <is>
          <t>15:00 - 00:00</t>
        </is>
      </c>
      <c r="E107" t="inlineStr">
        <is>
          <t>Short 1</t>
        </is>
      </c>
      <c r="F107" t="inlineStr">
        <is>
          <t>17:15</t>
        </is>
      </c>
      <c r="G107" t="inlineStr">
        <is>
          <t>Sat</t>
        </is>
      </c>
      <c r="H107" t="inlineStr">
        <is>
          <t>17:00</t>
        </is>
      </c>
      <c r="I107" t="n">
        <v>0.25</v>
      </c>
      <c r="J107" t="inlineStr">
        <is>
          <t>Lunch</t>
        </is>
      </c>
      <c r="K107" t="inlineStr">
        <is>
          <t>20:00</t>
        </is>
      </c>
      <c r="L107" t="inlineStr">
        <is>
          <t>Sat</t>
        </is>
      </c>
      <c r="M107" t="inlineStr">
        <is>
          <t>20:00</t>
        </is>
      </c>
      <c r="N107" t="n">
        <v>0.5</v>
      </c>
      <c r="O107" t="inlineStr">
        <is>
          <t>Short 2</t>
        </is>
      </c>
      <c r="P107" t="inlineStr">
        <is>
          <t>22:15</t>
        </is>
      </c>
      <c r="Q107" t="inlineStr">
        <is>
          <t>Sat</t>
        </is>
      </c>
      <c r="R107" t="inlineStr">
        <is>
          <t>22:00</t>
        </is>
      </c>
      <c r="S107" t="n">
        <v>0.25</v>
      </c>
    </row>
    <row r="108">
      <c r="A108" t="n">
        <v>25</v>
      </c>
      <c r="B108" t="inlineStr">
        <is>
          <t>Waleed Hassan</t>
        </is>
      </c>
      <c r="C108" t="inlineStr">
        <is>
          <t>Sun</t>
        </is>
      </c>
      <c r="D108" t="inlineStr">
        <is>
          <t>15:00 - 00:00</t>
        </is>
      </c>
      <c r="E108" t="inlineStr">
        <is>
          <t>Short 1</t>
        </is>
      </c>
      <c r="F108" t="inlineStr">
        <is>
          <t>17:15</t>
        </is>
      </c>
      <c r="G108" t="inlineStr">
        <is>
          <t>Sun</t>
        </is>
      </c>
      <c r="H108" t="inlineStr">
        <is>
          <t>17:00</t>
        </is>
      </c>
      <c r="I108" t="n">
        <v>0.25</v>
      </c>
      <c r="J108" t="inlineStr">
        <is>
          <t>Lunch</t>
        </is>
      </c>
      <c r="K108" t="inlineStr">
        <is>
          <t>20:00</t>
        </is>
      </c>
      <c r="L108" t="inlineStr">
        <is>
          <t>Sun</t>
        </is>
      </c>
      <c r="M108" t="inlineStr">
        <is>
          <t>20:00</t>
        </is>
      </c>
      <c r="N108" t="n">
        <v>0.5</v>
      </c>
      <c r="O108" t="inlineStr">
        <is>
          <t>Short 2</t>
        </is>
      </c>
      <c r="P108" t="inlineStr">
        <is>
          <t>22:15</t>
        </is>
      </c>
      <c r="Q108" t="inlineStr">
        <is>
          <t>Sun</t>
        </is>
      </c>
      <c r="R108" t="inlineStr">
        <is>
          <t>22:00</t>
        </is>
      </c>
      <c r="S108" t="n">
        <v>0.25</v>
      </c>
    </row>
    <row r="109">
      <c r="A109" t="n">
        <v>25</v>
      </c>
      <c r="B109" t="inlineStr">
        <is>
          <t>Waleed Hassan</t>
        </is>
      </c>
      <c r="C109" t="inlineStr">
        <is>
          <t>Wed</t>
        </is>
      </c>
      <c r="D109" t="inlineStr">
        <is>
          <t>15:00 - 00:00</t>
        </is>
      </c>
      <c r="E109" t="inlineStr">
        <is>
          <t>Short 1</t>
        </is>
      </c>
      <c r="F109" t="inlineStr">
        <is>
          <t>17:15</t>
        </is>
      </c>
      <c r="G109" t="inlineStr">
        <is>
          <t>Wed</t>
        </is>
      </c>
      <c r="H109" t="inlineStr">
        <is>
          <t>17:00</t>
        </is>
      </c>
      <c r="I109" t="n">
        <v>0.25</v>
      </c>
      <c r="J109" t="inlineStr">
        <is>
          <t>Lunch</t>
        </is>
      </c>
      <c r="K109" t="inlineStr">
        <is>
          <t>20:00</t>
        </is>
      </c>
      <c r="L109" t="inlineStr">
        <is>
          <t>Wed</t>
        </is>
      </c>
      <c r="M109" t="inlineStr">
        <is>
          <t>20:00</t>
        </is>
      </c>
      <c r="N109" t="n">
        <v>0.5</v>
      </c>
      <c r="O109" t="inlineStr">
        <is>
          <t>Short 2</t>
        </is>
      </c>
      <c r="P109" t="inlineStr">
        <is>
          <t>22:15</t>
        </is>
      </c>
      <c r="Q109" t="inlineStr">
        <is>
          <t>Wed</t>
        </is>
      </c>
      <c r="R109" t="inlineStr">
        <is>
          <t>22:00</t>
        </is>
      </c>
      <c r="S109" t="n">
        <v>0.25</v>
      </c>
    </row>
    <row r="110">
      <c r="A110" t="n">
        <v>25</v>
      </c>
      <c r="B110" t="inlineStr">
        <is>
          <t>Waleed Hassan</t>
        </is>
      </c>
      <c r="C110" t="inlineStr">
        <is>
          <t>Thu</t>
        </is>
      </c>
      <c r="D110" t="inlineStr">
        <is>
          <t>15:00 - 00:00</t>
        </is>
      </c>
      <c r="E110" t="inlineStr">
        <is>
          <t>Short 1</t>
        </is>
      </c>
      <c r="F110" t="inlineStr">
        <is>
          <t>17:15</t>
        </is>
      </c>
      <c r="G110" t="inlineStr">
        <is>
          <t>Thu</t>
        </is>
      </c>
      <c r="H110" t="inlineStr">
        <is>
          <t>17:00</t>
        </is>
      </c>
      <c r="I110" t="n">
        <v>0.25</v>
      </c>
      <c r="J110" t="inlineStr">
        <is>
          <t>Lunch</t>
        </is>
      </c>
      <c r="K110" t="inlineStr">
        <is>
          <t>20:00</t>
        </is>
      </c>
      <c r="L110" t="inlineStr">
        <is>
          <t>Thu</t>
        </is>
      </c>
      <c r="M110" t="inlineStr">
        <is>
          <t>20:00</t>
        </is>
      </c>
      <c r="N110" t="n">
        <v>0.5</v>
      </c>
      <c r="O110" t="inlineStr">
        <is>
          <t>Short 2</t>
        </is>
      </c>
      <c r="P110" t="inlineStr">
        <is>
          <t>22:15</t>
        </is>
      </c>
      <c r="Q110" t="inlineStr">
        <is>
          <t>Thu</t>
        </is>
      </c>
      <c r="R110" t="inlineStr">
        <is>
          <t>22:00</t>
        </is>
      </c>
      <c r="S110" t="n">
        <v>0.25</v>
      </c>
    </row>
    <row r="111">
      <c r="A111" t="n">
        <v>25</v>
      </c>
      <c r="B111" t="inlineStr">
        <is>
          <t>Waleed Hassan</t>
        </is>
      </c>
      <c r="C111" t="inlineStr">
        <is>
          <t>Fri</t>
        </is>
      </c>
      <c r="D111" t="inlineStr">
        <is>
          <t>15:00 - 00:00</t>
        </is>
      </c>
      <c r="E111" t="inlineStr">
        <is>
          <t>Short 1</t>
        </is>
      </c>
      <c r="F111" t="inlineStr">
        <is>
          <t>17:15</t>
        </is>
      </c>
      <c r="G111" t="inlineStr">
        <is>
          <t>Fri</t>
        </is>
      </c>
      <c r="H111" t="inlineStr">
        <is>
          <t>17:00</t>
        </is>
      </c>
      <c r="I111" t="n">
        <v>0.25</v>
      </c>
      <c r="J111" t="inlineStr">
        <is>
          <t>Lunch</t>
        </is>
      </c>
      <c r="K111" t="inlineStr">
        <is>
          <t>20:00</t>
        </is>
      </c>
      <c r="L111" t="inlineStr">
        <is>
          <t>Fri</t>
        </is>
      </c>
      <c r="M111" t="inlineStr">
        <is>
          <t>20:00</t>
        </is>
      </c>
      <c r="N111" t="n">
        <v>0.5</v>
      </c>
      <c r="O111" t="inlineStr">
        <is>
          <t>Short 2</t>
        </is>
      </c>
      <c r="P111" t="inlineStr">
        <is>
          <t>22:15</t>
        </is>
      </c>
      <c r="Q111" t="inlineStr">
        <is>
          <t>Fri</t>
        </is>
      </c>
      <c r="R111" t="inlineStr">
        <is>
          <t>22:00</t>
        </is>
      </c>
      <c r="S111" t="n">
        <v>0.25</v>
      </c>
    </row>
    <row r="112">
      <c r="A112" t="n">
        <v>25</v>
      </c>
      <c r="B112" t="inlineStr">
        <is>
          <t>Waleed Hassan</t>
        </is>
      </c>
      <c r="C112" t="inlineStr">
        <is>
          <t>Sat</t>
        </is>
      </c>
      <c r="D112" t="inlineStr">
        <is>
          <t>15:00 - 00:00</t>
        </is>
      </c>
      <c r="E112" t="inlineStr">
        <is>
          <t>Short 1</t>
        </is>
      </c>
      <c r="F112" t="inlineStr">
        <is>
          <t>17:15</t>
        </is>
      </c>
      <c r="G112" t="inlineStr">
        <is>
          <t>Sat</t>
        </is>
      </c>
      <c r="H112" t="inlineStr">
        <is>
          <t>17:00</t>
        </is>
      </c>
      <c r="I112" t="n">
        <v>0.25</v>
      </c>
      <c r="J112" t="inlineStr">
        <is>
          <t>Lunch</t>
        </is>
      </c>
      <c r="K112" t="inlineStr">
        <is>
          <t>20:00</t>
        </is>
      </c>
      <c r="L112" t="inlineStr">
        <is>
          <t>Sat</t>
        </is>
      </c>
      <c r="M112" t="inlineStr">
        <is>
          <t>20:00</t>
        </is>
      </c>
      <c r="N112" t="n">
        <v>0.5</v>
      </c>
      <c r="O112" t="inlineStr">
        <is>
          <t>Short 2</t>
        </is>
      </c>
      <c r="P112" t="inlineStr">
        <is>
          <t>22:15</t>
        </is>
      </c>
      <c r="Q112" t="inlineStr">
        <is>
          <t>Sat</t>
        </is>
      </c>
      <c r="R112" t="inlineStr">
        <is>
          <t>22:00</t>
        </is>
      </c>
      <c r="S112" t="n">
        <v>0.25</v>
      </c>
    </row>
    <row r="113">
      <c r="A113" t="n">
        <v>26</v>
      </c>
      <c r="B113" t="inlineStr">
        <is>
          <t>ben Ahmed</t>
        </is>
      </c>
      <c r="C113" t="inlineStr">
        <is>
          <t>Sun</t>
        </is>
      </c>
      <c r="D113" t="inlineStr">
        <is>
          <t>15:00 - 00:00</t>
        </is>
      </c>
      <c r="E113" t="inlineStr">
        <is>
          <t>Short 1</t>
        </is>
      </c>
      <c r="F113" t="inlineStr">
        <is>
          <t>17:15</t>
        </is>
      </c>
      <c r="G113" t="inlineStr">
        <is>
          <t>Sun</t>
        </is>
      </c>
      <c r="H113" t="inlineStr">
        <is>
          <t>17:00</t>
        </is>
      </c>
      <c r="I113" t="n">
        <v>0.25</v>
      </c>
      <c r="J113" t="inlineStr">
        <is>
          <t>Lunch</t>
        </is>
      </c>
      <c r="K113" t="inlineStr">
        <is>
          <t>20:00</t>
        </is>
      </c>
      <c r="L113" t="inlineStr">
        <is>
          <t>Sun</t>
        </is>
      </c>
      <c r="M113" t="inlineStr">
        <is>
          <t>20:00</t>
        </is>
      </c>
      <c r="N113" t="n">
        <v>0.5</v>
      </c>
      <c r="O113" t="inlineStr">
        <is>
          <t>Short 2</t>
        </is>
      </c>
      <c r="P113" t="inlineStr">
        <is>
          <t>22:15</t>
        </is>
      </c>
      <c r="Q113" t="inlineStr">
        <is>
          <t>Sun</t>
        </is>
      </c>
      <c r="R113" t="inlineStr">
        <is>
          <t>22:00</t>
        </is>
      </c>
      <c r="S113" t="n">
        <v>0.25</v>
      </c>
    </row>
    <row r="114">
      <c r="A114" t="n">
        <v>26</v>
      </c>
      <c r="B114" t="inlineStr">
        <is>
          <t>ben Ahmed</t>
        </is>
      </c>
      <c r="C114" t="inlineStr">
        <is>
          <t>Mon</t>
        </is>
      </c>
      <c r="D114" t="inlineStr">
        <is>
          <t>15:00 - 00:00</t>
        </is>
      </c>
      <c r="E114" t="inlineStr">
        <is>
          <t>Short 1</t>
        </is>
      </c>
      <c r="F114" t="inlineStr">
        <is>
          <t>17:15</t>
        </is>
      </c>
      <c r="G114" t="inlineStr">
        <is>
          <t>Mon</t>
        </is>
      </c>
      <c r="H114" t="inlineStr">
        <is>
          <t>17:00</t>
        </is>
      </c>
      <c r="I114" t="n">
        <v>0.25</v>
      </c>
      <c r="J114" t="inlineStr">
        <is>
          <t>Lunch</t>
        </is>
      </c>
      <c r="K114" t="inlineStr">
        <is>
          <t>20:00</t>
        </is>
      </c>
      <c r="L114" t="inlineStr">
        <is>
          <t>Mon</t>
        </is>
      </c>
      <c r="M114" t="inlineStr">
        <is>
          <t>20:00</t>
        </is>
      </c>
      <c r="N114" t="n">
        <v>0.5</v>
      </c>
      <c r="O114" t="inlineStr">
        <is>
          <t>Short 2</t>
        </is>
      </c>
      <c r="P114" t="inlineStr">
        <is>
          <t>22:15</t>
        </is>
      </c>
      <c r="Q114" t="inlineStr">
        <is>
          <t>Mon</t>
        </is>
      </c>
      <c r="R114" t="inlineStr">
        <is>
          <t>22:00</t>
        </is>
      </c>
      <c r="S114" t="n">
        <v>0.25</v>
      </c>
    </row>
    <row r="115">
      <c r="A115" t="n">
        <v>26</v>
      </c>
      <c r="B115" t="inlineStr">
        <is>
          <t>ben Ahmed</t>
        </is>
      </c>
      <c r="C115" t="inlineStr">
        <is>
          <t>Thu</t>
        </is>
      </c>
      <c r="D115" t="inlineStr">
        <is>
          <t>15:00 - 00:00</t>
        </is>
      </c>
      <c r="E115" t="inlineStr">
        <is>
          <t>Short 1</t>
        </is>
      </c>
      <c r="F115" t="inlineStr">
        <is>
          <t>17:15</t>
        </is>
      </c>
      <c r="G115" t="inlineStr">
        <is>
          <t>Thu</t>
        </is>
      </c>
      <c r="H115" t="inlineStr">
        <is>
          <t>17:00</t>
        </is>
      </c>
      <c r="I115" t="n">
        <v>0.25</v>
      </c>
      <c r="J115" t="inlineStr">
        <is>
          <t>Lunch</t>
        </is>
      </c>
      <c r="K115" t="inlineStr">
        <is>
          <t>20:00</t>
        </is>
      </c>
      <c r="L115" t="inlineStr">
        <is>
          <t>Thu</t>
        </is>
      </c>
      <c r="M115" t="inlineStr">
        <is>
          <t>20:00</t>
        </is>
      </c>
      <c r="N115" t="n">
        <v>0.5</v>
      </c>
      <c r="O115" t="inlineStr">
        <is>
          <t>Short 2</t>
        </is>
      </c>
      <c r="P115" t="inlineStr">
        <is>
          <t>22:15</t>
        </is>
      </c>
      <c r="Q115" t="inlineStr">
        <is>
          <t>Thu</t>
        </is>
      </c>
      <c r="R115" t="inlineStr">
        <is>
          <t>22:00</t>
        </is>
      </c>
      <c r="S115" t="n">
        <v>0.25</v>
      </c>
    </row>
    <row r="116">
      <c r="A116" t="n">
        <v>26</v>
      </c>
      <c r="B116" t="inlineStr">
        <is>
          <t>ben Ahmed</t>
        </is>
      </c>
      <c r="C116" t="inlineStr">
        <is>
          <t>Fri</t>
        </is>
      </c>
      <c r="D116" t="inlineStr">
        <is>
          <t>15:00 - 00:00</t>
        </is>
      </c>
      <c r="E116" t="inlineStr">
        <is>
          <t>Short 1</t>
        </is>
      </c>
      <c r="F116" t="inlineStr">
        <is>
          <t>17:15</t>
        </is>
      </c>
      <c r="G116" t="inlineStr">
        <is>
          <t>Fri</t>
        </is>
      </c>
      <c r="H116" t="inlineStr">
        <is>
          <t>17:00</t>
        </is>
      </c>
      <c r="I116" t="n">
        <v>0.25</v>
      </c>
      <c r="J116" t="inlineStr">
        <is>
          <t>Lunch</t>
        </is>
      </c>
      <c r="K116" t="inlineStr">
        <is>
          <t>20:00</t>
        </is>
      </c>
      <c r="L116" t="inlineStr">
        <is>
          <t>Fri</t>
        </is>
      </c>
      <c r="M116" t="inlineStr">
        <is>
          <t>20:00</t>
        </is>
      </c>
      <c r="N116" t="n">
        <v>0.5</v>
      </c>
      <c r="O116" t="inlineStr">
        <is>
          <t>Short 2</t>
        </is>
      </c>
      <c r="P116" t="inlineStr">
        <is>
          <t>22:15</t>
        </is>
      </c>
      <c r="Q116" t="inlineStr">
        <is>
          <t>Fri</t>
        </is>
      </c>
      <c r="R116" t="inlineStr">
        <is>
          <t>22:00</t>
        </is>
      </c>
      <c r="S116" t="n">
        <v>0.25</v>
      </c>
    </row>
    <row r="117">
      <c r="A117" t="n">
        <v>26</v>
      </c>
      <c r="B117" t="inlineStr">
        <is>
          <t>ben Ahmed</t>
        </is>
      </c>
      <c r="C117" t="inlineStr">
        <is>
          <t>Sat</t>
        </is>
      </c>
      <c r="D117" t="inlineStr">
        <is>
          <t>15:00 - 00:00</t>
        </is>
      </c>
      <c r="E117" t="inlineStr">
        <is>
          <t>Short 1</t>
        </is>
      </c>
      <c r="F117" t="inlineStr">
        <is>
          <t>17:15</t>
        </is>
      </c>
      <c r="G117" t="inlineStr">
        <is>
          <t>Sat</t>
        </is>
      </c>
      <c r="H117" t="inlineStr">
        <is>
          <t>17:00</t>
        </is>
      </c>
      <c r="I117" t="n">
        <v>0.25</v>
      </c>
      <c r="J117" t="inlineStr">
        <is>
          <t>Lunch</t>
        </is>
      </c>
      <c r="K117" t="inlineStr">
        <is>
          <t>20:00</t>
        </is>
      </c>
      <c r="L117" t="inlineStr">
        <is>
          <t>Sat</t>
        </is>
      </c>
      <c r="M117" t="inlineStr">
        <is>
          <t>20:00</t>
        </is>
      </c>
      <c r="N117" t="n">
        <v>0.5</v>
      </c>
      <c r="O117" t="inlineStr">
        <is>
          <t>Short 2</t>
        </is>
      </c>
      <c r="P117" t="inlineStr">
        <is>
          <t>22:15</t>
        </is>
      </c>
      <c r="Q117" t="inlineStr">
        <is>
          <t>Sat</t>
        </is>
      </c>
      <c r="R117" t="inlineStr">
        <is>
          <t>22:00</t>
        </is>
      </c>
      <c r="S117" t="n">
        <v>0.25</v>
      </c>
    </row>
    <row r="118">
      <c r="A118" t="n">
        <v>27</v>
      </c>
      <c r="B118" t="inlineStr">
        <is>
          <t>Joudy Mahmoud</t>
        </is>
      </c>
      <c r="C118" t="inlineStr">
        <is>
          <t>Sun</t>
        </is>
      </c>
      <c r="D118" t="inlineStr">
        <is>
          <t>15:00 - 00:00</t>
        </is>
      </c>
      <c r="E118" t="inlineStr">
        <is>
          <t>Short 1</t>
        </is>
      </c>
      <c r="F118" t="inlineStr">
        <is>
          <t>17:15</t>
        </is>
      </c>
      <c r="G118" t="inlineStr">
        <is>
          <t>Sun</t>
        </is>
      </c>
      <c r="H118" t="inlineStr">
        <is>
          <t>17:00</t>
        </is>
      </c>
      <c r="I118" t="n">
        <v>0.25</v>
      </c>
      <c r="J118" t="inlineStr">
        <is>
          <t>Lunch</t>
        </is>
      </c>
      <c r="K118" t="inlineStr">
        <is>
          <t>20:00</t>
        </is>
      </c>
      <c r="L118" t="inlineStr">
        <is>
          <t>Sun</t>
        </is>
      </c>
      <c r="M118" t="inlineStr">
        <is>
          <t>20:00</t>
        </is>
      </c>
      <c r="N118" t="n">
        <v>0.5</v>
      </c>
      <c r="O118" t="inlineStr">
        <is>
          <t>Short 2</t>
        </is>
      </c>
      <c r="P118" t="inlineStr">
        <is>
          <t>22:15</t>
        </is>
      </c>
      <c r="Q118" t="inlineStr">
        <is>
          <t>Sun</t>
        </is>
      </c>
      <c r="R118" t="inlineStr">
        <is>
          <t>22:00</t>
        </is>
      </c>
      <c r="S118" t="n">
        <v>0.25</v>
      </c>
    </row>
    <row r="119">
      <c r="A119" t="n">
        <v>27</v>
      </c>
      <c r="B119" t="inlineStr">
        <is>
          <t>Joudy Mahmoud</t>
        </is>
      </c>
      <c r="C119" t="inlineStr">
        <is>
          <t>Mon</t>
        </is>
      </c>
      <c r="D119" t="inlineStr">
        <is>
          <t>15:00 - 00:00</t>
        </is>
      </c>
      <c r="E119" t="inlineStr">
        <is>
          <t>Short 1</t>
        </is>
      </c>
      <c r="F119" t="inlineStr">
        <is>
          <t>17:15</t>
        </is>
      </c>
      <c r="G119" t="inlineStr">
        <is>
          <t>Mon</t>
        </is>
      </c>
      <c r="H119" t="inlineStr">
        <is>
          <t>17:00</t>
        </is>
      </c>
      <c r="I119" t="n">
        <v>0.25</v>
      </c>
      <c r="J119" t="inlineStr">
        <is>
          <t>Lunch</t>
        </is>
      </c>
      <c r="K119" t="inlineStr">
        <is>
          <t>20:00</t>
        </is>
      </c>
      <c r="L119" t="inlineStr">
        <is>
          <t>Mon</t>
        </is>
      </c>
      <c r="M119" t="inlineStr">
        <is>
          <t>20:00</t>
        </is>
      </c>
      <c r="N119" t="n">
        <v>0.5</v>
      </c>
      <c r="O119" t="inlineStr">
        <is>
          <t>Short 2</t>
        </is>
      </c>
      <c r="P119" t="inlineStr">
        <is>
          <t>22:15</t>
        </is>
      </c>
      <c r="Q119" t="inlineStr">
        <is>
          <t>Mon</t>
        </is>
      </c>
      <c r="R119" t="inlineStr">
        <is>
          <t>22:00</t>
        </is>
      </c>
      <c r="S119" t="n">
        <v>0.25</v>
      </c>
    </row>
    <row r="120">
      <c r="A120" t="n">
        <v>27</v>
      </c>
      <c r="B120" t="inlineStr">
        <is>
          <t>Joudy Mahmoud</t>
        </is>
      </c>
      <c r="C120" t="inlineStr">
        <is>
          <t>Thu</t>
        </is>
      </c>
      <c r="D120" t="inlineStr">
        <is>
          <t>15:00 - 00:00</t>
        </is>
      </c>
      <c r="E120" t="inlineStr">
        <is>
          <t>Short 1</t>
        </is>
      </c>
      <c r="F120" t="inlineStr">
        <is>
          <t>17:15</t>
        </is>
      </c>
      <c r="G120" t="inlineStr">
        <is>
          <t>Thu</t>
        </is>
      </c>
      <c r="H120" t="inlineStr">
        <is>
          <t>17:00</t>
        </is>
      </c>
      <c r="I120" t="n">
        <v>0.25</v>
      </c>
      <c r="J120" t="inlineStr">
        <is>
          <t>Lunch</t>
        </is>
      </c>
      <c r="K120" t="inlineStr">
        <is>
          <t>20:00</t>
        </is>
      </c>
      <c r="L120" t="inlineStr">
        <is>
          <t>Thu</t>
        </is>
      </c>
      <c r="M120" t="inlineStr">
        <is>
          <t>20:00</t>
        </is>
      </c>
      <c r="N120" t="n">
        <v>0.5</v>
      </c>
      <c r="O120" t="inlineStr">
        <is>
          <t>Short 2</t>
        </is>
      </c>
      <c r="P120" t="inlineStr">
        <is>
          <t>22:15</t>
        </is>
      </c>
      <c r="Q120" t="inlineStr">
        <is>
          <t>Thu</t>
        </is>
      </c>
      <c r="R120" t="inlineStr">
        <is>
          <t>22:00</t>
        </is>
      </c>
      <c r="S120" t="n">
        <v>0.25</v>
      </c>
    </row>
    <row r="121">
      <c r="A121" t="n">
        <v>27</v>
      </c>
      <c r="B121" t="inlineStr">
        <is>
          <t>Joudy Mahmoud</t>
        </is>
      </c>
      <c r="C121" t="inlineStr">
        <is>
          <t>Fri</t>
        </is>
      </c>
      <c r="D121" t="inlineStr">
        <is>
          <t>15:00 - 00:00</t>
        </is>
      </c>
      <c r="E121" t="inlineStr">
        <is>
          <t>Short 1</t>
        </is>
      </c>
      <c r="F121" t="inlineStr">
        <is>
          <t>17:15</t>
        </is>
      </c>
      <c r="G121" t="inlineStr">
        <is>
          <t>Fri</t>
        </is>
      </c>
      <c r="H121" t="inlineStr">
        <is>
          <t>17:00</t>
        </is>
      </c>
      <c r="I121" t="n">
        <v>0.25</v>
      </c>
      <c r="J121" t="inlineStr">
        <is>
          <t>Lunch</t>
        </is>
      </c>
      <c r="K121" t="inlineStr">
        <is>
          <t>20:00</t>
        </is>
      </c>
      <c r="L121" t="inlineStr">
        <is>
          <t>Fri</t>
        </is>
      </c>
      <c r="M121" t="inlineStr">
        <is>
          <t>20:00</t>
        </is>
      </c>
      <c r="N121" t="n">
        <v>0.5</v>
      </c>
      <c r="O121" t="inlineStr">
        <is>
          <t>Short 2</t>
        </is>
      </c>
      <c r="P121" t="inlineStr">
        <is>
          <t>22:15</t>
        </is>
      </c>
      <c r="Q121" t="inlineStr">
        <is>
          <t>Fri</t>
        </is>
      </c>
      <c r="R121" t="inlineStr">
        <is>
          <t>22:00</t>
        </is>
      </c>
      <c r="S121" t="n">
        <v>0.25</v>
      </c>
    </row>
    <row r="122">
      <c r="A122" t="n">
        <v>27</v>
      </c>
      <c r="B122" t="inlineStr">
        <is>
          <t>Joudy Mahmoud</t>
        </is>
      </c>
      <c r="C122" t="inlineStr">
        <is>
          <t>Sat</t>
        </is>
      </c>
      <c r="D122" t="inlineStr">
        <is>
          <t>15:00 - 00:00</t>
        </is>
      </c>
      <c r="E122" t="inlineStr">
        <is>
          <t>Short 1</t>
        </is>
      </c>
      <c r="F122" t="inlineStr">
        <is>
          <t>17:15</t>
        </is>
      </c>
      <c r="G122" t="inlineStr">
        <is>
          <t>Sat</t>
        </is>
      </c>
      <c r="H122" t="inlineStr">
        <is>
          <t>17:00</t>
        </is>
      </c>
      <c r="I122" t="n">
        <v>0.25</v>
      </c>
      <c r="J122" t="inlineStr">
        <is>
          <t>Lunch</t>
        </is>
      </c>
      <c r="K122" t="inlineStr">
        <is>
          <t>20:00</t>
        </is>
      </c>
      <c r="L122" t="inlineStr">
        <is>
          <t>Sat</t>
        </is>
      </c>
      <c r="M122" t="inlineStr">
        <is>
          <t>20:00</t>
        </is>
      </c>
      <c r="N122" t="n">
        <v>0.5</v>
      </c>
      <c r="O122" t="inlineStr">
        <is>
          <t>Short 2</t>
        </is>
      </c>
      <c r="P122" t="inlineStr">
        <is>
          <t>22:15</t>
        </is>
      </c>
      <c r="Q122" t="inlineStr">
        <is>
          <t>Sat</t>
        </is>
      </c>
      <c r="R122" t="inlineStr">
        <is>
          <t>22:00</t>
        </is>
      </c>
      <c r="S122" t="n">
        <v>0.25</v>
      </c>
    </row>
    <row r="123">
      <c r="A123" t="n">
        <v>28</v>
      </c>
      <c r="B123" t="inlineStr">
        <is>
          <t>Mohamed Sami</t>
        </is>
      </c>
      <c r="C123" t="inlineStr">
        <is>
          <t>Sun</t>
        </is>
      </c>
      <c r="D123" t="inlineStr">
        <is>
          <t>15:00 - 00:00</t>
        </is>
      </c>
      <c r="E123" t="inlineStr">
        <is>
          <t>Short 1</t>
        </is>
      </c>
      <c r="F123" t="inlineStr">
        <is>
          <t>17:15</t>
        </is>
      </c>
      <c r="G123" t="inlineStr">
        <is>
          <t>Sun</t>
        </is>
      </c>
      <c r="H123" t="inlineStr">
        <is>
          <t>17:00</t>
        </is>
      </c>
      <c r="I123" t="n">
        <v>0.25</v>
      </c>
      <c r="J123" t="inlineStr">
        <is>
          <t>Lunch</t>
        </is>
      </c>
      <c r="K123" t="inlineStr">
        <is>
          <t>20:00</t>
        </is>
      </c>
      <c r="L123" t="inlineStr">
        <is>
          <t>Sun</t>
        </is>
      </c>
      <c r="M123" t="inlineStr">
        <is>
          <t>20:00</t>
        </is>
      </c>
      <c r="N123" t="n">
        <v>0.5</v>
      </c>
      <c r="O123" t="inlineStr">
        <is>
          <t>Short 2</t>
        </is>
      </c>
      <c r="P123" t="inlineStr">
        <is>
          <t>22:15</t>
        </is>
      </c>
      <c r="Q123" t="inlineStr">
        <is>
          <t>Sun</t>
        </is>
      </c>
      <c r="R123" t="inlineStr">
        <is>
          <t>22:00</t>
        </is>
      </c>
      <c r="S123" t="n">
        <v>0.25</v>
      </c>
    </row>
    <row r="124">
      <c r="A124" t="n">
        <v>28</v>
      </c>
      <c r="B124" t="inlineStr">
        <is>
          <t>Mohamed Sami</t>
        </is>
      </c>
      <c r="C124" t="inlineStr">
        <is>
          <t>Mon</t>
        </is>
      </c>
      <c r="D124" t="inlineStr">
        <is>
          <t>15:00 - 00:00</t>
        </is>
      </c>
      <c r="E124" t="inlineStr">
        <is>
          <t>Short 1</t>
        </is>
      </c>
      <c r="F124" t="inlineStr">
        <is>
          <t>17:15</t>
        </is>
      </c>
      <c r="G124" t="inlineStr">
        <is>
          <t>Mon</t>
        </is>
      </c>
      <c r="H124" t="inlineStr">
        <is>
          <t>17:00</t>
        </is>
      </c>
      <c r="I124" t="n">
        <v>0.25</v>
      </c>
      <c r="J124" t="inlineStr">
        <is>
          <t>Lunch</t>
        </is>
      </c>
      <c r="K124" t="inlineStr">
        <is>
          <t>20:00</t>
        </is>
      </c>
      <c r="L124" t="inlineStr">
        <is>
          <t>Mon</t>
        </is>
      </c>
      <c r="M124" t="inlineStr">
        <is>
          <t>20:00</t>
        </is>
      </c>
      <c r="N124" t="n">
        <v>0.5</v>
      </c>
      <c r="O124" t="inlineStr">
        <is>
          <t>Short 2</t>
        </is>
      </c>
      <c r="P124" t="inlineStr">
        <is>
          <t>22:15</t>
        </is>
      </c>
      <c r="Q124" t="inlineStr">
        <is>
          <t>Mon</t>
        </is>
      </c>
      <c r="R124" t="inlineStr">
        <is>
          <t>22:00</t>
        </is>
      </c>
      <c r="S124" t="n">
        <v>0.25</v>
      </c>
    </row>
    <row r="125">
      <c r="A125" t="n">
        <v>28</v>
      </c>
      <c r="B125" t="inlineStr">
        <is>
          <t>Mohamed Sami</t>
        </is>
      </c>
      <c r="C125" t="inlineStr">
        <is>
          <t>Thu</t>
        </is>
      </c>
      <c r="D125" t="inlineStr">
        <is>
          <t>15:00 - 00:00</t>
        </is>
      </c>
      <c r="E125" t="inlineStr">
        <is>
          <t>Short 1</t>
        </is>
      </c>
      <c r="F125" t="inlineStr">
        <is>
          <t>17:15</t>
        </is>
      </c>
      <c r="G125" t="inlineStr">
        <is>
          <t>Thu</t>
        </is>
      </c>
      <c r="H125" t="inlineStr">
        <is>
          <t>17:00</t>
        </is>
      </c>
      <c r="I125" t="n">
        <v>0.25</v>
      </c>
      <c r="J125" t="inlineStr">
        <is>
          <t>Lunch</t>
        </is>
      </c>
      <c r="K125" t="inlineStr">
        <is>
          <t>20:00</t>
        </is>
      </c>
      <c r="L125" t="inlineStr">
        <is>
          <t>Thu</t>
        </is>
      </c>
      <c r="M125" t="inlineStr">
        <is>
          <t>20:00</t>
        </is>
      </c>
      <c r="N125" t="n">
        <v>0.5</v>
      </c>
      <c r="O125" t="inlineStr">
        <is>
          <t>Short 2</t>
        </is>
      </c>
      <c r="P125" t="inlineStr">
        <is>
          <t>22:15</t>
        </is>
      </c>
      <c r="Q125" t="inlineStr">
        <is>
          <t>Thu</t>
        </is>
      </c>
      <c r="R125" t="inlineStr">
        <is>
          <t>22:00</t>
        </is>
      </c>
      <c r="S125" t="n">
        <v>0.25</v>
      </c>
    </row>
    <row r="126">
      <c r="A126" t="n">
        <v>28</v>
      </c>
      <c r="B126" t="inlineStr">
        <is>
          <t>Mohamed Sami</t>
        </is>
      </c>
      <c r="C126" t="inlineStr">
        <is>
          <t>Fri</t>
        </is>
      </c>
      <c r="D126" t="inlineStr">
        <is>
          <t>15:00 - 00:00</t>
        </is>
      </c>
      <c r="E126" t="inlineStr">
        <is>
          <t>Short 1</t>
        </is>
      </c>
      <c r="F126" t="inlineStr">
        <is>
          <t>17:15</t>
        </is>
      </c>
      <c r="G126" t="inlineStr">
        <is>
          <t>Fri</t>
        </is>
      </c>
      <c r="H126" t="inlineStr">
        <is>
          <t>17:00</t>
        </is>
      </c>
      <c r="I126" t="n">
        <v>0.25</v>
      </c>
      <c r="J126" t="inlineStr">
        <is>
          <t>Lunch</t>
        </is>
      </c>
      <c r="K126" t="inlineStr">
        <is>
          <t>20:00</t>
        </is>
      </c>
      <c r="L126" t="inlineStr">
        <is>
          <t>Fri</t>
        </is>
      </c>
      <c r="M126" t="inlineStr">
        <is>
          <t>20:00</t>
        </is>
      </c>
      <c r="N126" t="n">
        <v>0.5</v>
      </c>
      <c r="O126" t="inlineStr">
        <is>
          <t>Short 2</t>
        </is>
      </c>
      <c r="P126" t="inlineStr">
        <is>
          <t>22:15</t>
        </is>
      </c>
      <c r="Q126" t="inlineStr">
        <is>
          <t>Fri</t>
        </is>
      </c>
      <c r="R126" t="inlineStr">
        <is>
          <t>22:00</t>
        </is>
      </c>
      <c r="S126" t="n">
        <v>0.25</v>
      </c>
    </row>
    <row r="127">
      <c r="A127" t="n">
        <v>28</v>
      </c>
      <c r="B127" t="inlineStr">
        <is>
          <t>Mohamed Sami</t>
        </is>
      </c>
      <c r="C127" t="inlineStr">
        <is>
          <t>Sat</t>
        </is>
      </c>
      <c r="D127" t="inlineStr">
        <is>
          <t>15:00 - 00:00</t>
        </is>
      </c>
      <c r="E127" t="inlineStr">
        <is>
          <t>Short 1</t>
        </is>
      </c>
      <c r="F127" t="inlineStr">
        <is>
          <t>17:15</t>
        </is>
      </c>
      <c r="G127" t="inlineStr">
        <is>
          <t>Sat</t>
        </is>
      </c>
      <c r="H127" t="inlineStr">
        <is>
          <t>17:00</t>
        </is>
      </c>
      <c r="I127" t="n">
        <v>0.25</v>
      </c>
      <c r="J127" t="inlineStr">
        <is>
          <t>Lunch</t>
        </is>
      </c>
      <c r="K127" t="inlineStr">
        <is>
          <t>20:00</t>
        </is>
      </c>
      <c r="L127" t="inlineStr">
        <is>
          <t>Sat</t>
        </is>
      </c>
      <c r="M127" t="inlineStr">
        <is>
          <t>20:00</t>
        </is>
      </c>
      <c r="N127" t="n">
        <v>0.5</v>
      </c>
      <c r="O127" t="inlineStr">
        <is>
          <t>Short 2</t>
        </is>
      </c>
      <c r="P127" t="inlineStr">
        <is>
          <t>22:15</t>
        </is>
      </c>
      <c r="Q127" t="inlineStr">
        <is>
          <t>Sat</t>
        </is>
      </c>
      <c r="R127" t="inlineStr">
        <is>
          <t>22:00</t>
        </is>
      </c>
      <c r="S127" t="n">
        <v>0.25</v>
      </c>
    </row>
    <row r="128">
      <c r="A128" t="n">
        <v>29</v>
      </c>
      <c r="B128" t="inlineStr">
        <is>
          <t>Sage Gebba</t>
        </is>
      </c>
      <c r="C128" t="inlineStr">
        <is>
          <t>Sun</t>
        </is>
      </c>
      <c r="D128" t="inlineStr">
        <is>
          <t>22:00 - 07:00</t>
        </is>
      </c>
      <c r="E128" t="inlineStr">
        <is>
          <t>Short 1</t>
        </is>
      </c>
      <c r="F128" t="inlineStr">
        <is>
          <t>00:15</t>
        </is>
      </c>
      <c r="G128" t="inlineStr">
        <is>
          <t>Mon</t>
        </is>
      </c>
      <c r="H128" t="inlineStr">
        <is>
          <t>00:00</t>
        </is>
      </c>
      <c r="I128" t="n">
        <v>0.25</v>
      </c>
      <c r="J128" t="inlineStr">
        <is>
          <t>Lunch</t>
        </is>
      </c>
      <c r="K128" t="inlineStr">
        <is>
          <t>03:00</t>
        </is>
      </c>
      <c r="L128" t="inlineStr">
        <is>
          <t>Mon</t>
        </is>
      </c>
      <c r="M128" t="inlineStr">
        <is>
          <t>03:00</t>
        </is>
      </c>
      <c r="N128" t="n">
        <v>0.5</v>
      </c>
      <c r="O128" t="inlineStr">
        <is>
          <t>Short 2</t>
        </is>
      </c>
      <c r="P128" t="inlineStr">
        <is>
          <t>05:15</t>
        </is>
      </c>
      <c r="Q128" t="inlineStr">
        <is>
          <t>Mon</t>
        </is>
      </c>
      <c r="R128" t="inlineStr">
        <is>
          <t>05:00</t>
        </is>
      </c>
      <c r="S128" t="n">
        <v>0.25</v>
      </c>
    </row>
    <row r="129">
      <c r="A129" t="n">
        <v>29</v>
      </c>
      <c r="B129" t="inlineStr">
        <is>
          <t>Sage Gebba</t>
        </is>
      </c>
      <c r="C129" t="inlineStr">
        <is>
          <t>Mon</t>
        </is>
      </c>
      <c r="D129" t="inlineStr">
        <is>
          <t>22:00 - 07:00</t>
        </is>
      </c>
      <c r="E129" t="inlineStr">
        <is>
          <t>Short 1</t>
        </is>
      </c>
      <c r="F129" t="inlineStr">
        <is>
          <t>00:15</t>
        </is>
      </c>
      <c r="G129" t="inlineStr">
        <is>
          <t>Tue</t>
        </is>
      </c>
      <c r="H129" t="inlineStr">
        <is>
          <t>00:00</t>
        </is>
      </c>
      <c r="I129" t="n">
        <v>0.25</v>
      </c>
      <c r="J129" t="inlineStr">
        <is>
          <t>Lunch</t>
        </is>
      </c>
      <c r="K129" t="inlineStr">
        <is>
          <t>03:00</t>
        </is>
      </c>
      <c r="L129" t="inlineStr">
        <is>
          <t>Tue</t>
        </is>
      </c>
      <c r="M129" t="inlineStr">
        <is>
          <t>03:00</t>
        </is>
      </c>
      <c r="N129" t="n">
        <v>0.5</v>
      </c>
      <c r="O129" t="inlineStr">
        <is>
          <t>Short 2</t>
        </is>
      </c>
      <c r="P129" t="inlineStr">
        <is>
          <t>05:15</t>
        </is>
      </c>
      <c r="Q129" t="inlineStr">
        <is>
          <t>Tue</t>
        </is>
      </c>
      <c r="R129" t="inlineStr">
        <is>
          <t>05:00</t>
        </is>
      </c>
      <c r="S129" t="n">
        <v>0.25</v>
      </c>
    </row>
    <row r="130">
      <c r="A130" t="n">
        <v>29</v>
      </c>
      <c r="B130" t="inlineStr">
        <is>
          <t>Sage Gebba</t>
        </is>
      </c>
      <c r="C130" t="inlineStr">
        <is>
          <t>Thu</t>
        </is>
      </c>
      <c r="D130" t="inlineStr">
        <is>
          <t>22:00 - 07:00</t>
        </is>
      </c>
      <c r="E130" t="inlineStr">
        <is>
          <t>Short 1</t>
        </is>
      </c>
      <c r="F130" t="inlineStr">
        <is>
          <t>00:15</t>
        </is>
      </c>
      <c r="G130" t="inlineStr">
        <is>
          <t>Fri</t>
        </is>
      </c>
      <c r="H130" t="inlineStr">
        <is>
          <t>00:00</t>
        </is>
      </c>
      <c r="I130" t="n">
        <v>0.25</v>
      </c>
      <c r="J130" t="inlineStr">
        <is>
          <t>Lunch</t>
        </is>
      </c>
      <c r="K130" t="inlineStr">
        <is>
          <t>03:00</t>
        </is>
      </c>
      <c r="L130" t="inlineStr">
        <is>
          <t>Fri</t>
        </is>
      </c>
      <c r="M130" t="inlineStr">
        <is>
          <t>03:00</t>
        </is>
      </c>
      <c r="N130" t="n">
        <v>0.5</v>
      </c>
      <c r="O130" t="inlineStr">
        <is>
          <t>Short 2</t>
        </is>
      </c>
      <c r="P130" t="inlineStr">
        <is>
          <t>05:15</t>
        </is>
      </c>
      <c r="Q130" t="inlineStr">
        <is>
          <t>Fri</t>
        </is>
      </c>
      <c r="R130" t="inlineStr">
        <is>
          <t>05:00</t>
        </is>
      </c>
      <c r="S130" t="n">
        <v>0.25</v>
      </c>
    </row>
    <row r="131">
      <c r="A131" t="n">
        <v>29</v>
      </c>
      <c r="B131" t="inlineStr">
        <is>
          <t>Sage Gebba</t>
        </is>
      </c>
      <c r="C131" t="inlineStr">
        <is>
          <t>Fri</t>
        </is>
      </c>
      <c r="D131" t="inlineStr">
        <is>
          <t>22:00 - 07:00</t>
        </is>
      </c>
      <c r="E131" t="inlineStr">
        <is>
          <t>Short 1</t>
        </is>
      </c>
      <c r="F131" t="inlineStr">
        <is>
          <t>00:15</t>
        </is>
      </c>
      <c r="G131" t="inlineStr">
        <is>
          <t>Sat</t>
        </is>
      </c>
      <c r="H131" t="inlineStr">
        <is>
          <t>00:00</t>
        </is>
      </c>
      <c r="I131" t="n">
        <v>0.25</v>
      </c>
      <c r="J131" t="inlineStr">
        <is>
          <t>Lunch</t>
        </is>
      </c>
      <c r="K131" t="inlineStr">
        <is>
          <t>03:00</t>
        </is>
      </c>
      <c r="L131" t="inlineStr">
        <is>
          <t>Sat</t>
        </is>
      </c>
      <c r="M131" t="inlineStr">
        <is>
          <t>03:00</t>
        </is>
      </c>
      <c r="N131" t="n">
        <v>0.5</v>
      </c>
      <c r="O131" t="inlineStr">
        <is>
          <t>Short 2</t>
        </is>
      </c>
      <c r="P131" t="inlineStr">
        <is>
          <t>05:15</t>
        </is>
      </c>
      <c r="Q131" t="inlineStr">
        <is>
          <t>Sat</t>
        </is>
      </c>
      <c r="R131" t="inlineStr">
        <is>
          <t>05:00</t>
        </is>
      </c>
      <c r="S131" t="n">
        <v>0.25</v>
      </c>
    </row>
    <row r="132">
      <c r="A132" t="n">
        <v>29</v>
      </c>
      <c r="B132" t="inlineStr">
        <is>
          <t>Sage Gebba</t>
        </is>
      </c>
      <c r="C132" t="inlineStr">
        <is>
          <t>Sat</t>
        </is>
      </c>
      <c r="D132" t="inlineStr">
        <is>
          <t>22:00 - 07:00</t>
        </is>
      </c>
    </row>
    <row r="133">
      <c r="A133" t="n">
        <v>30</v>
      </c>
      <c r="B133" t="inlineStr">
        <is>
          <t>Rewan Ansary</t>
        </is>
      </c>
      <c r="C133" t="inlineStr">
        <is>
          <t>Sun</t>
        </is>
      </c>
      <c r="D133" t="inlineStr">
        <is>
          <t>22:00 - 07:00</t>
        </is>
      </c>
      <c r="E133" t="inlineStr">
        <is>
          <t>Short 1</t>
        </is>
      </c>
      <c r="F133" t="inlineStr">
        <is>
          <t>00:15</t>
        </is>
      </c>
      <c r="G133" t="inlineStr">
        <is>
          <t>Mon</t>
        </is>
      </c>
      <c r="H133" t="inlineStr">
        <is>
          <t>00:00</t>
        </is>
      </c>
      <c r="I133" t="n">
        <v>0.25</v>
      </c>
      <c r="J133" t="inlineStr">
        <is>
          <t>Lunch</t>
        </is>
      </c>
      <c r="K133" t="inlineStr">
        <is>
          <t>03:00</t>
        </is>
      </c>
      <c r="L133" t="inlineStr">
        <is>
          <t>Mon</t>
        </is>
      </c>
      <c r="M133" t="inlineStr">
        <is>
          <t>03:00</t>
        </is>
      </c>
      <c r="N133" t="n">
        <v>0.5</v>
      </c>
      <c r="O133" t="inlineStr">
        <is>
          <t>Short 2</t>
        </is>
      </c>
      <c r="P133" t="inlineStr">
        <is>
          <t>05:15</t>
        </is>
      </c>
      <c r="Q133" t="inlineStr">
        <is>
          <t>Mon</t>
        </is>
      </c>
      <c r="R133" t="inlineStr">
        <is>
          <t>05:00</t>
        </is>
      </c>
      <c r="S133" t="n">
        <v>0.25</v>
      </c>
    </row>
    <row r="134">
      <c r="A134" t="n">
        <v>30</v>
      </c>
      <c r="B134" t="inlineStr">
        <is>
          <t>Rewan Ansary</t>
        </is>
      </c>
      <c r="C134" t="inlineStr">
        <is>
          <t>Mon</t>
        </is>
      </c>
      <c r="D134" t="inlineStr">
        <is>
          <t>22:00 - 07:00</t>
        </is>
      </c>
      <c r="E134" t="inlineStr">
        <is>
          <t>Short 1</t>
        </is>
      </c>
      <c r="F134" t="inlineStr">
        <is>
          <t>00:15</t>
        </is>
      </c>
      <c r="G134" t="inlineStr">
        <is>
          <t>Tue</t>
        </is>
      </c>
      <c r="H134" t="inlineStr">
        <is>
          <t>00:00</t>
        </is>
      </c>
      <c r="I134" t="n">
        <v>0.25</v>
      </c>
      <c r="J134" t="inlineStr">
        <is>
          <t>Lunch</t>
        </is>
      </c>
      <c r="K134" t="inlineStr">
        <is>
          <t>03:00</t>
        </is>
      </c>
      <c r="L134" t="inlineStr">
        <is>
          <t>Tue</t>
        </is>
      </c>
      <c r="M134" t="inlineStr">
        <is>
          <t>03:00</t>
        </is>
      </c>
      <c r="N134" t="n">
        <v>0.5</v>
      </c>
      <c r="O134" t="inlineStr">
        <is>
          <t>Short 2</t>
        </is>
      </c>
      <c r="P134" t="inlineStr">
        <is>
          <t>05:15</t>
        </is>
      </c>
      <c r="Q134" t="inlineStr">
        <is>
          <t>Tue</t>
        </is>
      </c>
      <c r="R134" t="inlineStr">
        <is>
          <t>05:00</t>
        </is>
      </c>
      <c r="S134" t="n">
        <v>0.25</v>
      </c>
    </row>
    <row r="135">
      <c r="A135" t="n">
        <v>30</v>
      </c>
      <c r="B135" t="inlineStr">
        <is>
          <t>Rewan Ansary</t>
        </is>
      </c>
      <c r="C135" t="inlineStr">
        <is>
          <t>Thu</t>
        </is>
      </c>
      <c r="D135" t="inlineStr">
        <is>
          <t>22:00 - 07:00</t>
        </is>
      </c>
      <c r="E135" t="inlineStr">
        <is>
          <t>Short 1</t>
        </is>
      </c>
      <c r="F135" t="inlineStr">
        <is>
          <t>00:15</t>
        </is>
      </c>
      <c r="G135" t="inlineStr">
        <is>
          <t>Fri</t>
        </is>
      </c>
      <c r="H135" t="inlineStr">
        <is>
          <t>00:00</t>
        </is>
      </c>
      <c r="I135" t="n">
        <v>0.25</v>
      </c>
      <c r="J135" t="inlineStr">
        <is>
          <t>Lunch</t>
        </is>
      </c>
      <c r="K135" t="inlineStr">
        <is>
          <t>03:00</t>
        </is>
      </c>
      <c r="L135" t="inlineStr">
        <is>
          <t>Fri</t>
        </is>
      </c>
      <c r="M135" t="inlineStr">
        <is>
          <t>03:00</t>
        </is>
      </c>
      <c r="N135" t="n">
        <v>0.5</v>
      </c>
      <c r="O135" t="inlineStr">
        <is>
          <t>Short 2</t>
        </is>
      </c>
      <c r="P135" t="inlineStr">
        <is>
          <t>05:15</t>
        </is>
      </c>
      <c r="Q135" t="inlineStr">
        <is>
          <t>Fri</t>
        </is>
      </c>
      <c r="R135" t="inlineStr">
        <is>
          <t>05:00</t>
        </is>
      </c>
      <c r="S135" t="n">
        <v>0.25</v>
      </c>
    </row>
    <row r="136">
      <c r="A136" t="n">
        <v>30</v>
      </c>
      <c r="B136" t="inlineStr">
        <is>
          <t>Rewan Ansary</t>
        </is>
      </c>
      <c r="C136" t="inlineStr">
        <is>
          <t>Fri</t>
        </is>
      </c>
      <c r="D136" t="inlineStr">
        <is>
          <t>22:00 - 07:00</t>
        </is>
      </c>
      <c r="E136" t="inlineStr">
        <is>
          <t>Short 1</t>
        </is>
      </c>
      <c r="F136" t="inlineStr">
        <is>
          <t>00:15</t>
        </is>
      </c>
      <c r="G136" t="inlineStr">
        <is>
          <t>Sat</t>
        </is>
      </c>
      <c r="H136" t="inlineStr">
        <is>
          <t>00:00</t>
        </is>
      </c>
      <c r="I136" t="n">
        <v>0.25</v>
      </c>
      <c r="J136" t="inlineStr">
        <is>
          <t>Lunch</t>
        </is>
      </c>
      <c r="K136" t="inlineStr">
        <is>
          <t>03:00</t>
        </is>
      </c>
      <c r="L136" t="inlineStr">
        <is>
          <t>Sat</t>
        </is>
      </c>
      <c r="M136" t="inlineStr">
        <is>
          <t>03:00</t>
        </is>
      </c>
      <c r="N136" t="n">
        <v>0.5</v>
      </c>
      <c r="O136" t="inlineStr">
        <is>
          <t>Short 2</t>
        </is>
      </c>
      <c r="P136" t="inlineStr">
        <is>
          <t>05:15</t>
        </is>
      </c>
      <c r="Q136" t="inlineStr">
        <is>
          <t>Sat</t>
        </is>
      </c>
      <c r="R136" t="inlineStr">
        <is>
          <t>05:00</t>
        </is>
      </c>
      <c r="S136" t="n">
        <v>0.25</v>
      </c>
    </row>
    <row r="137">
      <c r="A137" t="n">
        <v>30</v>
      </c>
      <c r="B137" t="inlineStr">
        <is>
          <t>Rewan Ansary</t>
        </is>
      </c>
      <c r="C137" t="inlineStr">
        <is>
          <t>Sat</t>
        </is>
      </c>
      <c r="D137" t="inlineStr">
        <is>
          <t>22:00 - 07:00</t>
        </is>
      </c>
    </row>
    <row r="138">
      <c r="A138" t="n">
        <v>31</v>
      </c>
      <c r="B138" t="inlineStr">
        <is>
          <t>Waleed Abdelmawgod</t>
        </is>
      </c>
      <c r="C138" t="inlineStr">
        <is>
          <t>Sun</t>
        </is>
      </c>
      <c r="D138" t="inlineStr">
        <is>
          <t>22:00 - 07:00</t>
        </is>
      </c>
      <c r="E138" t="inlineStr">
        <is>
          <t>Short 1</t>
        </is>
      </c>
      <c r="F138" t="inlineStr">
        <is>
          <t>00:15</t>
        </is>
      </c>
      <c r="G138" t="inlineStr">
        <is>
          <t>Mon</t>
        </is>
      </c>
      <c r="H138" t="inlineStr">
        <is>
          <t>00:00</t>
        </is>
      </c>
      <c r="I138" t="n">
        <v>0.25</v>
      </c>
      <c r="J138" t="inlineStr">
        <is>
          <t>Lunch</t>
        </is>
      </c>
      <c r="K138" t="inlineStr">
        <is>
          <t>03:00</t>
        </is>
      </c>
      <c r="L138" t="inlineStr">
        <is>
          <t>Mon</t>
        </is>
      </c>
      <c r="M138" t="inlineStr">
        <is>
          <t>03:00</t>
        </is>
      </c>
      <c r="N138" t="n">
        <v>0.5</v>
      </c>
      <c r="O138" t="inlineStr">
        <is>
          <t>Short 2</t>
        </is>
      </c>
      <c r="P138" t="inlineStr">
        <is>
          <t>05:15</t>
        </is>
      </c>
      <c r="Q138" t="inlineStr">
        <is>
          <t>Mon</t>
        </is>
      </c>
      <c r="R138" t="inlineStr">
        <is>
          <t>05:00</t>
        </is>
      </c>
      <c r="S138" t="n">
        <v>0.25</v>
      </c>
    </row>
    <row r="139">
      <c r="A139" t="n">
        <v>31</v>
      </c>
      <c r="B139" t="inlineStr">
        <is>
          <t>Waleed Abdelmawgod</t>
        </is>
      </c>
      <c r="C139" t="inlineStr">
        <is>
          <t>Mon</t>
        </is>
      </c>
      <c r="D139" t="inlineStr">
        <is>
          <t>22:00 - 07:00</t>
        </is>
      </c>
      <c r="E139" t="inlineStr">
        <is>
          <t>Short 1</t>
        </is>
      </c>
      <c r="F139" t="inlineStr">
        <is>
          <t>00:15</t>
        </is>
      </c>
      <c r="G139" t="inlineStr">
        <is>
          <t>Tue</t>
        </is>
      </c>
      <c r="H139" t="inlineStr">
        <is>
          <t>00:00</t>
        </is>
      </c>
      <c r="I139" t="n">
        <v>0.25</v>
      </c>
      <c r="J139" t="inlineStr">
        <is>
          <t>Lunch</t>
        </is>
      </c>
      <c r="K139" t="inlineStr">
        <is>
          <t>03:00</t>
        </is>
      </c>
      <c r="L139" t="inlineStr">
        <is>
          <t>Tue</t>
        </is>
      </c>
      <c r="M139" t="inlineStr">
        <is>
          <t>03:00</t>
        </is>
      </c>
      <c r="N139" t="n">
        <v>0.5</v>
      </c>
      <c r="O139" t="inlineStr">
        <is>
          <t>Short 2</t>
        </is>
      </c>
      <c r="P139" t="inlineStr">
        <is>
          <t>05:15</t>
        </is>
      </c>
      <c r="Q139" t="inlineStr">
        <is>
          <t>Tue</t>
        </is>
      </c>
      <c r="R139" t="inlineStr">
        <is>
          <t>05:00</t>
        </is>
      </c>
      <c r="S139" t="n">
        <v>0.25</v>
      </c>
    </row>
    <row r="140">
      <c r="A140" t="n">
        <v>31</v>
      </c>
      <c r="B140" t="inlineStr">
        <is>
          <t>Waleed Abdelmawgod</t>
        </is>
      </c>
      <c r="C140" t="inlineStr">
        <is>
          <t>Thu</t>
        </is>
      </c>
      <c r="D140" t="inlineStr">
        <is>
          <t>22:00 - 07:00</t>
        </is>
      </c>
      <c r="E140" t="inlineStr">
        <is>
          <t>Short 1</t>
        </is>
      </c>
      <c r="F140" t="inlineStr">
        <is>
          <t>00:15</t>
        </is>
      </c>
      <c r="G140" t="inlineStr">
        <is>
          <t>Fri</t>
        </is>
      </c>
      <c r="H140" t="inlineStr">
        <is>
          <t>00:00</t>
        </is>
      </c>
      <c r="I140" t="n">
        <v>0.25</v>
      </c>
      <c r="J140" t="inlineStr">
        <is>
          <t>Lunch</t>
        </is>
      </c>
      <c r="K140" t="inlineStr">
        <is>
          <t>03:00</t>
        </is>
      </c>
      <c r="L140" t="inlineStr">
        <is>
          <t>Fri</t>
        </is>
      </c>
      <c r="M140" t="inlineStr">
        <is>
          <t>03:00</t>
        </is>
      </c>
      <c r="N140" t="n">
        <v>0.5</v>
      </c>
      <c r="O140" t="inlineStr">
        <is>
          <t>Short 2</t>
        </is>
      </c>
      <c r="P140" t="inlineStr">
        <is>
          <t>05:15</t>
        </is>
      </c>
      <c r="Q140" t="inlineStr">
        <is>
          <t>Fri</t>
        </is>
      </c>
      <c r="R140" t="inlineStr">
        <is>
          <t>05:00</t>
        </is>
      </c>
      <c r="S140" t="n">
        <v>0.25</v>
      </c>
    </row>
    <row r="141">
      <c r="A141" t="n">
        <v>31</v>
      </c>
      <c r="B141" t="inlineStr">
        <is>
          <t>Waleed Abdelmawgod</t>
        </is>
      </c>
      <c r="C141" t="inlineStr">
        <is>
          <t>Fri</t>
        </is>
      </c>
      <c r="D141" t="inlineStr">
        <is>
          <t>22:00 - 07:00</t>
        </is>
      </c>
      <c r="E141" t="inlineStr">
        <is>
          <t>Short 1</t>
        </is>
      </c>
      <c r="F141" t="inlineStr">
        <is>
          <t>00:15</t>
        </is>
      </c>
      <c r="G141" t="inlineStr">
        <is>
          <t>Sat</t>
        </is>
      </c>
      <c r="H141" t="inlineStr">
        <is>
          <t>00:00</t>
        </is>
      </c>
      <c r="I141" t="n">
        <v>0.25</v>
      </c>
      <c r="J141" t="inlineStr">
        <is>
          <t>Lunch</t>
        </is>
      </c>
      <c r="K141" t="inlineStr">
        <is>
          <t>03:00</t>
        </is>
      </c>
      <c r="L141" t="inlineStr">
        <is>
          <t>Sat</t>
        </is>
      </c>
      <c r="M141" t="inlineStr">
        <is>
          <t>03:00</t>
        </is>
      </c>
      <c r="N141" t="n">
        <v>0.5</v>
      </c>
      <c r="O141" t="inlineStr">
        <is>
          <t>Short 2</t>
        </is>
      </c>
      <c r="P141" t="inlineStr">
        <is>
          <t>05:15</t>
        </is>
      </c>
      <c r="Q141" t="inlineStr">
        <is>
          <t>Sat</t>
        </is>
      </c>
      <c r="R141" t="inlineStr">
        <is>
          <t>05:00</t>
        </is>
      </c>
      <c r="S141" t="n">
        <v>0.25</v>
      </c>
    </row>
    <row r="142">
      <c r="A142" t="n">
        <v>31</v>
      </c>
      <c r="B142" t="inlineStr">
        <is>
          <t>Waleed Abdelmawgod</t>
        </is>
      </c>
      <c r="C142" t="inlineStr">
        <is>
          <t>Sat</t>
        </is>
      </c>
      <c r="D142" t="inlineStr">
        <is>
          <t>22:00 - 07:00</t>
        </is>
      </c>
    </row>
    <row r="143">
      <c r="A143" t="n">
        <v>32</v>
      </c>
      <c r="B143" t="inlineStr">
        <is>
          <t>Maha Khalil</t>
        </is>
      </c>
      <c r="C143" t="inlineStr">
        <is>
          <t>Sun</t>
        </is>
      </c>
      <c r="D143" t="inlineStr">
        <is>
          <t>22:00 - 07:00</t>
        </is>
      </c>
      <c r="E143" t="inlineStr">
        <is>
          <t>Short 1</t>
        </is>
      </c>
      <c r="F143" t="inlineStr">
        <is>
          <t>00:15</t>
        </is>
      </c>
      <c r="G143" t="inlineStr">
        <is>
          <t>Mon</t>
        </is>
      </c>
      <c r="H143" t="inlineStr">
        <is>
          <t>00:00</t>
        </is>
      </c>
      <c r="I143" t="n">
        <v>0.25</v>
      </c>
      <c r="J143" t="inlineStr">
        <is>
          <t>Lunch</t>
        </is>
      </c>
      <c r="K143" t="inlineStr">
        <is>
          <t>03:00</t>
        </is>
      </c>
      <c r="L143" t="inlineStr">
        <is>
          <t>Mon</t>
        </is>
      </c>
      <c r="M143" t="inlineStr">
        <is>
          <t>03:00</t>
        </is>
      </c>
      <c r="N143" t="n">
        <v>0.5</v>
      </c>
      <c r="O143" t="inlineStr">
        <is>
          <t>Short 2</t>
        </is>
      </c>
      <c r="P143" t="inlineStr">
        <is>
          <t>05:15</t>
        </is>
      </c>
      <c r="Q143" t="inlineStr">
        <is>
          <t>Mon</t>
        </is>
      </c>
      <c r="R143" t="inlineStr">
        <is>
          <t>05:00</t>
        </is>
      </c>
      <c r="S143" t="n">
        <v>0.25</v>
      </c>
    </row>
    <row r="144">
      <c r="A144" t="n">
        <v>32</v>
      </c>
      <c r="B144" t="inlineStr">
        <is>
          <t>Maha Khalil</t>
        </is>
      </c>
      <c r="C144" t="inlineStr">
        <is>
          <t>Mon</t>
        </is>
      </c>
      <c r="D144" t="inlineStr">
        <is>
          <t>22:00 - 07:00</t>
        </is>
      </c>
      <c r="E144" t="inlineStr">
        <is>
          <t>Short 1</t>
        </is>
      </c>
      <c r="F144" t="inlineStr">
        <is>
          <t>00:15</t>
        </is>
      </c>
      <c r="G144" t="inlineStr">
        <is>
          <t>Tue</t>
        </is>
      </c>
      <c r="H144" t="inlineStr">
        <is>
          <t>00:00</t>
        </is>
      </c>
      <c r="I144" t="n">
        <v>0.25</v>
      </c>
      <c r="J144" t="inlineStr">
        <is>
          <t>Lunch</t>
        </is>
      </c>
      <c r="K144" t="inlineStr">
        <is>
          <t>03:00</t>
        </is>
      </c>
      <c r="L144" t="inlineStr">
        <is>
          <t>Tue</t>
        </is>
      </c>
      <c r="M144" t="inlineStr">
        <is>
          <t>03:00</t>
        </is>
      </c>
      <c r="N144" t="n">
        <v>0.5</v>
      </c>
      <c r="O144" t="inlineStr">
        <is>
          <t>Short 2</t>
        </is>
      </c>
      <c r="P144" t="inlineStr">
        <is>
          <t>05:15</t>
        </is>
      </c>
      <c r="Q144" t="inlineStr">
        <is>
          <t>Tue</t>
        </is>
      </c>
      <c r="R144" t="inlineStr">
        <is>
          <t>05:00</t>
        </is>
      </c>
      <c r="S144" t="n">
        <v>0.25</v>
      </c>
    </row>
    <row r="145">
      <c r="A145" t="n">
        <v>32</v>
      </c>
      <c r="B145" t="inlineStr">
        <is>
          <t>Maha Khalil</t>
        </is>
      </c>
      <c r="C145" t="inlineStr">
        <is>
          <t>Thu</t>
        </is>
      </c>
      <c r="D145" t="inlineStr">
        <is>
          <t>22:00 - 07:00</t>
        </is>
      </c>
      <c r="E145" t="inlineStr">
        <is>
          <t>Short 1</t>
        </is>
      </c>
      <c r="F145" t="inlineStr">
        <is>
          <t>00:15</t>
        </is>
      </c>
      <c r="G145" t="inlineStr">
        <is>
          <t>Fri</t>
        </is>
      </c>
      <c r="H145" t="inlineStr">
        <is>
          <t>00:00</t>
        </is>
      </c>
      <c r="I145" t="n">
        <v>0.25</v>
      </c>
      <c r="J145" t="inlineStr">
        <is>
          <t>Lunch</t>
        </is>
      </c>
      <c r="K145" t="inlineStr">
        <is>
          <t>03:00</t>
        </is>
      </c>
      <c r="L145" t="inlineStr">
        <is>
          <t>Fri</t>
        </is>
      </c>
      <c r="M145" t="inlineStr">
        <is>
          <t>03:00</t>
        </is>
      </c>
      <c r="N145" t="n">
        <v>0.5</v>
      </c>
      <c r="O145" t="inlineStr">
        <is>
          <t>Short 2</t>
        </is>
      </c>
      <c r="P145" t="inlineStr">
        <is>
          <t>05:15</t>
        </is>
      </c>
      <c r="Q145" t="inlineStr">
        <is>
          <t>Fri</t>
        </is>
      </c>
      <c r="R145" t="inlineStr">
        <is>
          <t>05:00</t>
        </is>
      </c>
      <c r="S145" t="n">
        <v>0.25</v>
      </c>
    </row>
    <row r="146">
      <c r="A146" t="n">
        <v>32</v>
      </c>
      <c r="B146" t="inlineStr">
        <is>
          <t>Maha Khalil</t>
        </is>
      </c>
      <c r="C146" t="inlineStr">
        <is>
          <t>Fri</t>
        </is>
      </c>
      <c r="D146" t="inlineStr">
        <is>
          <t>22:00 - 07:00</t>
        </is>
      </c>
      <c r="E146" t="inlineStr">
        <is>
          <t>Short 1</t>
        </is>
      </c>
      <c r="F146" t="inlineStr">
        <is>
          <t>00:15</t>
        </is>
      </c>
      <c r="G146" t="inlineStr">
        <is>
          <t>Sat</t>
        </is>
      </c>
      <c r="H146" t="inlineStr">
        <is>
          <t>00:00</t>
        </is>
      </c>
      <c r="I146" t="n">
        <v>0.25</v>
      </c>
      <c r="J146" t="inlineStr">
        <is>
          <t>Lunch</t>
        </is>
      </c>
      <c r="K146" t="inlineStr">
        <is>
          <t>03:00</t>
        </is>
      </c>
      <c r="L146" t="inlineStr">
        <is>
          <t>Sat</t>
        </is>
      </c>
      <c r="M146" t="inlineStr">
        <is>
          <t>03:00</t>
        </is>
      </c>
      <c r="N146" t="n">
        <v>0.5</v>
      </c>
      <c r="O146" t="inlineStr">
        <is>
          <t>Short 2</t>
        </is>
      </c>
      <c r="P146" t="inlineStr">
        <is>
          <t>05:15</t>
        </is>
      </c>
      <c r="Q146" t="inlineStr">
        <is>
          <t>Sat</t>
        </is>
      </c>
      <c r="R146" t="inlineStr">
        <is>
          <t>05:00</t>
        </is>
      </c>
      <c r="S146" t="n">
        <v>0.25</v>
      </c>
    </row>
    <row r="147">
      <c r="A147" t="n">
        <v>32</v>
      </c>
      <c r="B147" t="inlineStr">
        <is>
          <t>Maha Khalil</t>
        </is>
      </c>
      <c r="C147" t="inlineStr">
        <is>
          <t>Sat</t>
        </is>
      </c>
      <c r="D147" t="inlineStr">
        <is>
          <t>22:00 - 07:00</t>
        </is>
      </c>
    </row>
    <row r="148">
      <c r="A148" t="n">
        <v>33</v>
      </c>
      <c r="B148" t="inlineStr">
        <is>
          <t>Brian Abdelhakim</t>
        </is>
      </c>
      <c r="C148" t="inlineStr">
        <is>
          <t>Sun</t>
        </is>
      </c>
      <c r="D148" t="inlineStr">
        <is>
          <t>15:00 - 00:00</t>
        </is>
      </c>
      <c r="E148" t="inlineStr">
        <is>
          <t>Short 1</t>
        </is>
      </c>
      <c r="F148" t="inlineStr">
        <is>
          <t>17:15</t>
        </is>
      </c>
      <c r="G148" t="inlineStr">
        <is>
          <t>Sun</t>
        </is>
      </c>
      <c r="H148" t="inlineStr">
        <is>
          <t>17:00</t>
        </is>
      </c>
      <c r="I148" t="n">
        <v>0.25</v>
      </c>
      <c r="J148" t="inlineStr">
        <is>
          <t>Lunch</t>
        </is>
      </c>
      <c r="K148" t="inlineStr">
        <is>
          <t>20:00</t>
        </is>
      </c>
      <c r="L148" t="inlineStr">
        <is>
          <t>Sun</t>
        </is>
      </c>
      <c r="M148" t="inlineStr">
        <is>
          <t>20:00</t>
        </is>
      </c>
      <c r="N148" t="n">
        <v>0.5</v>
      </c>
      <c r="O148" t="inlineStr">
        <is>
          <t>Short 2</t>
        </is>
      </c>
      <c r="P148" t="inlineStr">
        <is>
          <t>22:15</t>
        </is>
      </c>
      <c r="Q148" t="inlineStr">
        <is>
          <t>Sun</t>
        </is>
      </c>
      <c r="R148" t="inlineStr">
        <is>
          <t>22:00</t>
        </is>
      </c>
      <c r="S148" t="n">
        <v>0.25</v>
      </c>
    </row>
    <row r="149">
      <c r="A149" t="n">
        <v>33</v>
      </c>
      <c r="B149" t="inlineStr">
        <is>
          <t>Brian Abdelhakim</t>
        </is>
      </c>
      <c r="C149" t="inlineStr">
        <is>
          <t>Mon</t>
        </is>
      </c>
      <c r="D149" t="inlineStr">
        <is>
          <t>15:00 - 00:00</t>
        </is>
      </c>
      <c r="E149" t="inlineStr">
        <is>
          <t>Short 1</t>
        </is>
      </c>
      <c r="F149" t="inlineStr">
        <is>
          <t>17:15</t>
        </is>
      </c>
      <c r="G149" t="inlineStr">
        <is>
          <t>Mon</t>
        </is>
      </c>
      <c r="H149" t="inlineStr">
        <is>
          <t>17:00</t>
        </is>
      </c>
      <c r="I149" t="n">
        <v>0.25</v>
      </c>
      <c r="J149" t="inlineStr">
        <is>
          <t>Lunch</t>
        </is>
      </c>
      <c r="K149" t="inlineStr">
        <is>
          <t>20:00</t>
        </is>
      </c>
      <c r="L149" t="inlineStr">
        <is>
          <t>Mon</t>
        </is>
      </c>
      <c r="M149" t="inlineStr">
        <is>
          <t>20:00</t>
        </is>
      </c>
      <c r="N149" t="n">
        <v>0.5</v>
      </c>
      <c r="O149" t="inlineStr">
        <is>
          <t>Short 2</t>
        </is>
      </c>
      <c r="P149" t="inlineStr">
        <is>
          <t>22:15</t>
        </is>
      </c>
      <c r="Q149" t="inlineStr">
        <is>
          <t>Mon</t>
        </is>
      </c>
      <c r="R149" t="inlineStr">
        <is>
          <t>22:00</t>
        </is>
      </c>
      <c r="S149" t="n">
        <v>0.25</v>
      </c>
    </row>
    <row r="150">
      <c r="A150" t="n">
        <v>33</v>
      </c>
      <c r="B150" t="inlineStr">
        <is>
          <t>Brian Abdelhakim</t>
        </is>
      </c>
      <c r="C150" t="inlineStr">
        <is>
          <t>Tue</t>
        </is>
      </c>
      <c r="D150" t="inlineStr">
        <is>
          <t>15:00 - 00:00</t>
        </is>
      </c>
      <c r="E150" t="inlineStr">
        <is>
          <t>Short 1</t>
        </is>
      </c>
      <c r="F150" t="inlineStr">
        <is>
          <t>17:15</t>
        </is>
      </c>
      <c r="G150" t="inlineStr">
        <is>
          <t>Tue</t>
        </is>
      </c>
      <c r="H150" t="inlineStr">
        <is>
          <t>17:00</t>
        </is>
      </c>
      <c r="I150" t="n">
        <v>0.25</v>
      </c>
      <c r="J150" t="inlineStr">
        <is>
          <t>Lunch</t>
        </is>
      </c>
      <c r="K150" t="inlineStr">
        <is>
          <t>20:00</t>
        </is>
      </c>
      <c r="L150" t="inlineStr">
        <is>
          <t>Tue</t>
        </is>
      </c>
      <c r="M150" t="inlineStr">
        <is>
          <t>20:00</t>
        </is>
      </c>
      <c r="N150" t="n">
        <v>0.5</v>
      </c>
      <c r="O150" t="inlineStr">
        <is>
          <t>Short 2</t>
        </is>
      </c>
      <c r="P150" t="inlineStr">
        <is>
          <t>22:15</t>
        </is>
      </c>
      <c r="Q150" t="inlineStr">
        <is>
          <t>Tue</t>
        </is>
      </c>
      <c r="R150" t="inlineStr">
        <is>
          <t>22:00</t>
        </is>
      </c>
      <c r="S150" t="n">
        <v>0.25</v>
      </c>
    </row>
    <row r="151">
      <c r="A151" t="n">
        <v>33</v>
      </c>
      <c r="B151" t="inlineStr">
        <is>
          <t>Brian Abdelhakim</t>
        </is>
      </c>
      <c r="C151" t="inlineStr">
        <is>
          <t>Fri</t>
        </is>
      </c>
      <c r="D151" t="inlineStr">
        <is>
          <t>15:00 - 00:00</t>
        </is>
      </c>
      <c r="E151" t="inlineStr">
        <is>
          <t>Short 1</t>
        </is>
      </c>
      <c r="F151" t="inlineStr">
        <is>
          <t>17:15</t>
        </is>
      </c>
      <c r="G151" t="inlineStr">
        <is>
          <t>Fri</t>
        </is>
      </c>
      <c r="H151" t="inlineStr">
        <is>
          <t>17:00</t>
        </is>
      </c>
      <c r="I151" t="n">
        <v>0.25</v>
      </c>
      <c r="J151" t="inlineStr">
        <is>
          <t>Lunch</t>
        </is>
      </c>
      <c r="K151" t="inlineStr">
        <is>
          <t>20:00</t>
        </is>
      </c>
      <c r="L151" t="inlineStr">
        <is>
          <t>Fri</t>
        </is>
      </c>
      <c r="M151" t="inlineStr">
        <is>
          <t>20:00</t>
        </is>
      </c>
      <c r="N151" t="n">
        <v>0.5</v>
      </c>
      <c r="O151" t="inlineStr">
        <is>
          <t>Short 2</t>
        </is>
      </c>
      <c r="P151" t="inlineStr">
        <is>
          <t>22:15</t>
        </is>
      </c>
      <c r="Q151" t="inlineStr">
        <is>
          <t>Fri</t>
        </is>
      </c>
      <c r="R151" t="inlineStr">
        <is>
          <t>22:00</t>
        </is>
      </c>
      <c r="S151" t="n">
        <v>0.25</v>
      </c>
    </row>
    <row r="152">
      <c r="A152" t="n">
        <v>33</v>
      </c>
      <c r="B152" t="inlineStr">
        <is>
          <t>Brian Abdelhakim</t>
        </is>
      </c>
      <c r="C152" t="inlineStr">
        <is>
          <t>Sat</t>
        </is>
      </c>
      <c r="D152" t="inlineStr">
        <is>
          <t>15:00 - 00:00</t>
        </is>
      </c>
      <c r="E152" t="inlineStr">
        <is>
          <t>Short 1</t>
        </is>
      </c>
      <c r="F152" t="inlineStr">
        <is>
          <t>17:15</t>
        </is>
      </c>
      <c r="G152" t="inlineStr">
        <is>
          <t>Sat</t>
        </is>
      </c>
      <c r="H152" t="inlineStr">
        <is>
          <t>17:00</t>
        </is>
      </c>
      <c r="I152" t="n">
        <v>0.25</v>
      </c>
      <c r="J152" t="inlineStr">
        <is>
          <t>Lunch</t>
        </is>
      </c>
      <c r="K152" t="inlineStr">
        <is>
          <t>20:00</t>
        </is>
      </c>
      <c r="L152" t="inlineStr">
        <is>
          <t>Sat</t>
        </is>
      </c>
      <c r="M152" t="inlineStr">
        <is>
          <t>20:00</t>
        </is>
      </c>
      <c r="N152" t="n">
        <v>0.5</v>
      </c>
      <c r="O152" t="inlineStr">
        <is>
          <t>Short 2</t>
        </is>
      </c>
      <c r="P152" t="inlineStr">
        <is>
          <t>22:15</t>
        </is>
      </c>
      <c r="Q152" t="inlineStr">
        <is>
          <t>Sat</t>
        </is>
      </c>
      <c r="R152" t="inlineStr">
        <is>
          <t>22:00</t>
        </is>
      </c>
      <c r="S152" t="n">
        <v>0.25</v>
      </c>
    </row>
    <row r="153">
      <c r="A153" t="n">
        <v>34</v>
      </c>
      <c r="B153" t="inlineStr">
        <is>
          <t>Mentallah Eltohamy</t>
        </is>
      </c>
      <c r="C153" t="inlineStr">
        <is>
          <t>Sun</t>
        </is>
      </c>
      <c r="D153" t="inlineStr">
        <is>
          <t>15:00 - 00:00</t>
        </is>
      </c>
      <c r="E153" t="inlineStr">
        <is>
          <t>Short 1</t>
        </is>
      </c>
      <c r="F153" t="inlineStr">
        <is>
          <t>17:15</t>
        </is>
      </c>
      <c r="G153" t="inlineStr">
        <is>
          <t>Sun</t>
        </is>
      </c>
      <c r="H153" t="inlineStr">
        <is>
          <t>17:00</t>
        </is>
      </c>
      <c r="I153" t="n">
        <v>0.25</v>
      </c>
      <c r="J153" t="inlineStr">
        <is>
          <t>Lunch</t>
        </is>
      </c>
      <c r="K153" t="inlineStr">
        <is>
          <t>20:00</t>
        </is>
      </c>
      <c r="L153" t="inlineStr">
        <is>
          <t>Sun</t>
        </is>
      </c>
      <c r="M153" t="inlineStr">
        <is>
          <t>20:00</t>
        </is>
      </c>
      <c r="N153" t="n">
        <v>0.5</v>
      </c>
      <c r="O153" t="inlineStr">
        <is>
          <t>Short 2</t>
        </is>
      </c>
      <c r="P153" t="inlineStr">
        <is>
          <t>22:15</t>
        </is>
      </c>
      <c r="Q153" t="inlineStr">
        <is>
          <t>Sun</t>
        </is>
      </c>
      <c r="R153" t="inlineStr">
        <is>
          <t>22:00</t>
        </is>
      </c>
      <c r="S153" t="n">
        <v>0.25</v>
      </c>
    </row>
    <row r="154">
      <c r="A154" t="n">
        <v>34</v>
      </c>
      <c r="B154" t="inlineStr">
        <is>
          <t>Mentallah Eltohamy</t>
        </is>
      </c>
      <c r="C154" t="inlineStr">
        <is>
          <t>Mon</t>
        </is>
      </c>
      <c r="D154" t="inlineStr">
        <is>
          <t>15:00 - 00:00</t>
        </is>
      </c>
      <c r="E154" t="inlineStr">
        <is>
          <t>Short 1</t>
        </is>
      </c>
      <c r="F154" t="inlineStr">
        <is>
          <t>17:15</t>
        </is>
      </c>
      <c r="G154" t="inlineStr">
        <is>
          <t>Mon</t>
        </is>
      </c>
      <c r="H154" t="inlineStr">
        <is>
          <t>17:00</t>
        </is>
      </c>
      <c r="I154" t="n">
        <v>0.25</v>
      </c>
      <c r="J154" t="inlineStr">
        <is>
          <t>Lunch</t>
        </is>
      </c>
      <c r="K154" t="inlineStr">
        <is>
          <t>20:00</t>
        </is>
      </c>
      <c r="L154" t="inlineStr">
        <is>
          <t>Mon</t>
        </is>
      </c>
      <c r="M154" t="inlineStr">
        <is>
          <t>20:00</t>
        </is>
      </c>
      <c r="N154" t="n">
        <v>0.5</v>
      </c>
      <c r="O154" t="inlineStr">
        <is>
          <t>Short 2</t>
        </is>
      </c>
      <c r="P154" t="inlineStr">
        <is>
          <t>22:15</t>
        </is>
      </c>
      <c r="Q154" t="inlineStr">
        <is>
          <t>Mon</t>
        </is>
      </c>
      <c r="R154" t="inlineStr">
        <is>
          <t>22:00</t>
        </is>
      </c>
      <c r="S154" t="n">
        <v>0.25</v>
      </c>
    </row>
    <row r="155">
      <c r="A155" t="n">
        <v>34</v>
      </c>
      <c r="B155" t="inlineStr">
        <is>
          <t>Mentallah Eltohamy</t>
        </is>
      </c>
      <c r="C155" t="inlineStr">
        <is>
          <t>Tue</t>
        </is>
      </c>
      <c r="D155" t="inlineStr">
        <is>
          <t>15:00 - 00:00</t>
        </is>
      </c>
      <c r="E155" t="inlineStr">
        <is>
          <t>Short 1</t>
        </is>
      </c>
      <c r="F155" t="inlineStr">
        <is>
          <t>17:15</t>
        </is>
      </c>
      <c r="G155" t="inlineStr">
        <is>
          <t>Tue</t>
        </is>
      </c>
      <c r="H155" t="inlineStr">
        <is>
          <t>17:00</t>
        </is>
      </c>
      <c r="I155" t="n">
        <v>0.25</v>
      </c>
      <c r="J155" t="inlineStr">
        <is>
          <t>Lunch</t>
        </is>
      </c>
      <c r="K155" t="inlineStr">
        <is>
          <t>20:00</t>
        </is>
      </c>
      <c r="L155" t="inlineStr">
        <is>
          <t>Tue</t>
        </is>
      </c>
      <c r="M155" t="inlineStr">
        <is>
          <t>20:00</t>
        </is>
      </c>
      <c r="N155" t="n">
        <v>0.5</v>
      </c>
      <c r="O155" t="inlineStr">
        <is>
          <t>Short 2</t>
        </is>
      </c>
      <c r="P155" t="inlineStr">
        <is>
          <t>22:15</t>
        </is>
      </c>
      <c r="Q155" t="inlineStr">
        <is>
          <t>Tue</t>
        </is>
      </c>
      <c r="R155" t="inlineStr">
        <is>
          <t>22:00</t>
        </is>
      </c>
      <c r="S155" t="n">
        <v>0.25</v>
      </c>
    </row>
    <row r="156">
      <c r="A156" t="n">
        <v>34</v>
      </c>
      <c r="B156" t="inlineStr">
        <is>
          <t>Mentallah Eltohamy</t>
        </is>
      </c>
      <c r="C156" t="inlineStr">
        <is>
          <t>Fri</t>
        </is>
      </c>
      <c r="D156" t="inlineStr">
        <is>
          <t>15:00 - 00:00</t>
        </is>
      </c>
      <c r="E156" t="inlineStr">
        <is>
          <t>Short 1</t>
        </is>
      </c>
      <c r="F156" t="inlineStr">
        <is>
          <t>17:15</t>
        </is>
      </c>
      <c r="G156" t="inlineStr">
        <is>
          <t>Fri</t>
        </is>
      </c>
      <c r="H156" t="inlineStr">
        <is>
          <t>17:00</t>
        </is>
      </c>
      <c r="I156" t="n">
        <v>0.25</v>
      </c>
      <c r="J156" t="inlineStr">
        <is>
          <t>Lunch</t>
        </is>
      </c>
      <c r="K156" t="inlineStr">
        <is>
          <t>20:00</t>
        </is>
      </c>
      <c r="L156" t="inlineStr">
        <is>
          <t>Fri</t>
        </is>
      </c>
      <c r="M156" t="inlineStr">
        <is>
          <t>20:00</t>
        </is>
      </c>
      <c r="N156" t="n">
        <v>0.5</v>
      </c>
      <c r="O156" t="inlineStr">
        <is>
          <t>Short 2</t>
        </is>
      </c>
      <c r="P156" t="inlineStr">
        <is>
          <t>22:15</t>
        </is>
      </c>
      <c r="Q156" t="inlineStr">
        <is>
          <t>Fri</t>
        </is>
      </c>
      <c r="R156" t="inlineStr">
        <is>
          <t>22:00</t>
        </is>
      </c>
      <c r="S156" t="n">
        <v>0.25</v>
      </c>
    </row>
    <row r="157">
      <c r="A157" t="n">
        <v>34</v>
      </c>
      <c r="B157" t="inlineStr">
        <is>
          <t>Mentallah Eltohamy</t>
        </is>
      </c>
      <c r="C157" t="inlineStr">
        <is>
          <t>Sat</t>
        </is>
      </c>
      <c r="D157" t="inlineStr">
        <is>
          <t>15:00 - 00:00</t>
        </is>
      </c>
      <c r="E157" t="inlineStr">
        <is>
          <t>Short 1</t>
        </is>
      </c>
      <c r="F157" t="inlineStr">
        <is>
          <t>17:15</t>
        </is>
      </c>
      <c r="G157" t="inlineStr">
        <is>
          <t>Sat</t>
        </is>
      </c>
      <c r="H157" t="inlineStr">
        <is>
          <t>17:00</t>
        </is>
      </c>
      <c r="I157" t="n">
        <v>0.25</v>
      </c>
      <c r="J157" t="inlineStr">
        <is>
          <t>Lunch</t>
        </is>
      </c>
      <c r="K157" t="inlineStr">
        <is>
          <t>20:00</t>
        </is>
      </c>
      <c r="L157" t="inlineStr">
        <is>
          <t>Sat</t>
        </is>
      </c>
      <c r="M157" t="inlineStr">
        <is>
          <t>20:00</t>
        </is>
      </c>
      <c r="N157" t="n">
        <v>0.5</v>
      </c>
      <c r="O157" t="inlineStr">
        <is>
          <t>Short 2</t>
        </is>
      </c>
      <c r="P157" t="inlineStr">
        <is>
          <t>22:15</t>
        </is>
      </c>
      <c r="Q157" t="inlineStr">
        <is>
          <t>Sat</t>
        </is>
      </c>
      <c r="R157" t="inlineStr">
        <is>
          <t>22:00</t>
        </is>
      </c>
      <c r="S157" t="n">
        <v>0.25</v>
      </c>
    </row>
    <row r="158">
      <c r="A158" t="n">
        <v>35</v>
      </c>
      <c r="B158" t="inlineStr">
        <is>
          <t>Maryam Moghazy</t>
        </is>
      </c>
      <c r="C158" t="inlineStr">
        <is>
          <t>Sun</t>
        </is>
      </c>
      <c r="D158" t="inlineStr">
        <is>
          <t>15:00 - 00:00</t>
        </is>
      </c>
      <c r="E158" t="inlineStr">
        <is>
          <t>Short 1</t>
        </is>
      </c>
      <c r="F158" t="inlineStr">
        <is>
          <t>17:15</t>
        </is>
      </c>
      <c r="G158" t="inlineStr">
        <is>
          <t>Sun</t>
        </is>
      </c>
      <c r="H158" t="inlineStr">
        <is>
          <t>17:00</t>
        </is>
      </c>
      <c r="I158" t="n">
        <v>0.25</v>
      </c>
      <c r="J158" t="inlineStr">
        <is>
          <t>Lunch</t>
        </is>
      </c>
      <c r="K158" t="inlineStr">
        <is>
          <t>20:00</t>
        </is>
      </c>
      <c r="L158" t="inlineStr">
        <is>
          <t>Sun</t>
        </is>
      </c>
      <c r="M158" t="inlineStr">
        <is>
          <t>20:00</t>
        </is>
      </c>
      <c r="N158" t="n">
        <v>0.5</v>
      </c>
      <c r="O158" t="inlineStr">
        <is>
          <t>Short 2</t>
        </is>
      </c>
      <c r="P158" t="inlineStr">
        <is>
          <t>22:15</t>
        </is>
      </c>
      <c r="Q158" t="inlineStr">
        <is>
          <t>Sun</t>
        </is>
      </c>
      <c r="R158" t="inlineStr">
        <is>
          <t>22:00</t>
        </is>
      </c>
      <c r="S158" t="n">
        <v>0.25</v>
      </c>
    </row>
    <row r="159">
      <c r="A159" t="n">
        <v>35</v>
      </c>
      <c r="B159" t="inlineStr">
        <is>
          <t>Maryam Moghazy</t>
        </is>
      </c>
      <c r="C159" t="inlineStr">
        <is>
          <t>Mon</t>
        </is>
      </c>
      <c r="D159" t="inlineStr">
        <is>
          <t>15:00 - 00:00</t>
        </is>
      </c>
      <c r="E159" t="inlineStr">
        <is>
          <t>Short 1</t>
        </is>
      </c>
      <c r="F159" t="inlineStr">
        <is>
          <t>17:15</t>
        </is>
      </c>
      <c r="G159" t="inlineStr">
        <is>
          <t>Mon</t>
        </is>
      </c>
      <c r="H159" t="inlineStr">
        <is>
          <t>17:00</t>
        </is>
      </c>
      <c r="I159" t="n">
        <v>0.25</v>
      </c>
      <c r="J159" t="inlineStr">
        <is>
          <t>Lunch</t>
        </is>
      </c>
      <c r="K159" t="inlineStr">
        <is>
          <t>20:00</t>
        </is>
      </c>
      <c r="L159" t="inlineStr">
        <is>
          <t>Mon</t>
        </is>
      </c>
      <c r="M159" t="inlineStr">
        <is>
          <t>20:00</t>
        </is>
      </c>
      <c r="N159" t="n">
        <v>0.5</v>
      </c>
      <c r="O159" t="inlineStr">
        <is>
          <t>Short 2</t>
        </is>
      </c>
      <c r="P159" t="inlineStr">
        <is>
          <t>22:15</t>
        </is>
      </c>
      <c r="Q159" t="inlineStr">
        <is>
          <t>Mon</t>
        </is>
      </c>
      <c r="R159" t="inlineStr">
        <is>
          <t>22:00</t>
        </is>
      </c>
      <c r="S159" t="n">
        <v>0.25</v>
      </c>
    </row>
    <row r="160">
      <c r="A160" t="n">
        <v>35</v>
      </c>
      <c r="B160" t="inlineStr">
        <is>
          <t>Maryam Moghazy</t>
        </is>
      </c>
      <c r="C160" t="inlineStr">
        <is>
          <t>Tue</t>
        </is>
      </c>
      <c r="D160" t="inlineStr">
        <is>
          <t>15:00 - 00:00</t>
        </is>
      </c>
      <c r="E160" t="inlineStr">
        <is>
          <t>Short 1</t>
        </is>
      </c>
      <c r="F160" t="inlineStr">
        <is>
          <t>17:15</t>
        </is>
      </c>
      <c r="G160" t="inlineStr">
        <is>
          <t>Tue</t>
        </is>
      </c>
      <c r="H160" t="inlineStr">
        <is>
          <t>17:00</t>
        </is>
      </c>
      <c r="I160" t="n">
        <v>0.25</v>
      </c>
      <c r="J160" t="inlineStr">
        <is>
          <t>Lunch</t>
        </is>
      </c>
      <c r="K160" t="inlineStr">
        <is>
          <t>20:00</t>
        </is>
      </c>
      <c r="L160" t="inlineStr">
        <is>
          <t>Tue</t>
        </is>
      </c>
      <c r="M160" t="inlineStr">
        <is>
          <t>20:00</t>
        </is>
      </c>
      <c r="N160" t="n">
        <v>0.5</v>
      </c>
      <c r="O160" t="inlineStr">
        <is>
          <t>Short 2</t>
        </is>
      </c>
      <c r="P160" t="inlineStr">
        <is>
          <t>22:15</t>
        </is>
      </c>
      <c r="Q160" t="inlineStr">
        <is>
          <t>Tue</t>
        </is>
      </c>
      <c r="R160" t="inlineStr">
        <is>
          <t>22:00</t>
        </is>
      </c>
      <c r="S160" t="n">
        <v>0.25</v>
      </c>
    </row>
    <row r="161">
      <c r="A161" t="n">
        <v>35</v>
      </c>
      <c r="B161" t="inlineStr">
        <is>
          <t>Maryam Moghazy</t>
        </is>
      </c>
      <c r="C161" t="inlineStr">
        <is>
          <t>Wed</t>
        </is>
      </c>
      <c r="D161" t="inlineStr">
        <is>
          <t>15:00 - 00:00</t>
        </is>
      </c>
      <c r="E161" t="inlineStr">
        <is>
          <t>Short 1</t>
        </is>
      </c>
      <c r="F161" t="inlineStr">
        <is>
          <t>17:15</t>
        </is>
      </c>
      <c r="G161" t="inlineStr">
        <is>
          <t>Wed</t>
        </is>
      </c>
      <c r="H161" t="inlineStr">
        <is>
          <t>17:00</t>
        </is>
      </c>
      <c r="I161" t="n">
        <v>0.25</v>
      </c>
      <c r="J161" t="inlineStr">
        <is>
          <t>Lunch</t>
        </is>
      </c>
      <c r="K161" t="inlineStr">
        <is>
          <t>20:00</t>
        </is>
      </c>
      <c r="L161" t="inlineStr">
        <is>
          <t>Wed</t>
        </is>
      </c>
      <c r="M161" t="inlineStr">
        <is>
          <t>20:00</t>
        </is>
      </c>
      <c r="N161" t="n">
        <v>0.5</v>
      </c>
      <c r="O161" t="inlineStr">
        <is>
          <t>Short 2</t>
        </is>
      </c>
      <c r="P161" t="inlineStr">
        <is>
          <t>22:15</t>
        </is>
      </c>
      <c r="Q161" t="inlineStr">
        <is>
          <t>Wed</t>
        </is>
      </c>
      <c r="R161" t="inlineStr">
        <is>
          <t>22:00</t>
        </is>
      </c>
      <c r="S161" t="n">
        <v>0.25</v>
      </c>
    </row>
    <row r="162">
      <c r="A162" t="n">
        <v>35</v>
      </c>
      <c r="B162" t="inlineStr">
        <is>
          <t>Maryam Moghazy</t>
        </is>
      </c>
      <c r="C162" t="inlineStr">
        <is>
          <t>Sat</t>
        </is>
      </c>
      <c r="D162" t="inlineStr">
        <is>
          <t>15:00 - 00:00</t>
        </is>
      </c>
      <c r="E162" t="inlineStr">
        <is>
          <t>Short 1</t>
        </is>
      </c>
      <c r="F162" t="inlineStr">
        <is>
          <t>17:15</t>
        </is>
      </c>
      <c r="G162" t="inlineStr">
        <is>
          <t>Sat</t>
        </is>
      </c>
      <c r="H162" t="inlineStr">
        <is>
          <t>17:00</t>
        </is>
      </c>
      <c r="I162" t="n">
        <v>0.25</v>
      </c>
      <c r="J162" t="inlineStr">
        <is>
          <t>Lunch</t>
        </is>
      </c>
      <c r="K162" t="inlineStr">
        <is>
          <t>20:00</t>
        </is>
      </c>
      <c r="L162" t="inlineStr">
        <is>
          <t>Sat</t>
        </is>
      </c>
      <c r="M162" t="inlineStr">
        <is>
          <t>20:00</t>
        </is>
      </c>
      <c r="N162" t="n">
        <v>0.5</v>
      </c>
      <c r="O162" t="inlineStr">
        <is>
          <t>Short 2</t>
        </is>
      </c>
      <c r="P162" t="inlineStr">
        <is>
          <t>22:15</t>
        </is>
      </c>
      <c r="Q162" t="inlineStr">
        <is>
          <t>Sat</t>
        </is>
      </c>
      <c r="R162" t="inlineStr">
        <is>
          <t>22:00</t>
        </is>
      </c>
      <c r="S162" t="n">
        <v>0.25</v>
      </c>
    </row>
    <row r="163">
      <c r="A163" t="n">
        <v>36</v>
      </c>
      <c r="B163" t="inlineStr">
        <is>
          <t>Julie Rezkalla</t>
        </is>
      </c>
      <c r="C163" t="inlineStr">
        <is>
          <t>Sun</t>
        </is>
      </c>
      <c r="D163" t="inlineStr">
        <is>
          <t>19:00 - 04:00</t>
        </is>
      </c>
      <c r="E163" t="inlineStr">
        <is>
          <t>Short 1</t>
        </is>
      </c>
      <c r="F163" t="inlineStr">
        <is>
          <t>21:15</t>
        </is>
      </c>
      <c r="G163" t="inlineStr">
        <is>
          <t>Sun</t>
        </is>
      </c>
      <c r="H163" t="inlineStr">
        <is>
          <t>21:00</t>
        </is>
      </c>
      <c r="I163" t="n">
        <v>0.25</v>
      </c>
      <c r="J163" t="inlineStr">
        <is>
          <t>Lunch</t>
        </is>
      </c>
      <c r="K163" t="inlineStr">
        <is>
          <t>00:00</t>
        </is>
      </c>
      <c r="L163" t="inlineStr">
        <is>
          <t>Mon</t>
        </is>
      </c>
      <c r="M163" t="inlineStr">
        <is>
          <t>00:00</t>
        </is>
      </c>
      <c r="N163" t="n">
        <v>0.5</v>
      </c>
      <c r="O163" t="inlineStr">
        <is>
          <t>Short 2</t>
        </is>
      </c>
      <c r="P163" t="inlineStr">
        <is>
          <t>02:15</t>
        </is>
      </c>
      <c r="Q163" t="inlineStr">
        <is>
          <t>Mon</t>
        </is>
      </c>
      <c r="R163" t="inlineStr">
        <is>
          <t>02:00</t>
        </is>
      </c>
      <c r="S163" t="n">
        <v>0.25</v>
      </c>
    </row>
    <row r="164">
      <c r="A164" t="n">
        <v>36</v>
      </c>
      <c r="B164" t="inlineStr">
        <is>
          <t>Julie Rezkalla</t>
        </is>
      </c>
      <c r="C164" t="inlineStr">
        <is>
          <t>Mon</t>
        </is>
      </c>
      <c r="D164" t="inlineStr">
        <is>
          <t>19:00 - 04:00</t>
        </is>
      </c>
      <c r="E164" t="inlineStr">
        <is>
          <t>Short 1</t>
        </is>
      </c>
      <c r="F164" t="inlineStr">
        <is>
          <t>21:15</t>
        </is>
      </c>
      <c r="G164" t="inlineStr">
        <is>
          <t>Mon</t>
        </is>
      </c>
      <c r="H164" t="inlineStr">
        <is>
          <t>21:00</t>
        </is>
      </c>
      <c r="I164" t="n">
        <v>0.25</v>
      </c>
      <c r="J164" t="inlineStr">
        <is>
          <t>Lunch</t>
        </is>
      </c>
      <c r="K164" t="inlineStr">
        <is>
          <t>00:00</t>
        </is>
      </c>
      <c r="L164" t="inlineStr">
        <is>
          <t>Tue</t>
        </is>
      </c>
      <c r="M164" t="inlineStr">
        <is>
          <t>00:00</t>
        </is>
      </c>
      <c r="N164" t="n">
        <v>0.5</v>
      </c>
      <c r="O164" t="inlineStr">
        <is>
          <t>Short 2</t>
        </is>
      </c>
      <c r="P164" t="inlineStr">
        <is>
          <t>02:15</t>
        </is>
      </c>
      <c r="Q164" t="inlineStr">
        <is>
          <t>Tue</t>
        </is>
      </c>
      <c r="R164" t="inlineStr">
        <is>
          <t>02:00</t>
        </is>
      </c>
      <c r="S164" t="n">
        <v>0.25</v>
      </c>
    </row>
    <row r="165">
      <c r="A165" t="n">
        <v>36</v>
      </c>
      <c r="B165" t="inlineStr">
        <is>
          <t>Julie Rezkalla</t>
        </is>
      </c>
      <c r="C165" t="inlineStr">
        <is>
          <t>Tue</t>
        </is>
      </c>
      <c r="D165" t="inlineStr">
        <is>
          <t>19:00 - 04:00</t>
        </is>
      </c>
      <c r="E165" t="inlineStr">
        <is>
          <t>Short 1</t>
        </is>
      </c>
      <c r="F165" t="inlineStr">
        <is>
          <t>21:15</t>
        </is>
      </c>
      <c r="G165" t="inlineStr">
        <is>
          <t>Tue</t>
        </is>
      </c>
      <c r="H165" t="inlineStr">
        <is>
          <t>21:00</t>
        </is>
      </c>
      <c r="I165" t="n">
        <v>0.25</v>
      </c>
      <c r="J165" t="inlineStr">
        <is>
          <t>Lunch</t>
        </is>
      </c>
      <c r="K165" t="inlineStr">
        <is>
          <t>00:00</t>
        </is>
      </c>
      <c r="L165" t="inlineStr">
        <is>
          <t>Wed</t>
        </is>
      </c>
      <c r="M165" t="inlineStr">
        <is>
          <t>00:00</t>
        </is>
      </c>
      <c r="N165" t="n">
        <v>0.5</v>
      </c>
      <c r="O165" t="inlineStr">
        <is>
          <t>Short 2</t>
        </is>
      </c>
      <c r="P165" t="inlineStr">
        <is>
          <t>02:15</t>
        </is>
      </c>
      <c r="Q165" t="inlineStr">
        <is>
          <t>Wed</t>
        </is>
      </c>
      <c r="R165" t="inlineStr">
        <is>
          <t>02:00</t>
        </is>
      </c>
      <c r="S165" t="n">
        <v>0.25</v>
      </c>
    </row>
    <row r="166">
      <c r="A166" t="n">
        <v>36</v>
      </c>
      <c r="B166" t="inlineStr">
        <is>
          <t>Julie Rezkalla</t>
        </is>
      </c>
      <c r="C166" t="inlineStr">
        <is>
          <t>Wed</t>
        </is>
      </c>
      <c r="D166" t="inlineStr">
        <is>
          <t>19:00 - 04:00</t>
        </is>
      </c>
      <c r="E166" t="inlineStr">
        <is>
          <t>Short 1</t>
        </is>
      </c>
      <c r="F166" t="inlineStr">
        <is>
          <t>21:15</t>
        </is>
      </c>
      <c r="G166" t="inlineStr">
        <is>
          <t>Wed</t>
        </is>
      </c>
      <c r="H166" t="inlineStr">
        <is>
          <t>21:00</t>
        </is>
      </c>
      <c r="I166" t="n">
        <v>0.25</v>
      </c>
      <c r="J166" t="inlineStr">
        <is>
          <t>Lunch</t>
        </is>
      </c>
      <c r="K166" t="inlineStr">
        <is>
          <t>00:00</t>
        </is>
      </c>
      <c r="L166" t="inlineStr">
        <is>
          <t>Thu</t>
        </is>
      </c>
      <c r="M166" t="inlineStr">
        <is>
          <t>00:00</t>
        </is>
      </c>
      <c r="N166" t="n">
        <v>0.5</v>
      </c>
      <c r="O166" t="inlineStr">
        <is>
          <t>Short 2</t>
        </is>
      </c>
      <c r="P166" t="inlineStr">
        <is>
          <t>02:15</t>
        </is>
      </c>
      <c r="Q166" t="inlineStr">
        <is>
          <t>Thu</t>
        </is>
      </c>
      <c r="R166" t="inlineStr">
        <is>
          <t>02:00</t>
        </is>
      </c>
      <c r="S166" t="n">
        <v>0.25</v>
      </c>
    </row>
    <row r="167">
      <c r="A167" t="n">
        <v>36</v>
      </c>
      <c r="B167" t="inlineStr">
        <is>
          <t>Julie Rezkalla</t>
        </is>
      </c>
      <c r="C167" t="inlineStr">
        <is>
          <t>Sat</t>
        </is>
      </c>
      <c r="D167" t="inlineStr">
        <is>
          <t>19:00 - 04:00</t>
        </is>
      </c>
      <c r="E167" t="inlineStr">
        <is>
          <t>Short 1</t>
        </is>
      </c>
      <c r="F167" t="inlineStr">
        <is>
          <t>21:15</t>
        </is>
      </c>
      <c r="G167" t="inlineStr">
        <is>
          <t>Sat</t>
        </is>
      </c>
      <c r="H167" t="inlineStr">
        <is>
          <t>21:00</t>
        </is>
      </c>
      <c r="I167" t="n">
        <v>0.25</v>
      </c>
    </row>
    <row r="168">
      <c r="A168" t="n">
        <v>37</v>
      </c>
      <c r="B168" t="inlineStr">
        <is>
          <t>Yara ElSherbiny</t>
        </is>
      </c>
      <c r="C168" t="inlineStr">
        <is>
          <t>Sun</t>
        </is>
      </c>
      <c r="D168" t="inlineStr">
        <is>
          <t>20:00 - 05:00</t>
        </is>
      </c>
      <c r="E168" t="inlineStr">
        <is>
          <t>Short 1</t>
        </is>
      </c>
      <c r="F168" t="inlineStr">
        <is>
          <t>22:15</t>
        </is>
      </c>
      <c r="G168" t="inlineStr">
        <is>
          <t>Sun</t>
        </is>
      </c>
      <c r="H168" t="inlineStr">
        <is>
          <t>22:00</t>
        </is>
      </c>
      <c r="I168" t="n">
        <v>0.25</v>
      </c>
      <c r="J168" t="inlineStr">
        <is>
          <t>Lunch</t>
        </is>
      </c>
      <c r="K168" t="inlineStr">
        <is>
          <t>01:00</t>
        </is>
      </c>
      <c r="L168" t="inlineStr">
        <is>
          <t>Mon</t>
        </is>
      </c>
      <c r="M168" t="inlineStr">
        <is>
          <t>01:00</t>
        </is>
      </c>
      <c r="N168" t="n">
        <v>0.5</v>
      </c>
      <c r="O168" t="inlineStr">
        <is>
          <t>Short 2</t>
        </is>
      </c>
      <c r="P168" t="inlineStr">
        <is>
          <t>03:15</t>
        </is>
      </c>
      <c r="Q168" t="inlineStr">
        <is>
          <t>Mon</t>
        </is>
      </c>
      <c r="R168" t="inlineStr">
        <is>
          <t>03:00</t>
        </is>
      </c>
      <c r="S168" t="n">
        <v>0.25</v>
      </c>
    </row>
    <row r="169">
      <c r="A169" t="n">
        <v>37</v>
      </c>
      <c r="B169" t="inlineStr">
        <is>
          <t>Yara ElSherbiny</t>
        </is>
      </c>
      <c r="C169" t="inlineStr">
        <is>
          <t>Mon</t>
        </is>
      </c>
      <c r="D169" t="inlineStr">
        <is>
          <t>20:00 - 05:00</t>
        </is>
      </c>
      <c r="E169" t="inlineStr">
        <is>
          <t>Short 1</t>
        </is>
      </c>
      <c r="F169" t="inlineStr">
        <is>
          <t>22:15</t>
        </is>
      </c>
      <c r="G169" t="inlineStr">
        <is>
          <t>Mon</t>
        </is>
      </c>
      <c r="H169" t="inlineStr">
        <is>
          <t>22:00</t>
        </is>
      </c>
      <c r="I169" t="n">
        <v>0.25</v>
      </c>
      <c r="J169" t="inlineStr">
        <is>
          <t>Lunch</t>
        </is>
      </c>
      <c r="K169" t="inlineStr">
        <is>
          <t>01:00</t>
        </is>
      </c>
      <c r="L169" t="inlineStr">
        <is>
          <t>Tue</t>
        </is>
      </c>
      <c r="M169" t="inlineStr">
        <is>
          <t>01:00</t>
        </is>
      </c>
      <c r="N169" t="n">
        <v>0.5</v>
      </c>
      <c r="O169" t="inlineStr">
        <is>
          <t>Short 2</t>
        </is>
      </c>
      <c r="P169" t="inlineStr">
        <is>
          <t>03:15</t>
        </is>
      </c>
      <c r="Q169" t="inlineStr">
        <is>
          <t>Tue</t>
        </is>
      </c>
      <c r="R169" t="inlineStr">
        <is>
          <t>03:00</t>
        </is>
      </c>
      <c r="S169" t="n">
        <v>0.25</v>
      </c>
    </row>
    <row r="170">
      <c r="A170" t="n">
        <v>37</v>
      </c>
      <c r="B170" t="inlineStr">
        <is>
          <t>Yara ElSherbiny</t>
        </is>
      </c>
      <c r="C170" t="inlineStr">
        <is>
          <t>Tue</t>
        </is>
      </c>
      <c r="D170" t="inlineStr">
        <is>
          <t>20:00 - 05:00</t>
        </is>
      </c>
      <c r="E170" t="inlineStr">
        <is>
          <t>Short 1</t>
        </is>
      </c>
      <c r="F170" t="inlineStr">
        <is>
          <t>22:15</t>
        </is>
      </c>
      <c r="G170" t="inlineStr">
        <is>
          <t>Tue</t>
        </is>
      </c>
      <c r="H170" t="inlineStr">
        <is>
          <t>22:00</t>
        </is>
      </c>
      <c r="I170" t="n">
        <v>0.25</v>
      </c>
      <c r="J170" t="inlineStr">
        <is>
          <t>Lunch</t>
        </is>
      </c>
      <c r="K170" t="inlineStr">
        <is>
          <t>01:00</t>
        </is>
      </c>
      <c r="L170" t="inlineStr">
        <is>
          <t>Wed</t>
        </is>
      </c>
      <c r="M170" t="inlineStr">
        <is>
          <t>01:00</t>
        </is>
      </c>
      <c r="N170" t="n">
        <v>0.5</v>
      </c>
      <c r="O170" t="inlineStr">
        <is>
          <t>Short 2</t>
        </is>
      </c>
      <c r="P170" t="inlineStr">
        <is>
          <t>03:15</t>
        </is>
      </c>
      <c r="Q170" t="inlineStr">
        <is>
          <t>Wed</t>
        </is>
      </c>
      <c r="R170" t="inlineStr">
        <is>
          <t>03:00</t>
        </is>
      </c>
      <c r="S170" t="n">
        <v>0.25</v>
      </c>
    </row>
    <row r="171">
      <c r="A171" t="n">
        <v>37</v>
      </c>
      <c r="B171" t="inlineStr">
        <is>
          <t>Yara ElSherbiny</t>
        </is>
      </c>
      <c r="C171" t="inlineStr">
        <is>
          <t>Wed</t>
        </is>
      </c>
      <c r="D171" t="inlineStr">
        <is>
          <t>20:00 - 05:00</t>
        </is>
      </c>
      <c r="E171" t="inlineStr">
        <is>
          <t>Short 1</t>
        </is>
      </c>
      <c r="F171" t="inlineStr">
        <is>
          <t>22:15</t>
        </is>
      </c>
      <c r="G171" t="inlineStr">
        <is>
          <t>Wed</t>
        </is>
      </c>
      <c r="H171" t="inlineStr">
        <is>
          <t>22:00</t>
        </is>
      </c>
      <c r="I171" t="n">
        <v>0.25</v>
      </c>
      <c r="J171" t="inlineStr">
        <is>
          <t>Lunch</t>
        </is>
      </c>
      <c r="K171" t="inlineStr">
        <is>
          <t>01:00</t>
        </is>
      </c>
      <c r="L171" t="inlineStr">
        <is>
          <t>Thu</t>
        </is>
      </c>
      <c r="M171" t="inlineStr">
        <is>
          <t>01:00</t>
        </is>
      </c>
      <c r="N171" t="n">
        <v>0.5</v>
      </c>
      <c r="O171" t="inlineStr">
        <is>
          <t>Short 2</t>
        </is>
      </c>
      <c r="P171" t="inlineStr">
        <is>
          <t>03:15</t>
        </is>
      </c>
      <c r="Q171" t="inlineStr">
        <is>
          <t>Thu</t>
        </is>
      </c>
      <c r="R171" t="inlineStr">
        <is>
          <t>03:00</t>
        </is>
      </c>
      <c r="S171" t="n">
        <v>0.25</v>
      </c>
    </row>
    <row r="172">
      <c r="A172" t="n">
        <v>37</v>
      </c>
      <c r="B172" t="inlineStr">
        <is>
          <t>Yara ElSherbiny</t>
        </is>
      </c>
      <c r="C172" t="inlineStr">
        <is>
          <t>Sat</t>
        </is>
      </c>
      <c r="D172" t="inlineStr">
        <is>
          <t>20:00 - 05:00</t>
        </is>
      </c>
      <c r="E172" t="inlineStr">
        <is>
          <t>Short 1</t>
        </is>
      </c>
      <c r="F172" t="inlineStr">
        <is>
          <t>22:15</t>
        </is>
      </c>
      <c r="G172" t="inlineStr">
        <is>
          <t>Sat</t>
        </is>
      </c>
      <c r="H172" t="inlineStr">
        <is>
          <t>22:00</t>
        </is>
      </c>
      <c r="I172" t="n">
        <v>0.25</v>
      </c>
    </row>
    <row r="173">
      <c r="A173" t="n">
        <v>38</v>
      </c>
      <c r="B173" t="inlineStr">
        <is>
          <t>Alice Aly</t>
        </is>
      </c>
      <c r="C173" t="inlineStr">
        <is>
          <t>Sun</t>
        </is>
      </c>
      <c r="D173" t="inlineStr">
        <is>
          <t>22:00 - 07:00</t>
        </is>
      </c>
      <c r="E173" t="inlineStr">
        <is>
          <t>Short 1</t>
        </is>
      </c>
      <c r="F173" t="inlineStr">
        <is>
          <t>00:15</t>
        </is>
      </c>
      <c r="G173" t="inlineStr">
        <is>
          <t>Mon</t>
        </is>
      </c>
      <c r="H173" t="inlineStr">
        <is>
          <t>00:00</t>
        </is>
      </c>
      <c r="I173" t="n">
        <v>0.25</v>
      </c>
      <c r="J173" t="inlineStr">
        <is>
          <t>Lunch</t>
        </is>
      </c>
      <c r="K173" t="inlineStr">
        <is>
          <t>03:00</t>
        </is>
      </c>
      <c r="L173" t="inlineStr">
        <is>
          <t>Mon</t>
        </is>
      </c>
      <c r="M173" t="inlineStr">
        <is>
          <t>03:00</t>
        </is>
      </c>
      <c r="N173" t="n">
        <v>0.5</v>
      </c>
      <c r="O173" t="inlineStr">
        <is>
          <t>Short 2</t>
        </is>
      </c>
      <c r="P173" t="inlineStr">
        <is>
          <t>05:15</t>
        </is>
      </c>
      <c r="Q173" t="inlineStr">
        <is>
          <t>Mon</t>
        </is>
      </c>
      <c r="R173" t="inlineStr">
        <is>
          <t>05:00</t>
        </is>
      </c>
      <c r="S173" t="n">
        <v>0.25</v>
      </c>
    </row>
    <row r="174">
      <c r="A174" t="n">
        <v>38</v>
      </c>
      <c r="B174" t="inlineStr">
        <is>
          <t>Alice Aly</t>
        </is>
      </c>
      <c r="C174" t="inlineStr">
        <is>
          <t>Mon</t>
        </is>
      </c>
      <c r="D174" t="inlineStr">
        <is>
          <t>22:00 - 07:00</t>
        </is>
      </c>
      <c r="E174" t="inlineStr">
        <is>
          <t>Short 1</t>
        </is>
      </c>
      <c r="F174" t="inlineStr">
        <is>
          <t>00:15</t>
        </is>
      </c>
      <c r="G174" t="inlineStr">
        <is>
          <t>Tue</t>
        </is>
      </c>
      <c r="H174" t="inlineStr">
        <is>
          <t>00:00</t>
        </is>
      </c>
      <c r="I174" t="n">
        <v>0.25</v>
      </c>
      <c r="J174" t="inlineStr">
        <is>
          <t>Lunch</t>
        </is>
      </c>
      <c r="K174" t="inlineStr">
        <is>
          <t>03:00</t>
        </is>
      </c>
      <c r="L174" t="inlineStr">
        <is>
          <t>Tue</t>
        </is>
      </c>
      <c r="M174" t="inlineStr">
        <is>
          <t>03:00</t>
        </is>
      </c>
      <c r="N174" t="n">
        <v>0.5</v>
      </c>
      <c r="O174" t="inlineStr">
        <is>
          <t>Short 2</t>
        </is>
      </c>
      <c r="P174" t="inlineStr">
        <is>
          <t>05:15</t>
        </is>
      </c>
      <c r="Q174" t="inlineStr">
        <is>
          <t>Tue</t>
        </is>
      </c>
      <c r="R174" t="inlineStr">
        <is>
          <t>05:00</t>
        </is>
      </c>
      <c r="S174" t="n">
        <v>0.25</v>
      </c>
    </row>
    <row r="175">
      <c r="A175" t="n">
        <v>38</v>
      </c>
      <c r="B175" t="inlineStr">
        <is>
          <t>Alice Aly</t>
        </is>
      </c>
      <c r="C175" t="inlineStr">
        <is>
          <t>Tue</t>
        </is>
      </c>
      <c r="D175" t="inlineStr">
        <is>
          <t>22:00 - 07:00</t>
        </is>
      </c>
      <c r="E175" t="inlineStr">
        <is>
          <t>Short 1</t>
        </is>
      </c>
      <c r="F175" t="inlineStr">
        <is>
          <t>00:15</t>
        </is>
      </c>
      <c r="G175" t="inlineStr">
        <is>
          <t>Wed</t>
        </is>
      </c>
      <c r="H175" t="inlineStr">
        <is>
          <t>00:00</t>
        </is>
      </c>
      <c r="I175" t="n">
        <v>0.25</v>
      </c>
      <c r="J175" t="inlineStr">
        <is>
          <t>Lunch</t>
        </is>
      </c>
      <c r="K175" t="inlineStr">
        <is>
          <t>03:00</t>
        </is>
      </c>
      <c r="L175" t="inlineStr">
        <is>
          <t>Wed</t>
        </is>
      </c>
      <c r="M175" t="inlineStr">
        <is>
          <t>03:00</t>
        </is>
      </c>
      <c r="N175" t="n">
        <v>0.5</v>
      </c>
      <c r="O175" t="inlineStr">
        <is>
          <t>Short 2</t>
        </is>
      </c>
      <c r="P175" t="inlineStr">
        <is>
          <t>05:15</t>
        </is>
      </c>
      <c r="Q175" t="inlineStr">
        <is>
          <t>Wed</t>
        </is>
      </c>
      <c r="R175" t="inlineStr">
        <is>
          <t>05:00</t>
        </is>
      </c>
      <c r="S175" t="n">
        <v>0.25</v>
      </c>
    </row>
    <row r="176">
      <c r="A176" t="n">
        <v>38</v>
      </c>
      <c r="B176" t="inlineStr">
        <is>
          <t>Alice Aly</t>
        </is>
      </c>
      <c r="C176" t="inlineStr">
        <is>
          <t>Wed</t>
        </is>
      </c>
      <c r="D176" t="inlineStr">
        <is>
          <t>22:00 - 07:00</t>
        </is>
      </c>
      <c r="E176" t="inlineStr">
        <is>
          <t>Short 1</t>
        </is>
      </c>
      <c r="F176" t="inlineStr">
        <is>
          <t>00:15</t>
        </is>
      </c>
      <c r="G176" t="inlineStr">
        <is>
          <t>Thu</t>
        </is>
      </c>
      <c r="H176" t="inlineStr">
        <is>
          <t>00:00</t>
        </is>
      </c>
      <c r="I176" t="n">
        <v>0.25</v>
      </c>
      <c r="J176" t="inlineStr">
        <is>
          <t>Lunch</t>
        </is>
      </c>
      <c r="K176" t="inlineStr">
        <is>
          <t>03:00</t>
        </is>
      </c>
      <c r="L176" t="inlineStr">
        <is>
          <t>Thu</t>
        </is>
      </c>
      <c r="M176" t="inlineStr">
        <is>
          <t>03:00</t>
        </is>
      </c>
      <c r="N176" t="n">
        <v>0.5</v>
      </c>
      <c r="O176" t="inlineStr">
        <is>
          <t>Short 2</t>
        </is>
      </c>
      <c r="P176" t="inlineStr">
        <is>
          <t>05:15</t>
        </is>
      </c>
      <c r="Q176" t="inlineStr">
        <is>
          <t>Thu</t>
        </is>
      </c>
      <c r="R176" t="inlineStr">
        <is>
          <t>05:00</t>
        </is>
      </c>
      <c r="S176" t="n">
        <v>0.25</v>
      </c>
    </row>
    <row r="177">
      <c r="A177" t="n">
        <v>38</v>
      </c>
      <c r="B177" t="inlineStr">
        <is>
          <t>Alice Aly</t>
        </is>
      </c>
      <c r="C177" t="inlineStr">
        <is>
          <t>Sat</t>
        </is>
      </c>
      <c r="D177" t="inlineStr">
        <is>
          <t>22:00 - 07:00</t>
        </is>
      </c>
    </row>
    <row r="178">
      <c r="A178" t="n">
        <v>39</v>
      </c>
      <c r="B178" t="inlineStr">
        <is>
          <t>Hager Fikry</t>
        </is>
      </c>
      <c r="C178" t="inlineStr">
        <is>
          <t>Sun</t>
        </is>
      </c>
      <c r="D178" t="inlineStr">
        <is>
          <t>22:00 - 07:00</t>
        </is>
      </c>
      <c r="E178" t="inlineStr">
        <is>
          <t>Short 1</t>
        </is>
      </c>
      <c r="F178" t="inlineStr">
        <is>
          <t>00:15</t>
        </is>
      </c>
      <c r="G178" t="inlineStr">
        <is>
          <t>Mon</t>
        </is>
      </c>
      <c r="H178" t="inlineStr">
        <is>
          <t>00:00</t>
        </is>
      </c>
      <c r="I178" t="n">
        <v>0.25</v>
      </c>
      <c r="J178" t="inlineStr">
        <is>
          <t>Lunch</t>
        </is>
      </c>
      <c r="K178" t="inlineStr">
        <is>
          <t>03:00</t>
        </is>
      </c>
      <c r="L178" t="inlineStr">
        <is>
          <t>Mon</t>
        </is>
      </c>
      <c r="M178" t="inlineStr">
        <is>
          <t>03:00</t>
        </is>
      </c>
      <c r="N178" t="n">
        <v>0.5</v>
      </c>
      <c r="O178" t="inlineStr">
        <is>
          <t>Short 2</t>
        </is>
      </c>
      <c r="P178" t="inlineStr">
        <is>
          <t>05:15</t>
        </is>
      </c>
      <c r="Q178" t="inlineStr">
        <is>
          <t>Mon</t>
        </is>
      </c>
      <c r="R178" t="inlineStr">
        <is>
          <t>05:00</t>
        </is>
      </c>
      <c r="S178" t="n">
        <v>0.25</v>
      </c>
    </row>
    <row r="179">
      <c r="A179" t="n">
        <v>39</v>
      </c>
      <c r="B179" t="inlineStr">
        <is>
          <t>Hager Fikry</t>
        </is>
      </c>
      <c r="C179" t="inlineStr">
        <is>
          <t>Mon</t>
        </is>
      </c>
      <c r="D179" t="inlineStr">
        <is>
          <t>22:00 - 07:00</t>
        </is>
      </c>
      <c r="E179" t="inlineStr">
        <is>
          <t>Short 1</t>
        </is>
      </c>
      <c r="F179" t="inlineStr">
        <is>
          <t>00:15</t>
        </is>
      </c>
      <c r="G179" t="inlineStr">
        <is>
          <t>Tue</t>
        </is>
      </c>
      <c r="H179" t="inlineStr">
        <is>
          <t>00:00</t>
        </is>
      </c>
      <c r="I179" t="n">
        <v>0.25</v>
      </c>
      <c r="J179" t="inlineStr">
        <is>
          <t>Lunch</t>
        </is>
      </c>
      <c r="K179" t="inlineStr">
        <is>
          <t>03:00</t>
        </is>
      </c>
      <c r="L179" t="inlineStr">
        <is>
          <t>Tue</t>
        </is>
      </c>
      <c r="M179" t="inlineStr">
        <is>
          <t>03:00</t>
        </is>
      </c>
      <c r="N179" t="n">
        <v>0.5</v>
      </c>
      <c r="O179" t="inlineStr">
        <is>
          <t>Short 2</t>
        </is>
      </c>
      <c r="P179" t="inlineStr">
        <is>
          <t>05:15</t>
        </is>
      </c>
      <c r="Q179" t="inlineStr">
        <is>
          <t>Tue</t>
        </is>
      </c>
      <c r="R179" t="inlineStr">
        <is>
          <t>05:00</t>
        </is>
      </c>
      <c r="S179" t="n">
        <v>0.25</v>
      </c>
    </row>
    <row r="180">
      <c r="A180" t="n">
        <v>39</v>
      </c>
      <c r="B180" t="inlineStr">
        <is>
          <t>Hager Fikry</t>
        </is>
      </c>
      <c r="C180" t="inlineStr">
        <is>
          <t>Tue</t>
        </is>
      </c>
      <c r="D180" t="inlineStr">
        <is>
          <t>22:00 - 07:00</t>
        </is>
      </c>
      <c r="E180" t="inlineStr">
        <is>
          <t>Short 1</t>
        </is>
      </c>
      <c r="F180" t="inlineStr">
        <is>
          <t>00:15</t>
        </is>
      </c>
      <c r="G180" t="inlineStr">
        <is>
          <t>Wed</t>
        </is>
      </c>
      <c r="H180" t="inlineStr">
        <is>
          <t>00:00</t>
        </is>
      </c>
      <c r="I180" t="n">
        <v>0.25</v>
      </c>
      <c r="J180" t="inlineStr">
        <is>
          <t>Lunch</t>
        </is>
      </c>
      <c r="K180" t="inlineStr">
        <is>
          <t>03:00</t>
        </is>
      </c>
      <c r="L180" t="inlineStr">
        <is>
          <t>Wed</t>
        </is>
      </c>
      <c r="M180" t="inlineStr">
        <is>
          <t>03:00</t>
        </is>
      </c>
      <c r="N180" t="n">
        <v>0.5</v>
      </c>
      <c r="O180" t="inlineStr">
        <is>
          <t>Short 2</t>
        </is>
      </c>
      <c r="P180" t="inlineStr">
        <is>
          <t>05:15</t>
        </is>
      </c>
      <c r="Q180" t="inlineStr">
        <is>
          <t>Wed</t>
        </is>
      </c>
      <c r="R180" t="inlineStr">
        <is>
          <t>05:00</t>
        </is>
      </c>
      <c r="S180" t="n">
        <v>0.25</v>
      </c>
    </row>
    <row r="181">
      <c r="A181" t="n">
        <v>39</v>
      </c>
      <c r="B181" t="inlineStr">
        <is>
          <t>Hager Fikry</t>
        </is>
      </c>
      <c r="C181" t="inlineStr">
        <is>
          <t>Wed</t>
        </is>
      </c>
      <c r="D181" t="inlineStr">
        <is>
          <t>22:00 - 07:00</t>
        </is>
      </c>
      <c r="E181" t="inlineStr">
        <is>
          <t>Short 1</t>
        </is>
      </c>
      <c r="F181" t="inlineStr">
        <is>
          <t>00:15</t>
        </is>
      </c>
      <c r="G181" t="inlineStr">
        <is>
          <t>Thu</t>
        </is>
      </c>
      <c r="H181" t="inlineStr">
        <is>
          <t>00:00</t>
        </is>
      </c>
      <c r="I181" t="n">
        <v>0.25</v>
      </c>
      <c r="J181" t="inlineStr">
        <is>
          <t>Lunch</t>
        </is>
      </c>
      <c r="K181" t="inlineStr">
        <is>
          <t>03:00</t>
        </is>
      </c>
      <c r="L181" t="inlineStr">
        <is>
          <t>Thu</t>
        </is>
      </c>
      <c r="M181" t="inlineStr">
        <is>
          <t>03:00</t>
        </is>
      </c>
      <c r="N181" t="n">
        <v>0.5</v>
      </c>
      <c r="O181" t="inlineStr">
        <is>
          <t>Short 2</t>
        </is>
      </c>
      <c r="P181" t="inlineStr">
        <is>
          <t>05:15</t>
        </is>
      </c>
      <c r="Q181" t="inlineStr">
        <is>
          <t>Thu</t>
        </is>
      </c>
      <c r="R181" t="inlineStr">
        <is>
          <t>05:00</t>
        </is>
      </c>
      <c r="S181" t="n">
        <v>0.25</v>
      </c>
    </row>
    <row r="182">
      <c r="A182" t="n">
        <v>39</v>
      </c>
      <c r="B182" t="inlineStr">
        <is>
          <t>Hager Fikry</t>
        </is>
      </c>
      <c r="C182" t="inlineStr">
        <is>
          <t>Sat</t>
        </is>
      </c>
      <c r="D182" t="inlineStr">
        <is>
          <t>22:00 - 07:00</t>
        </is>
      </c>
    </row>
    <row r="183">
      <c r="A183" t="n">
        <v>40</v>
      </c>
      <c r="B183" t="inlineStr">
        <is>
          <t>Wayne Hazem</t>
        </is>
      </c>
      <c r="C183" t="inlineStr">
        <is>
          <t>Sun</t>
        </is>
      </c>
      <c r="D183" t="inlineStr">
        <is>
          <t>15:00 - 00:00</t>
        </is>
      </c>
      <c r="E183" t="inlineStr">
        <is>
          <t>Short 1</t>
        </is>
      </c>
      <c r="F183" t="inlineStr">
        <is>
          <t>17:15</t>
        </is>
      </c>
      <c r="G183" t="inlineStr">
        <is>
          <t>Sun</t>
        </is>
      </c>
      <c r="H183" t="inlineStr">
        <is>
          <t>17:00</t>
        </is>
      </c>
      <c r="I183" t="n">
        <v>0.25</v>
      </c>
      <c r="J183" t="inlineStr">
        <is>
          <t>Lunch</t>
        </is>
      </c>
      <c r="K183" t="inlineStr">
        <is>
          <t>20:00</t>
        </is>
      </c>
      <c r="L183" t="inlineStr">
        <is>
          <t>Sun</t>
        </is>
      </c>
      <c r="M183" t="inlineStr">
        <is>
          <t>20:00</t>
        </is>
      </c>
      <c r="N183" t="n">
        <v>0.5</v>
      </c>
      <c r="O183" t="inlineStr">
        <is>
          <t>Short 2</t>
        </is>
      </c>
      <c r="P183" t="inlineStr">
        <is>
          <t>22:15</t>
        </is>
      </c>
      <c r="Q183" t="inlineStr">
        <is>
          <t>Sun</t>
        </is>
      </c>
      <c r="R183" t="inlineStr">
        <is>
          <t>22:00</t>
        </is>
      </c>
      <c r="S183" t="n">
        <v>0.25</v>
      </c>
    </row>
    <row r="184">
      <c r="A184" t="n">
        <v>40</v>
      </c>
      <c r="B184" t="inlineStr">
        <is>
          <t>Wayne Hazem</t>
        </is>
      </c>
      <c r="C184" t="inlineStr">
        <is>
          <t>Mon</t>
        </is>
      </c>
      <c r="D184" t="inlineStr">
        <is>
          <t>15:00 - 00:00</t>
        </is>
      </c>
      <c r="E184" t="inlineStr">
        <is>
          <t>Short 1</t>
        </is>
      </c>
      <c r="F184" t="inlineStr">
        <is>
          <t>17:15</t>
        </is>
      </c>
      <c r="G184" t="inlineStr">
        <is>
          <t>Mon</t>
        </is>
      </c>
      <c r="H184" t="inlineStr">
        <is>
          <t>17:00</t>
        </is>
      </c>
      <c r="I184" t="n">
        <v>0.25</v>
      </c>
      <c r="J184" t="inlineStr">
        <is>
          <t>Lunch</t>
        </is>
      </c>
      <c r="K184" t="inlineStr">
        <is>
          <t>20:00</t>
        </is>
      </c>
      <c r="L184" t="inlineStr">
        <is>
          <t>Mon</t>
        </is>
      </c>
      <c r="M184" t="inlineStr">
        <is>
          <t>20:00</t>
        </is>
      </c>
      <c r="N184" t="n">
        <v>0.5</v>
      </c>
      <c r="O184" t="inlineStr">
        <is>
          <t>Short 2</t>
        </is>
      </c>
      <c r="P184" t="inlineStr">
        <is>
          <t>22:15</t>
        </is>
      </c>
      <c r="Q184" t="inlineStr">
        <is>
          <t>Mon</t>
        </is>
      </c>
      <c r="R184" t="inlineStr">
        <is>
          <t>22:00</t>
        </is>
      </c>
      <c r="S184" t="n">
        <v>0.25</v>
      </c>
    </row>
    <row r="185">
      <c r="A185" t="n">
        <v>40</v>
      </c>
      <c r="B185" t="inlineStr">
        <is>
          <t>Wayne Hazem</t>
        </is>
      </c>
      <c r="C185" t="inlineStr">
        <is>
          <t>Tue</t>
        </is>
      </c>
      <c r="D185" t="inlineStr">
        <is>
          <t>15:00 - 00:00</t>
        </is>
      </c>
      <c r="E185" t="inlineStr">
        <is>
          <t>Short 1</t>
        </is>
      </c>
      <c r="F185" t="inlineStr">
        <is>
          <t>17:15</t>
        </is>
      </c>
      <c r="G185" t="inlineStr">
        <is>
          <t>Tue</t>
        </is>
      </c>
      <c r="H185" t="inlineStr">
        <is>
          <t>17:00</t>
        </is>
      </c>
      <c r="I185" t="n">
        <v>0.25</v>
      </c>
      <c r="J185" t="inlineStr">
        <is>
          <t>Lunch</t>
        </is>
      </c>
      <c r="K185" t="inlineStr">
        <is>
          <t>20:00</t>
        </is>
      </c>
      <c r="L185" t="inlineStr">
        <is>
          <t>Tue</t>
        </is>
      </c>
      <c r="M185" t="inlineStr">
        <is>
          <t>20:00</t>
        </is>
      </c>
      <c r="N185" t="n">
        <v>0.5</v>
      </c>
      <c r="O185" t="inlineStr">
        <is>
          <t>Short 2</t>
        </is>
      </c>
      <c r="P185" t="inlineStr">
        <is>
          <t>22:15</t>
        </is>
      </c>
      <c r="Q185" t="inlineStr">
        <is>
          <t>Tue</t>
        </is>
      </c>
      <c r="R185" t="inlineStr">
        <is>
          <t>22:00</t>
        </is>
      </c>
      <c r="S185" t="n">
        <v>0.25</v>
      </c>
    </row>
    <row r="186">
      <c r="A186" t="n">
        <v>40</v>
      </c>
      <c r="B186" t="inlineStr">
        <is>
          <t>Wayne Hazem</t>
        </is>
      </c>
      <c r="C186" t="inlineStr">
        <is>
          <t>Wed</t>
        </is>
      </c>
      <c r="D186" t="inlineStr">
        <is>
          <t>15:00 - 00:00</t>
        </is>
      </c>
      <c r="E186" t="inlineStr">
        <is>
          <t>Short 1</t>
        </is>
      </c>
      <c r="F186" t="inlineStr">
        <is>
          <t>17:15</t>
        </is>
      </c>
      <c r="G186" t="inlineStr">
        <is>
          <t>Wed</t>
        </is>
      </c>
      <c r="H186" t="inlineStr">
        <is>
          <t>17:00</t>
        </is>
      </c>
      <c r="I186" t="n">
        <v>0.25</v>
      </c>
      <c r="J186" t="inlineStr">
        <is>
          <t>Lunch</t>
        </is>
      </c>
      <c r="K186" t="inlineStr">
        <is>
          <t>20:00</t>
        </is>
      </c>
      <c r="L186" t="inlineStr">
        <is>
          <t>Wed</t>
        </is>
      </c>
      <c r="M186" t="inlineStr">
        <is>
          <t>20:00</t>
        </is>
      </c>
      <c r="N186" t="n">
        <v>0.5</v>
      </c>
      <c r="O186" t="inlineStr">
        <is>
          <t>Short 2</t>
        </is>
      </c>
      <c r="P186" t="inlineStr">
        <is>
          <t>22:15</t>
        </is>
      </c>
      <c r="Q186" t="inlineStr">
        <is>
          <t>Wed</t>
        </is>
      </c>
      <c r="R186" t="inlineStr">
        <is>
          <t>22:00</t>
        </is>
      </c>
      <c r="S186" t="n">
        <v>0.25</v>
      </c>
    </row>
    <row r="187">
      <c r="A187" t="n">
        <v>40</v>
      </c>
      <c r="B187" t="inlineStr">
        <is>
          <t>Wayne Hazem</t>
        </is>
      </c>
      <c r="C187" t="inlineStr">
        <is>
          <t>Thu</t>
        </is>
      </c>
      <c r="D187" t="inlineStr">
        <is>
          <t>15:00 - 00:00</t>
        </is>
      </c>
      <c r="E187" t="inlineStr">
        <is>
          <t>Short 1</t>
        </is>
      </c>
      <c r="F187" t="inlineStr">
        <is>
          <t>17:15</t>
        </is>
      </c>
      <c r="G187" t="inlineStr">
        <is>
          <t>Thu</t>
        </is>
      </c>
      <c r="H187" t="inlineStr">
        <is>
          <t>17:00</t>
        </is>
      </c>
      <c r="I187" t="n">
        <v>0.25</v>
      </c>
      <c r="J187" t="inlineStr">
        <is>
          <t>Lunch</t>
        </is>
      </c>
      <c r="K187" t="inlineStr">
        <is>
          <t>20:00</t>
        </is>
      </c>
      <c r="L187" t="inlineStr">
        <is>
          <t>Thu</t>
        </is>
      </c>
      <c r="M187" t="inlineStr">
        <is>
          <t>20:00</t>
        </is>
      </c>
      <c r="N187" t="n">
        <v>0.5</v>
      </c>
      <c r="O187" t="inlineStr">
        <is>
          <t>Short 2</t>
        </is>
      </c>
      <c r="P187" t="inlineStr">
        <is>
          <t>22:15</t>
        </is>
      </c>
      <c r="Q187" t="inlineStr">
        <is>
          <t>Thu</t>
        </is>
      </c>
      <c r="R187" t="inlineStr">
        <is>
          <t>22:00</t>
        </is>
      </c>
      <c r="S187" t="n">
        <v>0.25</v>
      </c>
    </row>
    <row r="188">
      <c r="A188" t="n">
        <v>41</v>
      </c>
      <c r="B188" t="inlineStr">
        <is>
          <t>Heaven Muhammad</t>
        </is>
      </c>
      <c r="C188" t="inlineStr">
        <is>
          <t>Sun</t>
        </is>
      </c>
      <c r="D188" t="inlineStr">
        <is>
          <t>22:00 - 07:00</t>
        </is>
      </c>
      <c r="E188" t="inlineStr">
        <is>
          <t>Short 1</t>
        </is>
      </c>
      <c r="F188" t="inlineStr">
        <is>
          <t>00:15</t>
        </is>
      </c>
      <c r="G188" t="inlineStr">
        <is>
          <t>Mon</t>
        </is>
      </c>
      <c r="H188" t="inlineStr">
        <is>
          <t>00:00</t>
        </is>
      </c>
      <c r="I188" t="n">
        <v>0.25</v>
      </c>
      <c r="J188" t="inlineStr">
        <is>
          <t>Lunch</t>
        </is>
      </c>
      <c r="K188" t="inlineStr">
        <is>
          <t>03:00</t>
        </is>
      </c>
      <c r="L188" t="inlineStr">
        <is>
          <t>Mon</t>
        </is>
      </c>
      <c r="M188" t="inlineStr">
        <is>
          <t>03:00</t>
        </is>
      </c>
      <c r="N188" t="n">
        <v>0.5</v>
      </c>
      <c r="O188" t="inlineStr">
        <is>
          <t>Short 2</t>
        </is>
      </c>
      <c r="P188" t="inlineStr">
        <is>
          <t>05:15</t>
        </is>
      </c>
      <c r="Q188" t="inlineStr">
        <is>
          <t>Mon</t>
        </is>
      </c>
      <c r="R188" t="inlineStr">
        <is>
          <t>05:00</t>
        </is>
      </c>
      <c r="S188" t="n">
        <v>0.25</v>
      </c>
    </row>
    <row r="189">
      <c r="A189" t="n">
        <v>41</v>
      </c>
      <c r="B189" t="inlineStr">
        <is>
          <t>Heaven Muhammad</t>
        </is>
      </c>
      <c r="C189" t="inlineStr">
        <is>
          <t>Mon</t>
        </is>
      </c>
      <c r="D189" t="inlineStr">
        <is>
          <t>22:00 - 07:00</t>
        </is>
      </c>
      <c r="E189" t="inlineStr">
        <is>
          <t>Short 1</t>
        </is>
      </c>
      <c r="F189" t="inlineStr">
        <is>
          <t>00:15</t>
        </is>
      </c>
      <c r="G189" t="inlineStr">
        <is>
          <t>Tue</t>
        </is>
      </c>
      <c r="H189" t="inlineStr">
        <is>
          <t>00:00</t>
        </is>
      </c>
      <c r="I189" t="n">
        <v>0.25</v>
      </c>
      <c r="J189" t="inlineStr">
        <is>
          <t>Lunch</t>
        </is>
      </c>
      <c r="K189" t="inlineStr">
        <is>
          <t>03:00</t>
        </is>
      </c>
      <c r="L189" t="inlineStr">
        <is>
          <t>Tue</t>
        </is>
      </c>
      <c r="M189" t="inlineStr">
        <is>
          <t>03:00</t>
        </is>
      </c>
      <c r="N189" t="n">
        <v>0.5</v>
      </c>
      <c r="O189" t="inlineStr">
        <is>
          <t>Short 2</t>
        </is>
      </c>
      <c r="P189" t="inlineStr">
        <is>
          <t>05:15</t>
        </is>
      </c>
      <c r="Q189" t="inlineStr">
        <is>
          <t>Tue</t>
        </is>
      </c>
      <c r="R189" t="inlineStr">
        <is>
          <t>05:00</t>
        </is>
      </c>
      <c r="S189" t="n">
        <v>0.25</v>
      </c>
    </row>
    <row r="190">
      <c r="A190" t="n">
        <v>41</v>
      </c>
      <c r="B190" t="inlineStr">
        <is>
          <t>Heaven Muhammad</t>
        </is>
      </c>
      <c r="C190" t="inlineStr">
        <is>
          <t>Tue</t>
        </is>
      </c>
      <c r="D190" t="inlineStr">
        <is>
          <t>22:00 - 07:00</t>
        </is>
      </c>
      <c r="E190" t="inlineStr">
        <is>
          <t>Short 1</t>
        </is>
      </c>
      <c r="F190" t="inlineStr">
        <is>
          <t>00:15</t>
        </is>
      </c>
      <c r="G190" t="inlineStr">
        <is>
          <t>Wed</t>
        </is>
      </c>
      <c r="H190" t="inlineStr">
        <is>
          <t>00:00</t>
        </is>
      </c>
      <c r="I190" t="n">
        <v>0.25</v>
      </c>
      <c r="J190" t="inlineStr">
        <is>
          <t>Lunch</t>
        </is>
      </c>
      <c r="K190" t="inlineStr">
        <is>
          <t>03:00</t>
        </is>
      </c>
      <c r="L190" t="inlineStr">
        <is>
          <t>Wed</t>
        </is>
      </c>
      <c r="M190" t="inlineStr">
        <is>
          <t>03:00</t>
        </is>
      </c>
      <c r="N190" t="n">
        <v>0.5</v>
      </c>
      <c r="O190" t="inlineStr">
        <is>
          <t>Short 2</t>
        </is>
      </c>
      <c r="P190" t="inlineStr">
        <is>
          <t>05:15</t>
        </is>
      </c>
      <c r="Q190" t="inlineStr">
        <is>
          <t>Wed</t>
        </is>
      </c>
      <c r="R190" t="inlineStr">
        <is>
          <t>05:00</t>
        </is>
      </c>
      <c r="S190" t="n">
        <v>0.25</v>
      </c>
    </row>
    <row r="191">
      <c r="A191" t="n">
        <v>41</v>
      </c>
      <c r="B191" t="inlineStr">
        <is>
          <t>Heaven Muhammad</t>
        </is>
      </c>
      <c r="C191" t="inlineStr">
        <is>
          <t>Wed</t>
        </is>
      </c>
      <c r="D191" t="inlineStr">
        <is>
          <t>22:00 - 07:00</t>
        </is>
      </c>
      <c r="E191" t="inlineStr">
        <is>
          <t>Short 1</t>
        </is>
      </c>
      <c r="F191" t="inlineStr">
        <is>
          <t>00:15</t>
        </is>
      </c>
      <c r="G191" t="inlineStr">
        <is>
          <t>Thu</t>
        </is>
      </c>
      <c r="H191" t="inlineStr">
        <is>
          <t>00:00</t>
        </is>
      </c>
      <c r="I191" t="n">
        <v>0.25</v>
      </c>
      <c r="J191" t="inlineStr">
        <is>
          <t>Lunch</t>
        </is>
      </c>
      <c r="K191" t="inlineStr">
        <is>
          <t>03:00</t>
        </is>
      </c>
      <c r="L191" t="inlineStr">
        <is>
          <t>Thu</t>
        </is>
      </c>
      <c r="M191" t="inlineStr">
        <is>
          <t>03:00</t>
        </is>
      </c>
      <c r="N191" t="n">
        <v>0.5</v>
      </c>
      <c r="O191" t="inlineStr">
        <is>
          <t>Short 2</t>
        </is>
      </c>
      <c r="P191" t="inlineStr">
        <is>
          <t>05:15</t>
        </is>
      </c>
      <c r="Q191" t="inlineStr">
        <is>
          <t>Thu</t>
        </is>
      </c>
      <c r="R191" t="inlineStr">
        <is>
          <t>05:00</t>
        </is>
      </c>
      <c r="S191" t="n">
        <v>0.25</v>
      </c>
    </row>
    <row r="192">
      <c r="A192" t="n">
        <v>41</v>
      </c>
      <c r="B192" t="inlineStr">
        <is>
          <t>Heaven Muhammad</t>
        </is>
      </c>
      <c r="C192" t="inlineStr">
        <is>
          <t>Thu</t>
        </is>
      </c>
      <c r="D192" t="inlineStr">
        <is>
          <t>22:00 - 07:00</t>
        </is>
      </c>
      <c r="E192" t="inlineStr">
        <is>
          <t>Short 1</t>
        </is>
      </c>
      <c r="F192" t="inlineStr">
        <is>
          <t>00:15</t>
        </is>
      </c>
      <c r="G192" t="inlineStr">
        <is>
          <t>Fri</t>
        </is>
      </c>
      <c r="H192" t="inlineStr">
        <is>
          <t>00:00</t>
        </is>
      </c>
      <c r="I192" t="n">
        <v>0.25</v>
      </c>
      <c r="J192" t="inlineStr">
        <is>
          <t>Lunch</t>
        </is>
      </c>
      <c r="K192" t="inlineStr">
        <is>
          <t>03:00</t>
        </is>
      </c>
      <c r="L192" t="inlineStr">
        <is>
          <t>Fri</t>
        </is>
      </c>
      <c r="M192" t="inlineStr">
        <is>
          <t>03:00</t>
        </is>
      </c>
      <c r="N192" t="n">
        <v>0.5</v>
      </c>
      <c r="O192" t="inlineStr">
        <is>
          <t>Short 2</t>
        </is>
      </c>
      <c r="P192" t="inlineStr">
        <is>
          <t>05:15</t>
        </is>
      </c>
      <c r="Q192" t="inlineStr">
        <is>
          <t>Fri</t>
        </is>
      </c>
      <c r="R192" t="inlineStr">
        <is>
          <t>05:00</t>
        </is>
      </c>
      <c r="S192" t="n">
        <v>0.25</v>
      </c>
    </row>
    <row r="193">
      <c r="A193" t="n">
        <v>42</v>
      </c>
      <c r="B193" t="inlineStr">
        <is>
          <t>Omar Ramadan</t>
        </is>
      </c>
      <c r="C193" t="inlineStr">
        <is>
          <t>Sun</t>
        </is>
      </c>
      <c r="D193" t="inlineStr">
        <is>
          <t>22:00 - 07:00</t>
        </is>
      </c>
      <c r="E193" t="inlineStr">
        <is>
          <t>Short 1</t>
        </is>
      </c>
      <c r="F193" t="inlineStr">
        <is>
          <t>00:15</t>
        </is>
      </c>
      <c r="G193" t="inlineStr">
        <is>
          <t>Mon</t>
        </is>
      </c>
      <c r="H193" t="inlineStr">
        <is>
          <t>00:00</t>
        </is>
      </c>
      <c r="I193" t="n">
        <v>0.25</v>
      </c>
      <c r="J193" t="inlineStr">
        <is>
          <t>Lunch</t>
        </is>
      </c>
      <c r="K193" t="inlineStr">
        <is>
          <t>03:00</t>
        </is>
      </c>
      <c r="L193" t="inlineStr">
        <is>
          <t>Mon</t>
        </is>
      </c>
      <c r="M193" t="inlineStr">
        <is>
          <t>03:00</t>
        </is>
      </c>
      <c r="N193" t="n">
        <v>0.5</v>
      </c>
      <c r="O193" t="inlineStr">
        <is>
          <t>Short 2</t>
        </is>
      </c>
      <c r="P193" t="inlineStr">
        <is>
          <t>05:15</t>
        </is>
      </c>
      <c r="Q193" t="inlineStr">
        <is>
          <t>Mon</t>
        </is>
      </c>
      <c r="R193" t="inlineStr">
        <is>
          <t>05:00</t>
        </is>
      </c>
      <c r="S193" t="n">
        <v>0.25</v>
      </c>
    </row>
    <row r="194">
      <c r="A194" t="n">
        <v>42</v>
      </c>
      <c r="B194" t="inlineStr">
        <is>
          <t>Omar Ramadan</t>
        </is>
      </c>
      <c r="C194" t="inlineStr">
        <is>
          <t>Mon</t>
        </is>
      </c>
      <c r="D194" t="inlineStr">
        <is>
          <t>22:00 - 07:00</t>
        </is>
      </c>
      <c r="E194" t="inlineStr">
        <is>
          <t>Short 1</t>
        </is>
      </c>
      <c r="F194" t="inlineStr">
        <is>
          <t>00:15</t>
        </is>
      </c>
      <c r="G194" t="inlineStr">
        <is>
          <t>Tue</t>
        </is>
      </c>
      <c r="H194" t="inlineStr">
        <is>
          <t>00:00</t>
        </is>
      </c>
      <c r="I194" t="n">
        <v>0.25</v>
      </c>
      <c r="J194" t="inlineStr">
        <is>
          <t>Lunch</t>
        </is>
      </c>
      <c r="K194" t="inlineStr">
        <is>
          <t>03:00</t>
        </is>
      </c>
      <c r="L194" t="inlineStr">
        <is>
          <t>Tue</t>
        </is>
      </c>
      <c r="M194" t="inlineStr">
        <is>
          <t>03:00</t>
        </is>
      </c>
      <c r="N194" t="n">
        <v>0.5</v>
      </c>
      <c r="O194" t="inlineStr">
        <is>
          <t>Short 2</t>
        </is>
      </c>
      <c r="P194" t="inlineStr">
        <is>
          <t>05:15</t>
        </is>
      </c>
      <c r="Q194" t="inlineStr">
        <is>
          <t>Tue</t>
        </is>
      </c>
      <c r="R194" t="inlineStr">
        <is>
          <t>05:00</t>
        </is>
      </c>
      <c r="S194" t="n">
        <v>0.25</v>
      </c>
    </row>
    <row r="195">
      <c r="A195" t="n">
        <v>42</v>
      </c>
      <c r="B195" t="inlineStr">
        <is>
          <t>Omar Ramadan</t>
        </is>
      </c>
      <c r="C195" t="inlineStr">
        <is>
          <t>Tue</t>
        </is>
      </c>
      <c r="D195" t="inlineStr">
        <is>
          <t>22:00 - 07:00</t>
        </is>
      </c>
      <c r="E195" t="inlineStr">
        <is>
          <t>Short 1</t>
        </is>
      </c>
      <c r="F195" t="inlineStr">
        <is>
          <t>00:15</t>
        </is>
      </c>
      <c r="G195" t="inlineStr">
        <is>
          <t>Wed</t>
        </is>
      </c>
      <c r="H195" t="inlineStr">
        <is>
          <t>00:00</t>
        </is>
      </c>
      <c r="I195" t="n">
        <v>0.25</v>
      </c>
      <c r="J195" t="inlineStr">
        <is>
          <t>Lunch</t>
        </is>
      </c>
      <c r="K195" t="inlineStr">
        <is>
          <t>03:00</t>
        </is>
      </c>
      <c r="L195" t="inlineStr">
        <is>
          <t>Wed</t>
        </is>
      </c>
      <c r="M195" t="inlineStr">
        <is>
          <t>03:00</t>
        </is>
      </c>
      <c r="N195" t="n">
        <v>0.5</v>
      </c>
      <c r="O195" t="inlineStr">
        <is>
          <t>Short 2</t>
        </is>
      </c>
      <c r="P195" t="inlineStr">
        <is>
          <t>05:15</t>
        </is>
      </c>
      <c r="Q195" t="inlineStr">
        <is>
          <t>Wed</t>
        </is>
      </c>
      <c r="R195" t="inlineStr">
        <is>
          <t>05:00</t>
        </is>
      </c>
      <c r="S195" t="n">
        <v>0.25</v>
      </c>
    </row>
    <row r="196">
      <c r="A196" t="n">
        <v>42</v>
      </c>
      <c r="B196" t="inlineStr">
        <is>
          <t>Omar Ramadan</t>
        </is>
      </c>
      <c r="C196" t="inlineStr">
        <is>
          <t>Wed</t>
        </is>
      </c>
      <c r="D196" t="inlineStr">
        <is>
          <t>22:00 - 07:00</t>
        </is>
      </c>
      <c r="E196" t="inlineStr">
        <is>
          <t>Short 1</t>
        </is>
      </c>
      <c r="F196" t="inlineStr">
        <is>
          <t>00:15</t>
        </is>
      </c>
      <c r="G196" t="inlineStr">
        <is>
          <t>Thu</t>
        </is>
      </c>
      <c r="H196" t="inlineStr">
        <is>
          <t>00:00</t>
        </is>
      </c>
      <c r="I196" t="n">
        <v>0.25</v>
      </c>
      <c r="J196" t="inlineStr">
        <is>
          <t>Lunch</t>
        </is>
      </c>
      <c r="K196" t="inlineStr">
        <is>
          <t>03:00</t>
        </is>
      </c>
      <c r="L196" t="inlineStr">
        <is>
          <t>Thu</t>
        </is>
      </c>
      <c r="M196" t="inlineStr">
        <is>
          <t>03:00</t>
        </is>
      </c>
      <c r="N196" t="n">
        <v>0.5</v>
      </c>
      <c r="O196" t="inlineStr">
        <is>
          <t>Short 2</t>
        </is>
      </c>
      <c r="P196" t="inlineStr">
        <is>
          <t>05:15</t>
        </is>
      </c>
      <c r="Q196" t="inlineStr">
        <is>
          <t>Thu</t>
        </is>
      </c>
      <c r="R196" t="inlineStr">
        <is>
          <t>05:00</t>
        </is>
      </c>
      <c r="S196" t="n">
        <v>0.25</v>
      </c>
    </row>
    <row r="197">
      <c r="A197" t="n">
        <v>42</v>
      </c>
      <c r="B197" t="inlineStr">
        <is>
          <t>Omar Ramadan</t>
        </is>
      </c>
      <c r="C197" t="inlineStr">
        <is>
          <t>Thu</t>
        </is>
      </c>
      <c r="D197" t="inlineStr">
        <is>
          <t>22:00 - 07:00</t>
        </is>
      </c>
      <c r="E197" t="inlineStr">
        <is>
          <t>Short 1</t>
        </is>
      </c>
      <c r="F197" t="inlineStr">
        <is>
          <t>00:15</t>
        </is>
      </c>
      <c r="G197" t="inlineStr">
        <is>
          <t>Fri</t>
        </is>
      </c>
      <c r="H197" t="inlineStr">
        <is>
          <t>00:00</t>
        </is>
      </c>
      <c r="I197" t="n">
        <v>0.25</v>
      </c>
      <c r="J197" t="inlineStr">
        <is>
          <t>Lunch</t>
        </is>
      </c>
      <c r="K197" t="inlineStr">
        <is>
          <t>03:00</t>
        </is>
      </c>
      <c r="L197" t="inlineStr">
        <is>
          <t>Fri</t>
        </is>
      </c>
      <c r="M197" t="inlineStr">
        <is>
          <t>03:00</t>
        </is>
      </c>
      <c r="N197" t="n">
        <v>0.5</v>
      </c>
      <c r="O197" t="inlineStr">
        <is>
          <t>Short 2</t>
        </is>
      </c>
      <c r="P197" t="inlineStr">
        <is>
          <t>05:15</t>
        </is>
      </c>
      <c r="Q197" t="inlineStr">
        <is>
          <t>Fri</t>
        </is>
      </c>
      <c r="R197" t="inlineStr">
        <is>
          <t>05:00</t>
        </is>
      </c>
      <c r="S197" t="n">
        <v>0.25</v>
      </c>
    </row>
    <row r="198">
      <c r="A198" t="n">
        <v>43</v>
      </c>
      <c r="B198" t="inlineStr">
        <is>
          <t>Farida Moussa</t>
        </is>
      </c>
      <c r="C198" t="inlineStr">
        <is>
          <t>Sun</t>
        </is>
      </c>
      <c r="D198" t="inlineStr">
        <is>
          <t>22:00 - 07:00</t>
        </is>
      </c>
      <c r="E198" t="inlineStr">
        <is>
          <t>Short 1</t>
        </is>
      </c>
      <c r="F198" t="inlineStr">
        <is>
          <t>00:15</t>
        </is>
      </c>
      <c r="G198" t="inlineStr">
        <is>
          <t>Mon</t>
        </is>
      </c>
      <c r="H198" t="inlineStr">
        <is>
          <t>00:00</t>
        </is>
      </c>
      <c r="I198" t="n">
        <v>0.25</v>
      </c>
      <c r="J198" t="inlineStr">
        <is>
          <t>Lunch</t>
        </is>
      </c>
      <c r="K198" t="inlineStr">
        <is>
          <t>03:00</t>
        </is>
      </c>
      <c r="L198" t="inlineStr">
        <is>
          <t>Mon</t>
        </is>
      </c>
      <c r="M198" t="inlineStr">
        <is>
          <t>03:00</t>
        </is>
      </c>
      <c r="N198" t="n">
        <v>0.5</v>
      </c>
      <c r="O198" t="inlineStr">
        <is>
          <t>Short 2</t>
        </is>
      </c>
      <c r="P198" t="inlineStr">
        <is>
          <t>05:15</t>
        </is>
      </c>
      <c r="Q198" t="inlineStr">
        <is>
          <t>Mon</t>
        </is>
      </c>
      <c r="R198" t="inlineStr">
        <is>
          <t>05:00</t>
        </is>
      </c>
      <c r="S198" t="n">
        <v>0.25</v>
      </c>
    </row>
    <row r="199">
      <c r="A199" t="n">
        <v>43</v>
      </c>
      <c r="B199" t="inlineStr">
        <is>
          <t>Farida Moussa</t>
        </is>
      </c>
      <c r="C199" t="inlineStr">
        <is>
          <t>Mon</t>
        </is>
      </c>
      <c r="D199" t="inlineStr">
        <is>
          <t>22:00 - 07:00</t>
        </is>
      </c>
      <c r="E199" t="inlineStr">
        <is>
          <t>Short 1</t>
        </is>
      </c>
      <c r="F199" t="inlineStr">
        <is>
          <t>00:15</t>
        </is>
      </c>
      <c r="G199" t="inlineStr">
        <is>
          <t>Tue</t>
        </is>
      </c>
      <c r="H199" t="inlineStr">
        <is>
          <t>00:00</t>
        </is>
      </c>
      <c r="I199" t="n">
        <v>0.25</v>
      </c>
      <c r="J199" t="inlineStr">
        <is>
          <t>Lunch</t>
        </is>
      </c>
      <c r="K199" t="inlineStr">
        <is>
          <t>03:00</t>
        </is>
      </c>
      <c r="L199" t="inlineStr">
        <is>
          <t>Tue</t>
        </is>
      </c>
      <c r="M199" t="inlineStr">
        <is>
          <t>03:00</t>
        </is>
      </c>
      <c r="N199" t="n">
        <v>0.5</v>
      </c>
      <c r="O199" t="inlineStr">
        <is>
          <t>Short 2</t>
        </is>
      </c>
      <c r="P199" t="inlineStr">
        <is>
          <t>05:15</t>
        </is>
      </c>
      <c r="Q199" t="inlineStr">
        <is>
          <t>Tue</t>
        </is>
      </c>
      <c r="R199" t="inlineStr">
        <is>
          <t>05:00</t>
        </is>
      </c>
      <c r="S199" t="n">
        <v>0.25</v>
      </c>
    </row>
    <row r="200">
      <c r="A200" t="n">
        <v>43</v>
      </c>
      <c r="B200" t="inlineStr">
        <is>
          <t>Farida Moussa</t>
        </is>
      </c>
      <c r="C200" t="inlineStr">
        <is>
          <t>Tue</t>
        </is>
      </c>
      <c r="D200" t="inlineStr">
        <is>
          <t>22:00 - 07:00</t>
        </is>
      </c>
      <c r="E200" t="inlineStr">
        <is>
          <t>Short 1</t>
        </is>
      </c>
      <c r="F200" t="inlineStr">
        <is>
          <t>00:15</t>
        </is>
      </c>
      <c r="G200" t="inlineStr">
        <is>
          <t>Wed</t>
        </is>
      </c>
      <c r="H200" t="inlineStr">
        <is>
          <t>00:00</t>
        </is>
      </c>
      <c r="I200" t="n">
        <v>0.25</v>
      </c>
      <c r="J200" t="inlineStr">
        <is>
          <t>Lunch</t>
        </is>
      </c>
      <c r="K200" t="inlineStr">
        <is>
          <t>03:00</t>
        </is>
      </c>
      <c r="L200" t="inlineStr">
        <is>
          <t>Wed</t>
        </is>
      </c>
      <c r="M200" t="inlineStr">
        <is>
          <t>03:00</t>
        </is>
      </c>
      <c r="N200" t="n">
        <v>0.5</v>
      </c>
      <c r="O200" t="inlineStr">
        <is>
          <t>Short 2</t>
        </is>
      </c>
      <c r="P200" t="inlineStr">
        <is>
          <t>05:15</t>
        </is>
      </c>
      <c r="Q200" t="inlineStr">
        <is>
          <t>Wed</t>
        </is>
      </c>
      <c r="R200" t="inlineStr">
        <is>
          <t>05:00</t>
        </is>
      </c>
      <c r="S200" t="n">
        <v>0.25</v>
      </c>
    </row>
    <row r="201">
      <c r="A201" t="n">
        <v>43</v>
      </c>
      <c r="B201" t="inlineStr">
        <is>
          <t>Farida Moussa</t>
        </is>
      </c>
      <c r="C201" t="inlineStr">
        <is>
          <t>Wed</t>
        </is>
      </c>
      <c r="D201" t="inlineStr">
        <is>
          <t>22:00 - 07:00</t>
        </is>
      </c>
      <c r="E201" t="inlineStr">
        <is>
          <t>Short 1</t>
        </is>
      </c>
      <c r="F201" t="inlineStr">
        <is>
          <t>00:15</t>
        </is>
      </c>
      <c r="G201" t="inlineStr">
        <is>
          <t>Thu</t>
        </is>
      </c>
      <c r="H201" t="inlineStr">
        <is>
          <t>00:00</t>
        </is>
      </c>
      <c r="I201" t="n">
        <v>0.25</v>
      </c>
      <c r="J201" t="inlineStr">
        <is>
          <t>Lunch</t>
        </is>
      </c>
      <c r="K201" t="inlineStr">
        <is>
          <t>03:00</t>
        </is>
      </c>
      <c r="L201" t="inlineStr">
        <is>
          <t>Thu</t>
        </is>
      </c>
      <c r="M201" t="inlineStr">
        <is>
          <t>03:00</t>
        </is>
      </c>
      <c r="N201" t="n">
        <v>0.5</v>
      </c>
      <c r="O201" t="inlineStr">
        <is>
          <t>Short 2</t>
        </is>
      </c>
      <c r="P201" t="inlineStr">
        <is>
          <t>05:15</t>
        </is>
      </c>
      <c r="Q201" t="inlineStr">
        <is>
          <t>Thu</t>
        </is>
      </c>
      <c r="R201" t="inlineStr">
        <is>
          <t>05:00</t>
        </is>
      </c>
      <c r="S201" t="n">
        <v>0.25</v>
      </c>
    </row>
    <row r="202">
      <c r="A202" t="n">
        <v>43</v>
      </c>
      <c r="B202" t="inlineStr">
        <is>
          <t>Farida Moussa</t>
        </is>
      </c>
      <c r="C202" t="inlineStr">
        <is>
          <t>Thu</t>
        </is>
      </c>
      <c r="D202" t="inlineStr">
        <is>
          <t>22:00 - 07:00</t>
        </is>
      </c>
      <c r="E202" t="inlineStr">
        <is>
          <t>Short 1</t>
        </is>
      </c>
      <c r="F202" t="inlineStr">
        <is>
          <t>00:15</t>
        </is>
      </c>
      <c r="G202" t="inlineStr">
        <is>
          <t>Fri</t>
        </is>
      </c>
      <c r="H202" t="inlineStr">
        <is>
          <t>00:00</t>
        </is>
      </c>
      <c r="I202" t="n">
        <v>0.25</v>
      </c>
      <c r="J202" t="inlineStr">
        <is>
          <t>Lunch</t>
        </is>
      </c>
      <c r="K202" t="inlineStr">
        <is>
          <t>03:00</t>
        </is>
      </c>
      <c r="L202" t="inlineStr">
        <is>
          <t>Fri</t>
        </is>
      </c>
      <c r="M202" t="inlineStr">
        <is>
          <t>03:00</t>
        </is>
      </c>
      <c r="N202" t="n">
        <v>0.5</v>
      </c>
      <c r="O202" t="inlineStr">
        <is>
          <t>Short 2</t>
        </is>
      </c>
      <c r="P202" t="inlineStr">
        <is>
          <t>05:15</t>
        </is>
      </c>
      <c r="Q202" t="inlineStr">
        <is>
          <t>Fri</t>
        </is>
      </c>
      <c r="R202" t="inlineStr">
        <is>
          <t>05:00</t>
        </is>
      </c>
      <c r="S202" t="n">
        <v>0.25</v>
      </c>
    </row>
    <row r="203">
      <c r="A203" t="n">
        <v>44</v>
      </c>
      <c r="B203" t="inlineStr">
        <is>
          <t>Unassigned Associate 44</t>
        </is>
      </c>
      <c r="C203" t="inlineStr">
        <is>
          <t>Mon</t>
        </is>
      </c>
      <c r="D203" t="inlineStr">
        <is>
          <t>17:00 - 02:00</t>
        </is>
      </c>
      <c r="E203" t="inlineStr">
        <is>
          <t>Short 1</t>
        </is>
      </c>
      <c r="F203" t="inlineStr">
        <is>
          <t>19:15</t>
        </is>
      </c>
      <c r="G203" t="inlineStr">
        <is>
          <t>Mon</t>
        </is>
      </c>
      <c r="H203" t="inlineStr">
        <is>
          <t>19:00</t>
        </is>
      </c>
      <c r="I203" t="n">
        <v>0.25</v>
      </c>
      <c r="J203" t="inlineStr">
        <is>
          <t>Lunch</t>
        </is>
      </c>
      <c r="K203" t="inlineStr">
        <is>
          <t>22:00</t>
        </is>
      </c>
      <c r="L203" t="inlineStr">
        <is>
          <t>Mon</t>
        </is>
      </c>
      <c r="M203" t="inlineStr">
        <is>
          <t>22:00</t>
        </is>
      </c>
      <c r="N203" t="n">
        <v>0.5</v>
      </c>
      <c r="O203" t="inlineStr">
        <is>
          <t>Short 2</t>
        </is>
      </c>
      <c r="P203" t="inlineStr">
        <is>
          <t>00:15</t>
        </is>
      </c>
      <c r="Q203" t="inlineStr">
        <is>
          <t>Tue</t>
        </is>
      </c>
      <c r="R203" t="inlineStr">
        <is>
          <t>00:00</t>
        </is>
      </c>
      <c r="S203" t="n">
        <v>0.25</v>
      </c>
    </row>
    <row r="204">
      <c r="A204" t="n">
        <v>44</v>
      </c>
      <c r="B204" t="inlineStr">
        <is>
          <t>Unassigned Associate 44</t>
        </is>
      </c>
      <c r="C204" t="inlineStr">
        <is>
          <t>Tue</t>
        </is>
      </c>
      <c r="D204" t="inlineStr">
        <is>
          <t>17:00 - 02:00</t>
        </is>
      </c>
      <c r="E204" t="inlineStr">
        <is>
          <t>Short 1</t>
        </is>
      </c>
      <c r="F204" t="inlineStr">
        <is>
          <t>19:15</t>
        </is>
      </c>
      <c r="G204" t="inlineStr">
        <is>
          <t>Tue</t>
        </is>
      </c>
      <c r="H204" t="inlineStr">
        <is>
          <t>19:00</t>
        </is>
      </c>
      <c r="I204" t="n">
        <v>0.25</v>
      </c>
      <c r="J204" t="inlineStr">
        <is>
          <t>Lunch</t>
        </is>
      </c>
      <c r="K204" t="inlineStr">
        <is>
          <t>22:00</t>
        </is>
      </c>
      <c r="L204" t="inlineStr">
        <is>
          <t>Tue</t>
        </is>
      </c>
      <c r="M204" t="inlineStr">
        <is>
          <t>22:00</t>
        </is>
      </c>
      <c r="N204" t="n">
        <v>0.5</v>
      </c>
      <c r="O204" t="inlineStr">
        <is>
          <t>Short 2</t>
        </is>
      </c>
      <c r="P204" t="inlineStr">
        <is>
          <t>00:15</t>
        </is>
      </c>
      <c r="Q204" t="inlineStr">
        <is>
          <t>Wed</t>
        </is>
      </c>
      <c r="R204" t="inlineStr">
        <is>
          <t>00:00</t>
        </is>
      </c>
      <c r="S204" t="n">
        <v>0.25</v>
      </c>
    </row>
    <row r="205">
      <c r="A205" t="n">
        <v>44</v>
      </c>
      <c r="B205" t="inlineStr">
        <is>
          <t>Unassigned Associate 44</t>
        </is>
      </c>
      <c r="C205" t="inlineStr">
        <is>
          <t>Wed</t>
        </is>
      </c>
      <c r="D205" t="inlineStr">
        <is>
          <t>17:00 - 02:00</t>
        </is>
      </c>
      <c r="E205" t="inlineStr">
        <is>
          <t>Short 1</t>
        </is>
      </c>
      <c r="F205" t="inlineStr">
        <is>
          <t>19:15</t>
        </is>
      </c>
      <c r="G205" t="inlineStr">
        <is>
          <t>Wed</t>
        </is>
      </c>
      <c r="H205" t="inlineStr">
        <is>
          <t>19:00</t>
        </is>
      </c>
      <c r="I205" t="n">
        <v>0.25</v>
      </c>
      <c r="J205" t="inlineStr">
        <is>
          <t>Lunch</t>
        </is>
      </c>
      <c r="K205" t="inlineStr">
        <is>
          <t>22:00</t>
        </is>
      </c>
      <c r="L205" t="inlineStr">
        <is>
          <t>Wed</t>
        </is>
      </c>
      <c r="M205" t="inlineStr">
        <is>
          <t>22:00</t>
        </is>
      </c>
      <c r="N205" t="n">
        <v>0.5</v>
      </c>
      <c r="O205" t="inlineStr">
        <is>
          <t>Short 2</t>
        </is>
      </c>
      <c r="P205" t="inlineStr">
        <is>
          <t>00:15</t>
        </is>
      </c>
      <c r="Q205" t="inlineStr">
        <is>
          <t>Thu</t>
        </is>
      </c>
      <c r="R205" t="inlineStr">
        <is>
          <t>00:00</t>
        </is>
      </c>
      <c r="S205" t="n">
        <v>0.25</v>
      </c>
    </row>
    <row r="206">
      <c r="A206" t="n">
        <v>44</v>
      </c>
      <c r="B206" t="inlineStr">
        <is>
          <t>Unassigned Associate 44</t>
        </is>
      </c>
      <c r="C206" t="inlineStr">
        <is>
          <t>Thu</t>
        </is>
      </c>
      <c r="D206" t="inlineStr">
        <is>
          <t>17:00 - 02:00</t>
        </is>
      </c>
      <c r="E206" t="inlineStr">
        <is>
          <t>Short 1</t>
        </is>
      </c>
      <c r="F206" t="inlineStr">
        <is>
          <t>19:15</t>
        </is>
      </c>
      <c r="G206" t="inlineStr">
        <is>
          <t>Thu</t>
        </is>
      </c>
      <c r="H206" t="inlineStr">
        <is>
          <t>19:00</t>
        </is>
      </c>
      <c r="I206" t="n">
        <v>0.25</v>
      </c>
      <c r="J206" t="inlineStr">
        <is>
          <t>Lunch</t>
        </is>
      </c>
      <c r="K206" t="inlineStr">
        <is>
          <t>22:00</t>
        </is>
      </c>
      <c r="L206" t="inlineStr">
        <is>
          <t>Thu</t>
        </is>
      </c>
      <c r="M206" t="inlineStr">
        <is>
          <t>22:00</t>
        </is>
      </c>
      <c r="N206" t="n">
        <v>0.5</v>
      </c>
      <c r="O206" t="inlineStr">
        <is>
          <t>Short 2</t>
        </is>
      </c>
      <c r="P206" t="inlineStr">
        <is>
          <t>00:15</t>
        </is>
      </c>
      <c r="Q206" t="inlineStr">
        <is>
          <t>Fri</t>
        </is>
      </c>
      <c r="R206" t="inlineStr">
        <is>
          <t>00:00</t>
        </is>
      </c>
      <c r="S206" t="n">
        <v>0.25</v>
      </c>
    </row>
    <row r="207">
      <c r="A207" t="n">
        <v>44</v>
      </c>
      <c r="B207" t="inlineStr">
        <is>
          <t>Unassigned Associate 44</t>
        </is>
      </c>
      <c r="C207" t="inlineStr">
        <is>
          <t>Fri</t>
        </is>
      </c>
      <c r="D207" t="inlineStr">
        <is>
          <t>17:00 - 02:00</t>
        </is>
      </c>
      <c r="E207" t="inlineStr">
        <is>
          <t>Short 1</t>
        </is>
      </c>
      <c r="F207" t="inlineStr">
        <is>
          <t>19:15</t>
        </is>
      </c>
      <c r="G207" t="inlineStr">
        <is>
          <t>Fri</t>
        </is>
      </c>
      <c r="H207" t="inlineStr">
        <is>
          <t>19:00</t>
        </is>
      </c>
      <c r="I207" t="n">
        <v>0.25</v>
      </c>
      <c r="J207" t="inlineStr">
        <is>
          <t>Lunch</t>
        </is>
      </c>
      <c r="K207" t="inlineStr">
        <is>
          <t>22:00</t>
        </is>
      </c>
      <c r="L207" t="inlineStr">
        <is>
          <t>Fri</t>
        </is>
      </c>
      <c r="M207" t="inlineStr">
        <is>
          <t>22:00</t>
        </is>
      </c>
      <c r="N207" t="n">
        <v>0.5</v>
      </c>
      <c r="O207" t="inlineStr">
        <is>
          <t>Short 2</t>
        </is>
      </c>
      <c r="P207" t="inlineStr">
        <is>
          <t>00:15</t>
        </is>
      </c>
      <c r="Q207" t="inlineStr">
        <is>
          <t>Sat</t>
        </is>
      </c>
      <c r="R207" t="inlineStr">
        <is>
          <t>00:00</t>
        </is>
      </c>
      <c r="S207" t="n">
        <v>0.25</v>
      </c>
    </row>
    <row r="208">
      <c r="A208" t="n">
        <v>45</v>
      </c>
      <c r="B208" t="inlineStr">
        <is>
          <t>Unassigned Associate 45</t>
        </is>
      </c>
      <c r="C208" t="inlineStr">
        <is>
          <t>Mon</t>
        </is>
      </c>
      <c r="D208" t="inlineStr">
        <is>
          <t>17:00 - 02:00</t>
        </is>
      </c>
      <c r="E208" t="inlineStr">
        <is>
          <t>Short 1</t>
        </is>
      </c>
      <c r="F208" t="inlineStr">
        <is>
          <t>19:15</t>
        </is>
      </c>
      <c r="G208" t="inlineStr">
        <is>
          <t>Mon</t>
        </is>
      </c>
      <c r="H208" t="inlineStr">
        <is>
          <t>19:00</t>
        </is>
      </c>
      <c r="I208" t="n">
        <v>0.25</v>
      </c>
      <c r="J208" t="inlineStr">
        <is>
          <t>Lunch</t>
        </is>
      </c>
      <c r="K208" t="inlineStr">
        <is>
          <t>22:00</t>
        </is>
      </c>
      <c r="L208" t="inlineStr">
        <is>
          <t>Mon</t>
        </is>
      </c>
      <c r="M208" t="inlineStr">
        <is>
          <t>22:00</t>
        </is>
      </c>
      <c r="N208" t="n">
        <v>0.5</v>
      </c>
      <c r="O208" t="inlineStr">
        <is>
          <t>Short 2</t>
        </is>
      </c>
      <c r="P208" t="inlineStr">
        <is>
          <t>00:15</t>
        </is>
      </c>
      <c r="Q208" t="inlineStr">
        <is>
          <t>Tue</t>
        </is>
      </c>
      <c r="R208" t="inlineStr">
        <is>
          <t>00:00</t>
        </is>
      </c>
      <c r="S208" t="n">
        <v>0.25</v>
      </c>
    </row>
    <row r="209">
      <c r="A209" t="n">
        <v>45</v>
      </c>
      <c r="B209" t="inlineStr">
        <is>
          <t>Unassigned Associate 45</t>
        </is>
      </c>
      <c r="C209" t="inlineStr">
        <is>
          <t>Tue</t>
        </is>
      </c>
      <c r="D209" t="inlineStr">
        <is>
          <t>17:00 - 02:00</t>
        </is>
      </c>
      <c r="E209" t="inlineStr">
        <is>
          <t>Short 1</t>
        </is>
      </c>
      <c r="F209" t="inlineStr">
        <is>
          <t>19:15</t>
        </is>
      </c>
      <c r="G209" t="inlineStr">
        <is>
          <t>Tue</t>
        </is>
      </c>
      <c r="H209" t="inlineStr">
        <is>
          <t>19:00</t>
        </is>
      </c>
      <c r="I209" t="n">
        <v>0.25</v>
      </c>
      <c r="J209" t="inlineStr">
        <is>
          <t>Lunch</t>
        </is>
      </c>
      <c r="K209" t="inlineStr">
        <is>
          <t>22:00</t>
        </is>
      </c>
      <c r="L209" t="inlineStr">
        <is>
          <t>Tue</t>
        </is>
      </c>
      <c r="M209" t="inlineStr">
        <is>
          <t>22:00</t>
        </is>
      </c>
      <c r="N209" t="n">
        <v>0.5</v>
      </c>
      <c r="O209" t="inlineStr">
        <is>
          <t>Short 2</t>
        </is>
      </c>
      <c r="P209" t="inlineStr">
        <is>
          <t>00:15</t>
        </is>
      </c>
      <c r="Q209" t="inlineStr">
        <is>
          <t>Wed</t>
        </is>
      </c>
      <c r="R209" t="inlineStr">
        <is>
          <t>00:00</t>
        </is>
      </c>
      <c r="S209" t="n">
        <v>0.25</v>
      </c>
    </row>
    <row r="210">
      <c r="A210" t="n">
        <v>45</v>
      </c>
      <c r="B210" t="inlineStr">
        <is>
          <t>Unassigned Associate 45</t>
        </is>
      </c>
      <c r="C210" t="inlineStr">
        <is>
          <t>Wed</t>
        </is>
      </c>
      <c r="D210" t="inlineStr">
        <is>
          <t>17:00 - 02:00</t>
        </is>
      </c>
      <c r="E210" t="inlineStr">
        <is>
          <t>Short 1</t>
        </is>
      </c>
      <c r="F210" t="inlineStr">
        <is>
          <t>19:15</t>
        </is>
      </c>
      <c r="G210" t="inlineStr">
        <is>
          <t>Wed</t>
        </is>
      </c>
      <c r="H210" t="inlineStr">
        <is>
          <t>19:00</t>
        </is>
      </c>
      <c r="I210" t="n">
        <v>0.25</v>
      </c>
      <c r="J210" t="inlineStr">
        <is>
          <t>Lunch</t>
        </is>
      </c>
      <c r="K210" t="inlineStr">
        <is>
          <t>22:00</t>
        </is>
      </c>
      <c r="L210" t="inlineStr">
        <is>
          <t>Wed</t>
        </is>
      </c>
      <c r="M210" t="inlineStr">
        <is>
          <t>22:00</t>
        </is>
      </c>
      <c r="N210" t="n">
        <v>0.5</v>
      </c>
      <c r="O210" t="inlineStr">
        <is>
          <t>Short 2</t>
        </is>
      </c>
      <c r="P210" t="inlineStr">
        <is>
          <t>00:15</t>
        </is>
      </c>
      <c r="Q210" t="inlineStr">
        <is>
          <t>Thu</t>
        </is>
      </c>
      <c r="R210" t="inlineStr">
        <is>
          <t>00:00</t>
        </is>
      </c>
      <c r="S210" t="n">
        <v>0.25</v>
      </c>
    </row>
    <row r="211">
      <c r="A211" t="n">
        <v>45</v>
      </c>
      <c r="B211" t="inlineStr">
        <is>
          <t>Unassigned Associate 45</t>
        </is>
      </c>
      <c r="C211" t="inlineStr">
        <is>
          <t>Thu</t>
        </is>
      </c>
      <c r="D211" t="inlineStr">
        <is>
          <t>17:00 - 02:00</t>
        </is>
      </c>
      <c r="E211" t="inlineStr">
        <is>
          <t>Short 1</t>
        </is>
      </c>
      <c r="F211" t="inlineStr">
        <is>
          <t>19:15</t>
        </is>
      </c>
      <c r="G211" t="inlineStr">
        <is>
          <t>Thu</t>
        </is>
      </c>
      <c r="H211" t="inlineStr">
        <is>
          <t>19:00</t>
        </is>
      </c>
      <c r="I211" t="n">
        <v>0.25</v>
      </c>
      <c r="J211" t="inlineStr">
        <is>
          <t>Lunch</t>
        </is>
      </c>
      <c r="K211" t="inlineStr">
        <is>
          <t>22:00</t>
        </is>
      </c>
      <c r="L211" t="inlineStr">
        <is>
          <t>Thu</t>
        </is>
      </c>
      <c r="M211" t="inlineStr">
        <is>
          <t>22:00</t>
        </is>
      </c>
      <c r="N211" t="n">
        <v>0.5</v>
      </c>
      <c r="O211" t="inlineStr">
        <is>
          <t>Short 2</t>
        </is>
      </c>
      <c r="P211" t="inlineStr">
        <is>
          <t>00:15</t>
        </is>
      </c>
      <c r="Q211" t="inlineStr">
        <is>
          <t>Fri</t>
        </is>
      </c>
      <c r="R211" t="inlineStr">
        <is>
          <t>00:00</t>
        </is>
      </c>
      <c r="S211" t="n">
        <v>0.25</v>
      </c>
    </row>
    <row r="212">
      <c r="A212" t="n">
        <v>45</v>
      </c>
      <c r="B212" t="inlineStr">
        <is>
          <t>Unassigned Associate 45</t>
        </is>
      </c>
      <c r="C212" t="inlineStr">
        <is>
          <t>Fri</t>
        </is>
      </c>
      <c r="D212" t="inlineStr">
        <is>
          <t>17:00 - 02:00</t>
        </is>
      </c>
      <c r="E212" t="inlineStr">
        <is>
          <t>Short 1</t>
        </is>
      </c>
      <c r="F212" t="inlineStr">
        <is>
          <t>19:15</t>
        </is>
      </c>
      <c r="G212" t="inlineStr">
        <is>
          <t>Fri</t>
        </is>
      </c>
      <c r="H212" t="inlineStr">
        <is>
          <t>19:00</t>
        </is>
      </c>
      <c r="I212" t="n">
        <v>0.25</v>
      </c>
      <c r="J212" t="inlineStr">
        <is>
          <t>Lunch</t>
        </is>
      </c>
      <c r="K212" t="inlineStr">
        <is>
          <t>22:00</t>
        </is>
      </c>
      <c r="L212" t="inlineStr">
        <is>
          <t>Fri</t>
        </is>
      </c>
      <c r="M212" t="inlineStr">
        <is>
          <t>22:00</t>
        </is>
      </c>
      <c r="N212" t="n">
        <v>0.5</v>
      </c>
      <c r="O212" t="inlineStr">
        <is>
          <t>Short 2</t>
        </is>
      </c>
      <c r="P212" t="inlineStr">
        <is>
          <t>00:15</t>
        </is>
      </c>
      <c r="Q212" t="inlineStr">
        <is>
          <t>Sat</t>
        </is>
      </c>
      <c r="R212" t="inlineStr">
        <is>
          <t>00:00</t>
        </is>
      </c>
      <c r="S212" t="n">
        <v>0.25</v>
      </c>
    </row>
    <row r="213">
      <c r="A213" t="n">
        <v>46</v>
      </c>
      <c r="B213" t="inlineStr">
        <is>
          <t>Unassigned Associate 46</t>
        </is>
      </c>
      <c r="C213" t="inlineStr">
        <is>
          <t>Mon</t>
        </is>
      </c>
      <c r="D213" t="inlineStr">
        <is>
          <t>17:00 - 02:00</t>
        </is>
      </c>
      <c r="E213" t="inlineStr">
        <is>
          <t>Short 1</t>
        </is>
      </c>
      <c r="F213" t="inlineStr">
        <is>
          <t>19:15</t>
        </is>
      </c>
      <c r="G213" t="inlineStr">
        <is>
          <t>Mon</t>
        </is>
      </c>
      <c r="H213" t="inlineStr">
        <is>
          <t>19:00</t>
        </is>
      </c>
      <c r="I213" t="n">
        <v>0.25</v>
      </c>
      <c r="J213" t="inlineStr">
        <is>
          <t>Lunch</t>
        </is>
      </c>
      <c r="K213" t="inlineStr">
        <is>
          <t>22:00</t>
        </is>
      </c>
      <c r="L213" t="inlineStr">
        <is>
          <t>Mon</t>
        </is>
      </c>
      <c r="M213" t="inlineStr">
        <is>
          <t>22:00</t>
        </is>
      </c>
      <c r="N213" t="n">
        <v>0.5</v>
      </c>
      <c r="O213" t="inlineStr">
        <is>
          <t>Short 2</t>
        </is>
      </c>
      <c r="P213" t="inlineStr">
        <is>
          <t>00:15</t>
        </is>
      </c>
      <c r="Q213" t="inlineStr">
        <is>
          <t>Tue</t>
        </is>
      </c>
      <c r="R213" t="inlineStr">
        <is>
          <t>00:00</t>
        </is>
      </c>
      <c r="S213" t="n">
        <v>0.25</v>
      </c>
    </row>
    <row r="214">
      <c r="A214" t="n">
        <v>46</v>
      </c>
      <c r="B214" t="inlineStr">
        <is>
          <t>Unassigned Associate 46</t>
        </is>
      </c>
      <c r="C214" t="inlineStr">
        <is>
          <t>Tue</t>
        </is>
      </c>
      <c r="D214" t="inlineStr">
        <is>
          <t>17:00 - 02:00</t>
        </is>
      </c>
      <c r="E214" t="inlineStr">
        <is>
          <t>Short 1</t>
        </is>
      </c>
      <c r="F214" t="inlineStr">
        <is>
          <t>19:15</t>
        </is>
      </c>
      <c r="G214" t="inlineStr">
        <is>
          <t>Tue</t>
        </is>
      </c>
      <c r="H214" t="inlineStr">
        <is>
          <t>19:00</t>
        </is>
      </c>
      <c r="I214" t="n">
        <v>0.25</v>
      </c>
      <c r="J214" t="inlineStr">
        <is>
          <t>Lunch</t>
        </is>
      </c>
      <c r="K214" t="inlineStr">
        <is>
          <t>22:00</t>
        </is>
      </c>
      <c r="L214" t="inlineStr">
        <is>
          <t>Tue</t>
        </is>
      </c>
      <c r="M214" t="inlineStr">
        <is>
          <t>22:00</t>
        </is>
      </c>
      <c r="N214" t="n">
        <v>0.5</v>
      </c>
      <c r="O214" t="inlineStr">
        <is>
          <t>Short 2</t>
        </is>
      </c>
      <c r="P214" t="inlineStr">
        <is>
          <t>00:15</t>
        </is>
      </c>
      <c r="Q214" t="inlineStr">
        <is>
          <t>Wed</t>
        </is>
      </c>
      <c r="R214" t="inlineStr">
        <is>
          <t>00:00</t>
        </is>
      </c>
      <c r="S214" t="n">
        <v>0.25</v>
      </c>
    </row>
    <row r="215">
      <c r="A215" t="n">
        <v>46</v>
      </c>
      <c r="B215" t="inlineStr">
        <is>
          <t>Unassigned Associate 46</t>
        </is>
      </c>
      <c r="C215" t="inlineStr">
        <is>
          <t>Wed</t>
        </is>
      </c>
      <c r="D215" t="inlineStr">
        <is>
          <t>17:00 - 02:00</t>
        </is>
      </c>
      <c r="E215" t="inlineStr">
        <is>
          <t>Short 1</t>
        </is>
      </c>
      <c r="F215" t="inlineStr">
        <is>
          <t>19:15</t>
        </is>
      </c>
      <c r="G215" t="inlineStr">
        <is>
          <t>Wed</t>
        </is>
      </c>
      <c r="H215" t="inlineStr">
        <is>
          <t>19:00</t>
        </is>
      </c>
      <c r="I215" t="n">
        <v>0.25</v>
      </c>
      <c r="J215" t="inlineStr">
        <is>
          <t>Lunch</t>
        </is>
      </c>
      <c r="K215" t="inlineStr">
        <is>
          <t>22:00</t>
        </is>
      </c>
      <c r="L215" t="inlineStr">
        <is>
          <t>Wed</t>
        </is>
      </c>
      <c r="M215" t="inlineStr">
        <is>
          <t>22:00</t>
        </is>
      </c>
      <c r="N215" t="n">
        <v>0.5</v>
      </c>
      <c r="O215" t="inlineStr">
        <is>
          <t>Short 2</t>
        </is>
      </c>
      <c r="P215" t="inlineStr">
        <is>
          <t>00:15</t>
        </is>
      </c>
      <c r="Q215" t="inlineStr">
        <is>
          <t>Thu</t>
        </is>
      </c>
      <c r="R215" t="inlineStr">
        <is>
          <t>00:00</t>
        </is>
      </c>
      <c r="S215" t="n">
        <v>0.25</v>
      </c>
    </row>
    <row r="216">
      <c r="A216" t="n">
        <v>46</v>
      </c>
      <c r="B216" t="inlineStr">
        <is>
          <t>Unassigned Associate 46</t>
        </is>
      </c>
      <c r="C216" t="inlineStr">
        <is>
          <t>Thu</t>
        </is>
      </c>
      <c r="D216" t="inlineStr">
        <is>
          <t>17:00 - 02:00</t>
        </is>
      </c>
      <c r="E216" t="inlineStr">
        <is>
          <t>Short 1</t>
        </is>
      </c>
      <c r="F216" t="inlineStr">
        <is>
          <t>19:15</t>
        </is>
      </c>
      <c r="G216" t="inlineStr">
        <is>
          <t>Thu</t>
        </is>
      </c>
      <c r="H216" t="inlineStr">
        <is>
          <t>19:00</t>
        </is>
      </c>
      <c r="I216" t="n">
        <v>0.25</v>
      </c>
      <c r="J216" t="inlineStr">
        <is>
          <t>Lunch</t>
        </is>
      </c>
      <c r="K216" t="inlineStr">
        <is>
          <t>22:00</t>
        </is>
      </c>
      <c r="L216" t="inlineStr">
        <is>
          <t>Thu</t>
        </is>
      </c>
      <c r="M216" t="inlineStr">
        <is>
          <t>22:00</t>
        </is>
      </c>
      <c r="N216" t="n">
        <v>0.5</v>
      </c>
      <c r="O216" t="inlineStr">
        <is>
          <t>Short 2</t>
        </is>
      </c>
      <c r="P216" t="inlineStr">
        <is>
          <t>00:15</t>
        </is>
      </c>
      <c r="Q216" t="inlineStr">
        <is>
          <t>Fri</t>
        </is>
      </c>
      <c r="R216" t="inlineStr">
        <is>
          <t>00:00</t>
        </is>
      </c>
      <c r="S216" t="n">
        <v>0.25</v>
      </c>
    </row>
    <row r="217">
      <c r="A217" t="n">
        <v>46</v>
      </c>
      <c r="B217" t="inlineStr">
        <is>
          <t>Unassigned Associate 46</t>
        </is>
      </c>
      <c r="C217" t="inlineStr">
        <is>
          <t>Fri</t>
        </is>
      </c>
      <c r="D217" t="inlineStr">
        <is>
          <t>17:00 - 02:00</t>
        </is>
      </c>
      <c r="E217" t="inlineStr">
        <is>
          <t>Short 1</t>
        </is>
      </c>
      <c r="F217" t="inlineStr">
        <is>
          <t>19:15</t>
        </is>
      </c>
      <c r="G217" t="inlineStr">
        <is>
          <t>Fri</t>
        </is>
      </c>
      <c r="H217" t="inlineStr">
        <is>
          <t>19:00</t>
        </is>
      </c>
      <c r="I217" t="n">
        <v>0.25</v>
      </c>
      <c r="J217" t="inlineStr">
        <is>
          <t>Lunch</t>
        </is>
      </c>
      <c r="K217" t="inlineStr">
        <is>
          <t>22:00</t>
        </is>
      </c>
      <c r="L217" t="inlineStr">
        <is>
          <t>Fri</t>
        </is>
      </c>
      <c r="M217" t="inlineStr">
        <is>
          <t>22:00</t>
        </is>
      </c>
      <c r="N217" t="n">
        <v>0.5</v>
      </c>
      <c r="O217" t="inlineStr">
        <is>
          <t>Short 2</t>
        </is>
      </c>
      <c r="P217" t="inlineStr">
        <is>
          <t>00:15</t>
        </is>
      </c>
      <c r="Q217" t="inlineStr">
        <is>
          <t>Sat</t>
        </is>
      </c>
      <c r="R217" t="inlineStr">
        <is>
          <t>00:00</t>
        </is>
      </c>
      <c r="S217" t="n">
        <v>0.25</v>
      </c>
    </row>
    <row r="218">
      <c r="A218" t="n">
        <v>47</v>
      </c>
      <c r="B218" t="inlineStr">
        <is>
          <t>Unassigned Associate 47</t>
        </is>
      </c>
      <c r="C218" t="inlineStr">
        <is>
          <t>Mon</t>
        </is>
      </c>
      <c r="D218" t="inlineStr">
        <is>
          <t>17:00 - 02:00</t>
        </is>
      </c>
      <c r="E218" t="inlineStr">
        <is>
          <t>Short 1</t>
        </is>
      </c>
      <c r="F218" t="inlineStr">
        <is>
          <t>19:15</t>
        </is>
      </c>
      <c r="G218" t="inlineStr">
        <is>
          <t>Mon</t>
        </is>
      </c>
      <c r="H218" t="inlineStr">
        <is>
          <t>19:00</t>
        </is>
      </c>
      <c r="I218" t="n">
        <v>0.25</v>
      </c>
      <c r="J218" t="inlineStr">
        <is>
          <t>Lunch</t>
        </is>
      </c>
      <c r="K218" t="inlineStr">
        <is>
          <t>22:00</t>
        </is>
      </c>
      <c r="L218" t="inlineStr">
        <is>
          <t>Mon</t>
        </is>
      </c>
      <c r="M218" t="inlineStr">
        <is>
          <t>22:00</t>
        </is>
      </c>
      <c r="N218" t="n">
        <v>0.5</v>
      </c>
      <c r="O218" t="inlineStr">
        <is>
          <t>Short 2</t>
        </is>
      </c>
      <c r="P218" t="inlineStr">
        <is>
          <t>00:15</t>
        </is>
      </c>
      <c r="Q218" t="inlineStr">
        <is>
          <t>Tue</t>
        </is>
      </c>
      <c r="R218" t="inlineStr">
        <is>
          <t>00:00</t>
        </is>
      </c>
      <c r="S218" t="n">
        <v>0.25</v>
      </c>
    </row>
    <row r="219">
      <c r="A219" t="n">
        <v>47</v>
      </c>
      <c r="B219" t="inlineStr">
        <is>
          <t>Unassigned Associate 47</t>
        </is>
      </c>
      <c r="C219" t="inlineStr">
        <is>
          <t>Tue</t>
        </is>
      </c>
      <c r="D219" t="inlineStr">
        <is>
          <t>17:00 - 02:00</t>
        </is>
      </c>
      <c r="E219" t="inlineStr">
        <is>
          <t>Short 1</t>
        </is>
      </c>
      <c r="F219" t="inlineStr">
        <is>
          <t>19:15</t>
        </is>
      </c>
      <c r="G219" t="inlineStr">
        <is>
          <t>Tue</t>
        </is>
      </c>
      <c r="H219" t="inlineStr">
        <is>
          <t>19:00</t>
        </is>
      </c>
      <c r="I219" t="n">
        <v>0.25</v>
      </c>
      <c r="J219" t="inlineStr">
        <is>
          <t>Lunch</t>
        </is>
      </c>
      <c r="K219" t="inlineStr">
        <is>
          <t>22:00</t>
        </is>
      </c>
      <c r="L219" t="inlineStr">
        <is>
          <t>Tue</t>
        </is>
      </c>
      <c r="M219" t="inlineStr">
        <is>
          <t>22:00</t>
        </is>
      </c>
      <c r="N219" t="n">
        <v>0.5</v>
      </c>
      <c r="O219" t="inlineStr">
        <is>
          <t>Short 2</t>
        </is>
      </c>
      <c r="P219" t="inlineStr">
        <is>
          <t>00:15</t>
        </is>
      </c>
      <c r="Q219" t="inlineStr">
        <is>
          <t>Wed</t>
        </is>
      </c>
      <c r="R219" t="inlineStr">
        <is>
          <t>00:00</t>
        </is>
      </c>
      <c r="S219" t="n">
        <v>0.25</v>
      </c>
    </row>
    <row r="220">
      <c r="A220" t="n">
        <v>47</v>
      </c>
      <c r="B220" t="inlineStr">
        <is>
          <t>Unassigned Associate 47</t>
        </is>
      </c>
      <c r="C220" t="inlineStr">
        <is>
          <t>Wed</t>
        </is>
      </c>
      <c r="D220" t="inlineStr">
        <is>
          <t>17:00 - 02:00</t>
        </is>
      </c>
      <c r="E220" t="inlineStr">
        <is>
          <t>Short 1</t>
        </is>
      </c>
      <c r="F220" t="inlineStr">
        <is>
          <t>19:15</t>
        </is>
      </c>
      <c r="G220" t="inlineStr">
        <is>
          <t>Wed</t>
        </is>
      </c>
      <c r="H220" t="inlineStr">
        <is>
          <t>19:00</t>
        </is>
      </c>
      <c r="I220" t="n">
        <v>0.25</v>
      </c>
      <c r="J220" t="inlineStr">
        <is>
          <t>Lunch</t>
        </is>
      </c>
      <c r="K220" t="inlineStr">
        <is>
          <t>22:00</t>
        </is>
      </c>
      <c r="L220" t="inlineStr">
        <is>
          <t>Wed</t>
        </is>
      </c>
      <c r="M220" t="inlineStr">
        <is>
          <t>22:00</t>
        </is>
      </c>
      <c r="N220" t="n">
        <v>0.5</v>
      </c>
      <c r="O220" t="inlineStr">
        <is>
          <t>Short 2</t>
        </is>
      </c>
      <c r="P220" t="inlineStr">
        <is>
          <t>00:15</t>
        </is>
      </c>
      <c r="Q220" t="inlineStr">
        <is>
          <t>Thu</t>
        </is>
      </c>
      <c r="R220" t="inlineStr">
        <is>
          <t>00:00</t>
        </is>
      </c>
      <c r="S220" t="n">
        <v>0.25</v>
      </c>
    </row>
    <row r="221">
      <c r="A221" t="n">
        <v>47</v>
      </c>
      <c r="B221" t="inlineStr">
        <is>
          <t>Unassigned Associate 47</t>
        </is>
      </c>
      <c r="C221" t="inlineStr">
        <is>
          <t>Thu</t>
        </is>
      </c>
      <c r="D221" t="inlineStr">
        <is>
          <t>17:00 - 02:00</t>
        </is>
      </c>
      <c r="E221" t="inlineStr">
        <is>
          <t>Short 1</t>
        </is>
      </c>
      <c r="F221" t="inlineStr">
        <is>
          <t>19:15</t>
        </is>
      </c>
      <c r="G221" t="inlineStr">
        <is>
          <t>Thu</t>
        </is>
      </c>
      <c r="H221" t="inlineStr">
        <is>
          <t>19:00</t>
        </is>
      </c>
      <c r="I221" t="n">
        <v>0.25</v>
      </c>
      <c r="J221" t="inlineStr">
        <is>
          <t>Lunch</t>
        </is>
      </c>
      <c r="K221" t="inlineStr">
        <is>
          <t>22:00</t>
        </is>
      </c>
      <c r="L221" t="inlineStr">
        <is>
          <t>Thu</t>
        </is>
      </c>
      <c r="M221" t="inlineStr">
        <is>
          <t>22:00</t>
        </is>
      </c>
      <c r="N221" t="n">
        <v>0.5</v>
      </c>
      <c r="O221" t="inlineStr">
        <is>
          <t>Short 2</t>
        </is>
      </c>
      <c r="P221" t="inlineStr">
        <is>
          <t>00:15</t>
        </is>
      </c>
      <c r="Q221" t="inlineStr">
        <is>
          <t>Fri</t>
        </is>
      </c>
      <c r="R221" t="inlineStr">
        <is>
          <t>00:00</t>
        </is>
      </c>
      <c r="S221" t="n">
        <v>0.25</v>
      </c>
    </row>
    <row r="222">
      <c r="A222" t="n">
        <v>47</v>
      </c>
      <c r="B222" t="inlineStr">
        <is>
          <t>Unassigned Associate 47</t>
        </is>
      </c>
      <c r="C222" t="inlineStr">
        <is>
          <t>Fri</t>
        </is>
      </c>
      <c r="D222" t="inlineStr">
        <is>
          <t>17:00 - 02:00</t>
        </is>
      </c>
      <c r="E222" t="inlineStr">
        <is>
          <t>Short 1</t>
        </is>
      </c>
      <c r="F222" t="inlineStr">
        <is>
          <t>19:15</t>
        </is>
      </c>
      <c r="G222" t="inlineStr">
        <is>
          <t>Fri</t>
        </is>
      </c>
      <c r="H222" t="inlineStr">
        <is>
          <t>19:00</t>
        </is>
      </c>
      <c r="I222" t="n">
        <v>0.25</v>
      </c>
      <c r="J222" t="inlineStr">
        <is>
          <t>Lunch</t>
        </is>
      </c>
      <c r="K222" t="inlineStr">
        <is>
          <t>22:00</t>
        </is>
      </c>
      <c r="L222" t="inlineStr">
        <is>
          <t>Fri</t>
        </is>
      </c>
      <c r="M222" t="inlineStr">
        <is>
          <t>22:00</t>
        </is>
      </c>
      <c r="N222" t="n">
        <v>0.5</v>
      </c>
      <c r="O222" t="inlineStr">
        <is>
          <t>Short 2</t>
        </is>
      </c>
      <c r="P222" t="inlineStr">
        <is>
          <t>00:15</t>
        </is>
      </c>
      <c r="Q222" t="inlineStr">
        <is>
          <t>Sat</t>
        </is>
      </c>
      <c r="R222" t="inlineStr">
        <is>
          <t>00:00</t>
        </is>
      </c>
      <c r="S222" t="n">
        <v>0.25</v>
      </c>
    </row>
    <row r="223">
      <c r="A223" t="n">
        <v>48</v>
      </c>
      <c r="B223" t="inlineStr">
        <is>
          <t>Unassigned Associate 48</t>
        </is>
      </c>
      <c r="C223" t="inlineStr">
        <is>
          <t>Mon</t>
        </is>
      </c>
      <c r="D223" t="inlineStr">
        <is>
          <t>17:00 - 02:00</t>
        </is>
      </c>
      <c r="E223" t="inlineStr">
        <is>
          <t>Short 1</t>
        </is>
      </c>
      <c r="F223" t="inlineStr">
        <is>
          <t>19:15</t>
        </is>
      </c>
      <c r="G223" t="inlineStr">
        <is>
          <t>Mon</t>
        </is>
      </c>
      <c r="H223" t="inlineStr">
        <is>
          <t>19:00</t>
        </is>
      </c>
      <c r="I223" t="n">
        <v>0.25</v>
      </c>
      <c r="J223" t="inlineStr">
        <is>
          <t>Lunch</t>
        </is>
      </c>
      <c r="K223" t="inlineStr">
        <is>
          <t>22:00</t>
        </is>
      </c>
      <c r="L223" t="inlineStr">
        <is>
          <t>Mon</t>
        </is>
      </c>
      <c r="M223" t="inlineStr">
        <is>
          <t>22:00</t>
        </is>
      </c>
      <c r="N223" t="n">
        <v>0.5</v>
      </c>
      <c r="O223" t="inlineStr">
        <is>
          <t>Short 2</t>
        </is>
      </c>
      <c r="P223" t="inlineStr">
        <is>
          <t>00:15</t>
        </is>
      </c>
      <c r="Q223" t="inlineStr">
        <is>
          <t>Tue</t>
        </is>
      </c>
      <c r="R223" t="inlineStr">
        <is>
          <t>00:00</t>
        </is>
      </c>
      <c r="S223" t="n">
        <v>0.25</v>
      </c>
    </row>
    <row r="224">
      <c r="A224" t="n">
        <v>48</v>
      </c>
      <c r="B224" t="inlineStr">
        <is>
          <t>Unassigned Associate 48</t>
        </is>
      </c>
      <c r="C224" t="inlineStr">
        <is>
          <t>Tue</t>
        </is>
      </c>
      <c r="D224" t="inlineStr">
        <is>
          <t>17:00 - 02:00</t>
        </is>
      </c>
      <c r="E224" t="inlineStr">
        <is>
          <t>Short 1</t>
        </is>
      </c>
      <c r="F224" t="inlineStr">
        <is>
          <t>19:15</t>
        </is>
      </c>
      <c r="G224" t="inlineStr">
        <is>
          <t>Tue</t>
        </is>
      </c>
      <c r="H224" t="inlineStr">
        <is>
          <t>19:00</t>
        </is>
      </c>
      <c r="I224" t="n">
        <v>0.25</v>
      </c>
      <c r="J224" t="inlineStr">
        <is>
          <t>Lunch</t>
        </is>
      </c>
      <c r="K224" t="inlineStr">
        <is>
          <t>22:00</t>
        </is>
      </c>
      <c r="L224" t="inlineStr">
        <is>
          <t>Tue</t>
        </is>
      </c>
      <c r="M224" t="inlineStr">
        <is>
          <t>22:00</t>
        </is>
      </c>
      <c r="N224" t="n">
        <v>0.5</v>
      </c>
      <c r="O224" t="inlineStr">
        <is>
          <t>Short 2</t>
        </is>
      </c>
      <c r="P224" t="inlineStr">
        <is>
          <t>00:15</t>
        </is>
      </c>
      <c r="Q224" t="inlineStr">
        <is>
          <t>Wed</t>
        </is>
      </c>
      <c r="R224" t="inlineStr">
        <is>
          <t>00:00</t>
        </is>
      </c>
      <c r="S224" t="n">
        <v>0.25</v>
      </c>
    </row>
    <row r="225">
      <c r="A225" t="n">
        <v>48</v>
      </c>
      <c r="B225" t="inlineStr">
        <is>
          <t>Unassigned Associate 48</t>
        </is>
      </c>
      <c r="C225" t="inlineStr">
        <is>
          <t>Wed</t>
        </is>
      </c>
      <c r="D225" t="inlineStr">
        <is>
          <t>17:00 - 02:00</t>
        </is>
      </c>
      <c r="E225" t="inlineStr">
        <is>
          <t>Short 1</t>
        </is>
      </c>
      <c r="F225" t="inlineStr">
        <is>
          <t>19:15</t>
        </is>
      </c>
      <c r="G225" t="inlineStr">
        <is>
          <t>Wed</t>
        </is>
      </c>
      <c r="H225" t="inlineStr">
        <is>
          <t>19:00</t>
        </is>
      </c>
      <c r="I225" t="n">
        <v>0.25</v>
      </c>
      <c r="J225" t="inlineStr">
        <is>
          <t>Lunch</t>
        </is>
      </c>
      <c r="K225" t="inlineStr">
        <is>
          <t>22:00</t>
        </is>
      </c>
      <c r="L225" t="inlineStr">
        <is>
          <t>Wed</t>
        </is>
      </c>
      <c r="M225" t="inlineStr">
        <is>
          <t>22:00</t>
        </is>
      </c>
      <c r="N225" t="n">
        <v>0.5</v>
      </c>
      <c r="O225" t="inlineStr">
        <is>
          <t>Short 2</t>
        </is>
      </c>
      <c r="P225" t="inlineStr">
        <is>
          <t>00:15</t>
        </is>
      </c>
      <c r="Q225" t="inlineStr">
        <is>
          <t>Thu</t>
        </is>
      </c>
      <c r="R225" t="inlineStr">
        <is>
          <t>00:00</t>
        </is>
      </c>
      <c r="S225" t="n">
        <v>0.25</v>
      </c>
    </row>
    <row r="226">
      <c r="A226" t="n">
        <v>48</v>
      </c>
      <c r="B226" t="inlineStr">
        <is>
          <t>Unassigned Associate 48</t>
        </is>
      </c>
      <c r="C226" t="inlineStr">
        <is>
          <t>Thu</t>
        </is>
      </c>
      <c r="D226" t="inlineStr">
        <is>
          <t>17:00 - 02:00</t>
        </is>
      </c>
      <c r="E226" t="inlineStr">
        <is>
          <t>Short 1</t>
        </is>
      </c>
      <c r="F226" t="inlineStr">
        <is>
          <t>19:15</t>
        </is>
      </c>
      <c r="G226" t="inlineStr">
        <is>
          <t>Thu</t>
        </is>
      </c>
      <c r="H226" t="inlineStr">
        <is>
          <t>19:00</t>
        </is>
      </c>
      <c r="I226" t="n">
        <v>0.25</v>
      </c>
      <c r="J226" t="inlineStr">
        <is>
          <t>Lunch</t>
        </is>
      </c>
      <c r="K226" t="inlineStr">
        <is>
          <t>22:00</t>
        </is>
      </c>
      <c r="L226" t="inlineStr">
        <is>
          <t>Thu</t>
        </is>
      </c>
      <c r="M226" t="inlineStr">
        <is>
          <t>22:00</t>
        </is>
      </c>
      <c r="N226" t="n">
        <v>0.5</v>
      </c>
      <c r="O226" t="inlineStr">
        <is>
          <t>Short 2</t>
        </is>
      </c>
      <c r="P226" t="inlineStr">
        <is>
          <t>00:15</t>
        </is>
      </c>
      <c r="Q226" t="inlineStr">
        <is>
          <t>Fri</t>
        </is>
      </c>
      <c r="R226" t="inlineStr">
        <is>
          <t>00:00</t>
        </is>
      </c>
      <c r="S226" t="n">
        <v>0.25</v>
      </c>
    </row>
    <row r="227">
      <c r="A227" t="n">
        <v>48</v>
      </c>
      <c r="B227" t="inlineStr">
        <is>
          <t>Unassigned Associate 48</t>
        </is>
      </c>
      <c r="C227" t="inlineStr">
        <is>
          <t>Fri</t>
        </is>
      </c>
      <c r="D227" t="inlineStr">
        <is>
          <t>17:00 - 02:00</t>
        </is>
      </c>
      <c r="E227" t="inlineStr">
        <is>
          <t>Short 1</t>
        </is>
      </c>
      <c r="F227" t="inlineStr">
        <is>
          <t>19:15</t>
        </is>
      </c>
      <c r="G227" t="inlineStr">
        <is>
          <t>Fri</t>
        </is>
      </c>
      <c r="H227" t="inlineStr">
        <is>
          <t>19:00</t>
        </is>
      </c>
      <c r="I227" t="n">
        <v>0.25</v>
      </c>
      <c r="J227" t="inlineStr">
        <is>
          <t>Lunch</t>
        </is>
      </c>
      <c r="K227" t="inlineStr">
        <is>
          <t>22:00</t>
        </is>
      </c>
      <c r="L227" t="inlineStr">
        <is>
          <t>Fri</t>
        </is>
      </c>
      <c r="M227" t="inlineStr">
        <is>
          <t>22:00</t>
        </is>
      </c>
      <c r="N227" t="n">
        <v>0.5</v>
      </c>
      <c r="O227" t="inlineStr">
        <is>
          <t>Short 2</t>
        </is>
      </c>
      <c r="P227" t="inlineStr">
        <is>
          <t>00:15</t>
        </is>
      </c>
      <c r="Q227" t="inlineStr">
        <is>
          <t>Sat</t>
        </is>
      </c>
      <c r="R227" t="inlineStr">
        <is>
          <t>00:00</t>
        </is>
      </c>
      <c r="S227" t="n">
        <v>0.25</v>
      </c>
    </row>
    <row r="228">
      <c r="A228" t="n">
        <v>49</v>
      </c>
      <c r="B228" t="inlineStr">
        <is>
          <t>Unassigned Associate 49</t>
        </is>
      </c>
      <c r="C228" t="inlineStr">
        <is>
          <t>Mon</t>
        </is>
      </c>
      <c r="D228" t="inlineStr">
        <is>
          <t>17:00 - 02:00</t>
        </is>
      </c>
      <c r="E228" t="inlineStr">
        <is>
          <t>Short 1</t>
        </is>
      </c>
      <c r="F228" t="inlineStr">
        <is>
          <t>19:15</t>
        </is>
      </c>
      <c r="G228" t="inlineStr">
        <is>
          <t>Mon</t>
        </is>
      </c>
      <c r="H228" t="inlineStr">
        <is>
          <t>19:00</t>
        </is>
      </c>
      <c r="I228" t="n">
        <v>0.25</v>
      </c>
      <c r="J228" t="inlineStr">
        <is>
          <t>Lunch</t>
        </is>
      </c>
      <c r="K228" t="inlineStr">
        <is>
          <t>22:00</t>
        </is>
      </c>
      <c r="L228" t="inlineStr">
        <is>
          <t>Mon</t>
        </is>
      </c>
      <c r="M228" t="inlineStr">
        <is>
          <t>22:00</t>
        </is>
      </c>
      <c r="N228" t="n">
        <v>0.5</v>
      </c>
      <c r="O228" t="inlineStr">
        <is>
          <t>Short 2</t>
        </is>
      </c>
      <c r="P228" t="inlineStr">
        <is>
          <t>00:15</t>
        </is>
      </c>
      <c r="Q228" t="inlineStr">
        <is>
          <t>Tue</t>
        </is>
      </c>
      <c r="R228" t="inlineStr">
        <is>
          <t>00:00</t>
        </is>
      </c>
      <c r="S228" t="n">
        <v>0.25</v>
      </c>
    </row>
    <row r="229">
      <c r="A229" t="n">
        <v>49</v>
      </c>
      <c r="B229" t="inlineStr">
        <is>
          <t>Unassigned Associate 49</t>
        </is>
      </c>
      <c r="C229" t="inlineStr">
        <is>
          <t>Tue</t>
        </is>
      </c>
      <c r="D229" t="inlineStr">
        <is>
          <t>17:00 - 02:00</t>
        </is>
      </c>
      <c r="E229" t="inlineStr">
        <is>
          <t>Short 1</t>
        </is>
      </c>
      <c r="F229" t="inlineStr">
        <is>
          <t>19:15</t>
        </is>
      </c>
      <c r="G229" t="inlineStr">
        <is>
          <t>Tue</t>
        </is>
      </c>
      <c r="H229" t="inlineStr">
        <is>
          <t>19:00</t>
        </is>
      </c>
      <c r="I229" t="n">
        <v>0.25</v>
      </c>
      <c r="J229" t="inlineStr">
        <is>
          <t>Lunch</t>
        </is>
      </c>
      <c r="K229" t="inlineStr">
        <is>
          <t>22:00</t>
        </is>
      </c>
      <c r="L229" t="inlineStr">
        <is>
          <t>Tue</t>
        </is>
      </c>
      <c r="M229" t="inlineStr">
        <is>
          <t>22:00</t>
        </is>
      </c>
      <c r="N229" t="n">
        <v>0.5</v>
      </c>
      <c r="O229" t="inlineStr">
        <is>
          <t>Short 2</t>
        </is>
      </c>
      <c r="P229" t="inlineStr">
        <is>
          <t>00:15</t>
        </is>
      </c>
      <c r="Q229" t="inlineStr">
        <is>
          <t>Wed</t>
        </is>
      </c>
      <c r="R229" t="inlineStr">
        <is>
          <t>00:00</t>
        </is>
      </c>
      <c r="S229" t="n">
        <v>0.25</v>
      </c>
    </row>
    <row r="230">
      <c r="A230" t="n">
        <v>49</v>
      </c>
      <c r="B230" t="inlineStr">
        <is>
          <t>Unassigned Associate 49</t>
        </is>
      </c>
      <c r="C230" t="inlineStr">
        <is>
          <t>Wed</t>
        </is>
      </c>
      <c r="D230" t="inlineStr">
        <is>
          <t>17:00 - 02:00</t>
        </is>
      </c>
      <c r="E230" t="inlineStr">
        <is>
          <t>Short 1</t>
        </is>
      </c>
      <c r="F230" t="inlineStr">
        <is>
          <t>19:15</t>
        </is>
      </c>
      <c r="G230" t="inlineStr">
        <is>
          <t>Wed</t>
        </is>
      </c>
      <c r="H230" t="inlineStr">
        <is>
          <t>19:00</t>
        </is>
      </c>
      <c r="I230" t="n">
        <v>0.25</v>
      </c>
      <c r="J230" t="inlineStr">
        <is>
          <t>Lunch</t>
        </is>
      </c>
      <c r="K230" t="inlineStr">
        <is>
          <t>22:00</t>
        </is>
      </c>
      <c r="L230" t="inlineStr">
        <is>
          <t>Wed</t>
        </is>
      </c>
      <c r="M230" t="inlineStr">
        <is>
          <t>22:00</t>
        </is>
      </c>
      <c r="N230" t="n">
        <v>0.5</v>
      </c>
      <c r="O230" t="inlineStr">
        <is>
          <t>Short 2</t>
        </is>
      </c>
      <c r="P230" t="inlineStr">
        <is>
          <t>00:15</t>
        </is>
      </c>
      <c r="Q230" t="inlineStr">
        <is>
          <t>Thu</t>
        </is>
      </c>
      <c r="R230" t="inlineStr">
        <is>
          <t>00:00</t>
        </is>
      </c>
      <c r="S230" t="n">
        <v>0.25</v>
      </c>
    </row>
    <row r="231">
      <c r="A231" t="n">
        <v>49</v>
      </c>
      <c r="B231" t="inlineStr">
        <is>
          <t>Unassigned Associate 49</t>
        </is>
      </c>
      <c r="C231" t="inlineStr">
        <is>
          <t>Thu</t>
        </is>
      </c>
      <c r="D231" t="inlineStr">
        <is>
          <t>17:00 - 02:00</t>
        </is>
      </c>
      <c r="E231" t="inlineStr">
        <is>
          <t>Short 1</t>
        </is>
      </c>
      <c r="F231" t="inlineStr">
        <is>
          <t>19:15</t>
        </is>
      </c>
      <c r="G231" t="inlineStr">
        <is>
          <t>Thu</t>
        </is>
      </c>
      <c r="H231" t="inlineStr">
        <is>
          <t>19:00</t>
        </is>
      </c>
      <c r="I231" t="n">
        <v>0.25</v>
      </c>
      <c r="J231" t="inlineStr">
        <is>
          <t>Lunch</t>
        </is>
      </c>
      <c r="K231" t="inlineStr">
        <is>
          <t>22:00</t>
        </is>
      </c>
      <c r="L231" t="inlineStr">
        <is>
          <t>Thu</t>
        </is>
      </c>
      <c r="M231" t="inlineStr">
        <is>
          <t>22:00</t>
        </is>
      </c>
      <c r="N231" t="n">
        <v>0.5</v>
      </c>
      <c r="O231" t="inlineStr">
        <is>
          <t>Short 2</t>
        </is>
      </c>
      <c r="P231" t="inlineStr">
        <is>
          <t>00:15</t>
        </is>
      </c>
      <c r="Q231" t="inlineStr">
        <is>
          <t>Fri</t>
        </is>
      </c>
      <c r="R231" t="inlineStr">
        <is>
          <t>00:00</t>
        </is>
      </c>
      <c r="S231" t="n">
        <v>0.25</v>
      </c>
    </row>
    <row r="232">
      <c r="A232" t="n">
        <v>49</v>
      </c>
      <c r="B232" t="inlineStr">
        <is>
          <t>Unassigned Associate 49</t>
        </is>
      </c>
      <c r="C232" t="inlineStr">
        <is>
          <t>Fri</t>
        </is>
      </c>
      <c r="D232" t="inlineStr">
        <is>
          <t>17:00 - 02:00</t>
        </is>
      </c>
      <c r="E232" t="inlineStr">
        <is>
          <t>Short 1</t>
        </is>
      </c>
      <c r="F232" t="inlineStr">
        <is>
          <t>19:15</t>
        </is>
      </c>
      <c r="G232" t="inlineStr">
        <is>
          <t>Fri</t>
        </is>
      </c>
      <c r="H232" t="inlineStr">
        <is>
          <t>19:00</t>
        </is>
      </c>
      <c r="I232" t="n">
        <v>0.25</v>
      </c>
      <c r="J232" t="inlineStr">
        <is>
          <t>Lunch</t>
        </is>
      </c>
      <c r="K232" t="inlineStr">
        <is>
          <t>22:00</t>
        </is>
      </c>
      <c r="L232" t="inlineStr">
        <is>
          <t>Fri</t>
        </is>
      </c>
      <c r="M232" t="inlineStr">
        <is>
          <t>22:00</t>
        </is>
      </c>
      <c r="N232" t="n">
        <v>0.5</v>
      </c>
      <c r="O232" t="inlineStr">
        <is>
          <t>Short 2</t>
        </is>
      </c>
      <c r="P232" t="inlineStr">
        <is>
          <t>00:15</t>
        </is>
      </c>
      <c r="Q232" t="inlineStr">
        <is>
          <t>Sat</t>
        </is>
      </c>
      <c r="R232" t="inlineStr">
        <is>
          <t>00:00</t>
        </is>
      </c>
      <c r="S232" t="n">
        <v>0.25</v>
      </c>
    </row>
    <row r="233">
      <c r="A233" t="n">
        <v>50</v>
      </c>
      <c r="B233" t="inlineStr">
        <is>
          <t>Unassigned Associate 50</t>
        </is>
      </c>
      <c r="C233" t="inlineStr">
        <is>
          <t>Mon</t>
        </is>
      </c>
      <c r="D233" t="inlineStr">
        <is>
          <t>17:00 - 02:00</t>
        </is>
      </c>
      <c r="E233" t="inlineStr">
        <is>
          <t>Short 1</t>
        </is>
      </c>
      <c r="F233" t="inlineStr">
        <is>
          <t>19:15</t>
        </is>
      </c>
      <c r="G233" t="inlineStr">
        <is>
          <t>Mon</t>
        </is>
      </c>
      <c r="H233" t="inlineStr">
        <is>
          <t>19:00</t>
        </is>
      </c>
      <c r="I233" t="n">
        <v>0.25</v>
      </c>
      <c r="J233" t="inlineStr">
        <is>
          <t>Lunch</t>
        </is>
      </c>
      <c r="K233" t="inlineStr">
        <is>
          <t>22:00</t>
        </is>
      </c>
      <c r="L233" t="inlineStr">
        <is>
          <t>Mon</t>
        </is>
      </c>
      <c r="M233" t="inlineStr">
        <is>
          <t>22:00</t>
        </is>
      </c>
      <c r="N233" t="n">
        <v>0.5</v>
      </c>
      <c r="O233" t="inlineStr">
        <is>
          <t>Short 2</t>
        </is>
      </c>
      <c r="P233" t="inlineStr">
        <is>
          <t>00:15</t>
        </is>
      </c>
      <c r="Q233" t="inlineStr">
        <is>
          <t>Tue</t>
        </is>
      </c>
      <c r="R233" t="inlineStr">
        <is>
          <t>00:00</t>
        </is>
      </c>
      <c r="S233" t="n">
        <v>0.25</v>
      </c>
    </row>
    <row r="234">
      <c r="A234" t="n">
        <v>50</v>
      </c>
      <c r="B234" t="inlineStr">
        <is>
          <t>Unassigned Associate 50</t>
        </is>
      </c>
      <c r="C234" t="inlineStr">
        <is>
          <t>Tue</t>
        </is>
      </c>
      <c r="D234" t="inlineStr">
        <is>
          <t>17:00 - 02:00</t>
        </is>
      </c>
      <c r="E234" t="inlineStr">
        <is>
          <t>Short 1</t>
        </is>
      </c>
      <c r="F234" t="inlineStr">
        <is>
          <t>19:15</t>
        </is>
      </c>
      <c r="G234" t="inlineStr">
        <is>
          <t>Tue</t>
        </is>
      </c>
      <c r="H234" t="inlineStr">
        <is>
          <t>19:00</t>
        </is>
      </c>
      <c r="I234" t="n">
        <v>0.25</v>
      </c>
      <c r="J234" t="inlineStr">
        <is>
          <t>Lunch</t>
        </is>
      </c>
      <c r="K234" t="inlineStr">
        <is>
          <t>22:00</t>
        </is>
      </c>
      <c r="L234" t="inlineStr">
        <is>
          <t>Tue</t>
        </is>
      </c>
      <c r="M234" t="inlineStr">
        <is>
          <t>22:00</t>
        </is>
      </c>
      <c r="N234" t="n">
        <v>0.5</v>
      </c>
      <c r="O234" t="inlineStr">
        <is>
          <t>Short 2</t>
        </is>
      </c>
      <c r="P234" t="inlineStr">
        <is>
          <t>00:15</t>
        </is>
      </c>
      <c r="Q234" t="inlineStr">
        <is>
          <t>Wed</t>
        </is>
      </c>
      <c r="R234" t="inlineStr">
        <is>
          <t>00:00</t>
        </is>
      </c>
      <c r="S234" t="n">
        <v>0.25</v>
      </c>
    </row>
    <row r="235">
      <c r="A235" t="n">
        <v>50</v>
      </c>
      <c r="B235" t="inlineStr">
        <is>
          <t>Unassigned Associate 50</t>
        </is>
      </c>
      <c r="C235" t="inlineStr">
        <is>
          <t>Wed</t>
        </is>
      </c>
      <c r="D235" t="inlineStr">
        <is>
          <t>17:00 - 02:00</t>
        </is>
      </c>
      <c r="E235" t="inlineStr">
        <is>
          <t>Short 1</t>
        </is>
      </c>
      <c r="F235" t="inlineStr">
        <is>
          <t>19:15</t>
        </is>
      </c>
      <c r="G235" t="inlineStr">
        <is>
          <t>Wed</t>
        </is>
      </c>
      <c r="H235" t="inlineStr">
        <is>
          <t>19:00</t>
        </is>
      </c>
      <c r="I235" t="n">
        <v>0.25</v>
      </c>
      <c r="J235" t="inlineStr">
        <is>
          <t>Lunch</t>
        </is>
      </c>
      <c r="K235" t="inlineStr">
        <is>
          <t>22:00</t>
        </is>
      </c>
      <c r="L235" t="inlineStr">
        <is>
          <t>Wed</t>
        </is>
      </c>
      <c r="M235" t="inlineStr">
        <is>
          <t>22:00</t>
        </is>
      </c>
      <c r="N235" t="n">
        <v>0.5</v>
      </c>
      <c r="O235" t="inlineStr">
        <is>
          <t>Short 2</t>
        </is>
      </c>
      <c r="P235" t="inlineStr">
        <is>
          <t>00:15</t>
        </is>
      </c>
      <c r="Q235" t="inlineStr">
        <is>
          <t>Thu</t>
        </is>
      </c>
      <c r="R235" t="inlineStr">
        <is>
          <t>00:00</t>
        </is>
      </c>
      <c r="S235" t="n">
        <v>0.25</v>
      </c>
    </row>
    <row r="236">
      <c r="A236" t="n">
        <v>50</v>
      </c>
      <c r="B236" t="inlineStr">
        <is>
          <t>Unassigned Associate 50</t>
        </is>
      </c>
      <c r="C236" t="inlineStr">
        <is>
          <t>Thu</t>
        </is>
      </c>
      <c r="D236" t="inlineStr">
        <is>
          <t>17:00 - 02:00</t>
        </is>
      </c>
      <c r="E236" t="inlineStr">
        <is>
          <t>Short 1</t>
        </is>
      </c>
      <c r="F236" t="inlineStr">
        <is>
          <t>19:15</t>
        </is>
      </c>
      <c r="G236" t="inlineStr">
        <is>
          <t>Thu</t>
        </is>
      </c>
      <c r="H236" t="inlineStr">
        <is>
          <t>19:00</t>
        </is>
      </c>
      <c r="I236" t="n">
        <v>0.25</v>
      </c>
      <c r="J236" t="inlineStr">
        <is>
          <t>Lunch</t>
        </is>
      </c>
      <c r="K236" t="inlineStr">
        <is>
          <t>22:00</t>
        </is>
      </c>
      <c r="L236" t="inlineStr">
        <is>
          <t>Thu</t>
        </is>
      </c>
      <c r="M236" t="inlineStr">
        <is>
          <t>22:00</t>
        </is>
      </c>
      <c r="N236" t="n">
        <v>0.5</v>
      </c>
      <c r="O236" t="inlineStr">
        <is>
          <t>Short 2</t>
        </is>
      </c>
      <c r="P236" t="inlineStr">
        <is>
          <t>00:15</t>
        </is>
      </c>
      <c r="Q236" t="inlineStr">
        <is>
          <t>Fri</t>
        </is>
      </c>
      <c r="R236" t="inlineStr">
        <is>
          <t>00:00</t>
        </is>
      </c>
      <c r="S236" t="n">
        <v>0.25</v>
      </c>
    </row>
    <row r="237">
      <c r="A237" t="n">
        <v>50</v>
      </c>
      <c r="B237" t="inlineStr">
        <is>
          <t>Unassigned Associate 50</t>
        </is>
      </c>
      <c r="C237" t="inlineStr">
        <is>
          <t>Fri</t>
        </is>
      </c>
      <c r="D237" t="inlineStr">
        <is>
          <t>17:00 - 02:00</t>
        </is>
      </c>
      <c r="E237" t="inlineStr">
        <is>
          <t>Short 1</t>
        </is>
      </c>
      <c r="F237" t="inlineStr">
        <is>
          <t>19:15</t>
        </is>
      </c>
      <c r="G237" t="inlineStr">
        <is>
          <t>Fri</t>
        </is>
      </c>
      <c r="H237" t="inlineStr">
        <is>
          <t>19:00</t>
        </is>
      </c>
      <c r="I237" t="n">
        <v>0.25</v>
      </c>
      <c r="J237" t="inlineStr">
        <is>
          <t>Lunch</t>
        </is>
      </c>
      <c r="K237" t="inlineStr">
        <is>
          <t>22:00</t>
        </is>
      </c>
      <c r="L237" t="inlineStr">
        <is>
          <t>Fri</t>
        </is>
      </c>
      <c r="M237" t="inlineStr">
        <is>
          <t>22:00</t>
        </is>
      </c>
      <c r="N237" t="n">
        <v>0.5</v>
      </c>
      <c r="O237" t="inlineStr">
        <is>
          <t>Short 2</t>
        </is>
      </c>
      <c r="P237" t="inlineStr">
        <is>
          <t>00:15</t>
        </is>
      </c>
      <c r="Q237" t="inlineStr">
        <is>
          <t>Sat</t>
        </is>
      </c>
      <c r="R237" t="inlineStr">
        <is>
          <t>00:00</t>
        </is>
      </c>
      <c r="S237" t="n">
        <v>0.25</v>
      </c>
    </row>
    <row r="238">
      <c r="A238" t="n">
        <v>51</v>
      </c>
      <c r="B238" t="inlineStr">
        <is>
          <t>Unassigned Associate 51</t>
        </is>
      </c>
      <c r="C238" t="inlineStr">
        <is>
          <t>Mon</t>
        </is>
      </c>
      <c r="D238" t="inlineStr">
        <is>
          <t>17:00 - 02:00</t>
        </is>
      </c>
      <c r="E238" t="inlineStr">
        <is>
          <t>Short 1</t>
        </is>
      </c>
      <c r="F238" t="inlineStr">
        <is>
          <t>19:15</t>
        </is>
      </c>
      <c r="G238" t="inlineStr">
        <is>
          <t>Mon</t>
        </is>
      </c>
      <c r="H238" t="inlineStr">
        <is>
          <t>19:00</t>
        </is>
      </c>
      <c r="I238" t="n">
        <v>0.25</v>
      </c>
      <c r="J238" t="inlineStr">
        <is>
          <t>Lunch</t>
        </is>
      </c>
      <c r="K238" t="inlineStr">
        <is>
          <t>22:00</t>
        </is>
      </c>
      <c r="L238" t="inlineStr">
        <is>
          <t>Mon</t>
        </is>
      </c>
      <c r="M238" t="inlineStr">
        <is>
          <t>22:00</t>
        </is>
      </c>
      <c r="N238" t="n">
        <v>0.5</v>
      </c>
      <c r="O238" t="inlineStr">
        <is>
          <t>Short 2</t>
        </is>
      </c>
      <c r="P238" t="inlineStr">
        <is>
          <t>00:15</t>
        </is>
      </c>
      <c r="Q238" t="inlineStr">
        <is>
          <t>Tue</t>
        </is>
      </c>
      <c r="R238" t="inlineStr">
        <is>
          <t>00:00</t>
        </is>
      </c>
      <c r="S238" t="n">
        <v>0.25</v>
      </c>
    </row>
    <row r="239">
      <c r="A239" t="n">
        <v>51</v>
      </c>
      <c r="B239" t="inlineStr">
        <is>
          <t>Unassigned Associate 51</t>
        </is>
      </c>
      <c r="C239" t="inlineStr">
        <is>
          <t>Tue</t>
        </is>
      </c>
      <c r="D239" t="inlineStr">
        <is>
          <t>17:00 - 02:00</t>
        </is>
      </c>
      <c r="E239" t="inlineStr">
        <is>
          <t>Short 1</t>
        </is>
      </c>
      <c r="F239" t="inlineStr">
        <is>
          <t>19:15</t>
        </is>
      </c>
      <c r="G239" t="inlineStr">
        <is>
          <t>Tue</t>
        </is>
      </c>
      <c r="H239" t="inlineStr">
        <is>
          <t>19:00</t>
        </is>
      </c>
      <c r="I239" t="n">
        <v>0.25</v>
      </c>
      <c r="J239" t="inlineStr">
        <is>
          <t>Lunch</t>
        </is>
      </c>
      <c r="K239" t="inlineStr">
        <is>
          <t>22:00</t>
        </is>
      </c>
      <c r="L239" t="inlineStr">
        <is>
          <t>Tue</t>
        </is>
      </c>
      <c r="M239" t="inlineStr">
        <is>
          <t>22:00</t>
        </is>
      </c>
      <c r="N239" t="n">
        <v>0.5</v>
      </c>
      <c r="O239" t="inlineStr">
        <is>
          <t>Short 2</t>
        </is>
      </c>
      <c r="P239" t="inlineStr">
        <is>
          <t>00:15</t>
        </is>
      </c>
      <c r="Q239" t="inlineStr">
        <is>
          <t>Wed</t>
        </is>
      </c>
      <c r="R239" t="inlineStr">
        <is>
          <t>00:00</t>
        </is>
      </c>
      <c r="S239" t="n">
        <v>0.25</v>
      </c>
    </row>
    <row r="240">
      <c r="A240" t="n">
        <v>51</v>
      </c>
      <c r="B240" t="inlineStr">
        <is>
          <t>Unassigned Associate 51</t>
        </is>
      </c>
      <c r="C240" t="inlineStr">
        <is>
          <t>Wed</t>
        </is>
      </c>
      <c r="D240" t="inlineStr">
        <is>
          <t>17:00 - 02:00</t>
        </is>
      </c>
      <c r="E240" t="inlineStr">
        <is>
          <t>Short 1</t>
        </is>
      </c>
      <c r="F240" t="inlineStr">
        <is>
          <t>19:15</t>
        </is>
      </c>
      <c r="G240" t="inlineStr">
        <is>
          <t>Wed</t>
        </is>
      </c>
      <c r="H240" t="inlineStr">
        <is>
          <t>19:00</t>
        </is>
      </c>
      <c r="I240" t="n">
        <v>0.25</v>
      </c>
      <c r="J240" t="inlineStr">
        <is>
          <t>Lunch</t>
        </is>
      </c>
      <c r="K240" t="inlineStr">
        <is>
          <t>22:00</t>
        </is>
      </c>
      <c r="L240" t="inlineStr">
        <is>
          <t>Wed</t>
        </is>
      </c>
      <c r="M240" t="inlineStr">
        <is>
          <t>22:00</t>
        </is>
      </c>
      <c r="N240" t="n">
        <v>0.5</v>
      </c>
      <c r="O240" t="inlineStr">
        <is>
          <t>Short 2</t>
        </is>
      </c>
      <c r="P240" t="inlineStr">
        <is>
          <t>00:15</t>
        </is>
      </c>
      <c r="Q240" t="inlineStr">
        <is>
          <t>Thu</t>
        </is>
      </c>
      <c r="R240" t="inlineStr">
        <is>
          <t>00:00</t>
        </is>
      </c>
      <c r="S240" t="n">
        <v>0.25</v>
      </c>
    </row>
    <row r="241">
      <c r="A241" t="n">
        <v>51</v>
      </c>
      <c r="B241" t="inlineStr">
        <is>
          <t>Unassigned Associate 51</t>
        </is>
      </c>
      <c r="C241" t="inlineStr">
        <is>
          <t>Thu</t>
        </is>
      </c>
      <c r="D241" t="inlineStr">
        <is>
          <t>17:00 - 02:00</t>
        </is>
      </c>
      <c r="E241" t="inlineStr">
        <is>
          <t>Short 1</t>
        </is>
      </c>
      <c r="F241" t="inlineStr">
        <is>
          <t>19:15</t>
        </is>
      </c>
      <c r="G241" t="inlineStr">
        <is>
          <t>Thu</t>
        </is>
      </c>
      <c r="H241" t="inlineStr">
        <is>
          <t>19:00</t>
        </is>
      </c>
      <c r="I241" t="n">
        <v>0.25</v>
      </c>
      <c r="J241" t="inlineStr">
        <is>
          <t>Lunch</t>
        </is>
      </c>
      <c r="K241" t="inlineStr">
        <is>
          <t>22:00</t>
        </is>
      </c>
      <c r="L241" t="inlineStr">
        <is>
          <t>Thu</t>
        </is>
      </c>
      <c r="M241" t="inlineStr">
        <is>
          <t>22:00</t>
        </is>
      </c>
      <c r="N241" t="n">
        <v>0.5</v>
      </c>
      <c r="O241" t="inlineStr">
        <is>
          <t>Short 2</t>
        </is>
      </c>
      <c r="P241" t="inlineStr">
        <is>
          <t>00:15</t>
        </is>
      </c>
      <c r="Q241" t="inlineStr">
        <is>
          <t>Fri</t>
        </is>
      </c>
      <c r="R241" t="inlineStr">
        <is>
          <t>00:00</t>
        </is>
      </c>
      <c r="S241" t="n">
        <v>0.25</v>
      </c>
    </row>
    <row r="242">
      <c r="A242" t="n">
        <v>51</v>
      </c>
      <c r="B242" t="inlineStr">
        <is>
          <t>Unassigned Associate 51</t>
        </is>
      </c>
      <c r="C242" t="inlineStr">
        <is>
          <t>Fri</t>
        </is>
      </c>
      <c r="D242" t="inlineStr">
        <is>
          <t>17:00 - 02:00</t>
        </is>
      </c>
      <c r="E242" t="inlineStr">
        <is>
          <t>Short 1</t>
        </is>
      </c>
      <c r="F242" t="inlineStr">
        <is>
          <t>19:15</t>
        </is>
      </c>
      <c r="G242" t="inlineStr">
        <is>
          <t>Fri</t>
        </is>
      </c>
      <c r="H242" t="inlineStr">
        <is>
          <t>19:00</t>
        </is>
      </c>
      <c r="I242" t="n">
        <v>0.25</v>
      </c>
      <c r="J242" t="inlineStr">
        <is>
          <t>Lunch</t>
        </is>
      </c>
      <c r="K242" t="inlineStr">
        <is>
          <t>22:00</t>
        </is>
      </c>
      <c r="L242" t="inlineStr">
        <is>
          <t>Fri</t>
        </is>
      </c>
      <c r="M242" t="inlineStr">
        <is>
          <t>22:00</t>
        </is>
      </c>
      <c r="N242" t="n">
        <v>0.5</v>
      </c>
      <c r="O242" t="inlineStr">
        <is>
          <t>Short 2</t>
        </is>
      </c>
      <c r="P242" t="inlineStr">
        <is>
          <t>00:15</t>
        </is>
      </c>
      <c r="Q242" t="inlineStr">
        <is>
          <t>Sat</t>
        </is>
      </c>
      <c r="R242" t="inlineStr">
        <is>
          <t>00:00</t>
        </is>
      </c>
      <c r="S242" t="n">
        <v>0.25</v>
      </c>
    </row>
    <row r="243">
      <c r="A243" t="n">
        <v>52</v>
      </c>
      <c r="B243" t="inlineStr">
        <is>
          <t>Unassigned Associate 52</t>
        </is>
      </c>
      <c r="C243" t="inlineStr">
        <is>
          <t>Mon</t>
        </is>
      </c>
      <c r="D243" t="inlineStr">
        <is>
          <t>17:00 - 02:00</t>
        </is>
      </c>
      <c r="E243" t="inlineStr">
        <is>
          <t>Short 1</t>
        </is>
      </c>
      <c r="F243" t="inlineStr">
        <is>
          <t>19:15</t>
        </is>
      </c>
      <c r="G243" t="inlineStr">
        <is>
          <t>Mon</t>
        </is>
      </c>
      <c r="H243" t="inlineStr">
        <is>
          <t>19:00</t>
        </is>
      </c>
      <c r="I243" t="n">
        <v>0.25</v>
      </c>
      <c r="J243" t="inlineStr">
        <is>
          <t>Lunch</t>
        </is>
      </c>
      <c r="K243" t="inlineStr">
        <is>
          <t>22:00</t>
        </is>
      </c>
      <c r="L243" t="inlineStr">
        <is>
          <t>Mon</t>
        </is>
      </c>
      <c r="M243" t="inlineStr">
        <is>
          <t>22:00</t>
        </is>
      </c>
      <c r="N243" t="n">
        <v>0.5</v>
      </c>
      <c r="O243" t="inlineStr">
        <is>
          <t>Short 2</t>
        </is>
      </c>
      <c r="P243" t="inlineStr">
        <is>
          <t>00:15</t>
        </is>
      </c>
      <c r="Q243" t="inlineStr">
        <is>
          <t>Tue</t>
        </is>
      </c>
      <c r="R243" t="inlineStr">
        <is>
          <t>00:00</t>
        </is>
      </c>
      <c r="S243" t="n">
        <v>0.25</v>
      </c>
    </row>
    <row r="244">
      <c r="A244" t="n">
        <v>52</v>
      </c>
      <c r="B244" t="inlineStr">
        <is>
          <t>Unassigned Associate 52</t>
        </is>
      </c>
      <c r="C244" t="inlineStr">
        <is>
          <t>Tue</t>
        </is>
      </c>
      <c r="D244" t="inlineStr">
        <is>
          <t>17:00 - 02:00</t>
        </is>
      </c>
      <c r="E244" t="inlineStr">
        <is>
          <t>Short 1</t>
        </is>
      </c>
      <c r="F244" t="inlineStr">
        <is>
          <t>19:15</t>
        </is>
      </c>
      <c r="G244" t="inlineStr">
        <is>
          <t>Tue</t>
        </is>
      </c>
      <c r="H244" t="inlineStr">
        <is>
          <t>19:00</t>
        </is>
      </c>
      <c r="I244" t="n">
        <v>0.25</v>
      </c>
      <c r="J244" t="inlineStr">
        <is>
          <t>Lunch</t>
        </is>
      </c>
      <c r="K244" t="inlineStr">
        <is>
          <t>22:00</t>
        </is>
      </c>
      <c r="L244" t="inlineStr">
        <is>
          <t>Tue</t>
        </is>
      </c>
      <c r="M244" t="inlineStr">
        <is>
          <t>22:00</t>
        </is>
      </c>
      <c r="N244" t="n">
        <v>0.5</v>
      </c>
      <c r="O244" t="inlineStr">
        <is>
          <t>Short 2</t>
        </is>
      </c>
      <c r="P244" t="inlineStr">
        <is>
          <t>00:15</t>
        </is>
      </c>
      <c r="Q244" t="inlineStr">
        <is>
          <t>Wed</t>
        </is>
      </c>
      <c r="R244" t="inlineStr">
        <is>
          <t>00:00</t>
        </is>
      </c>
      <c r="S244" t="n">
        <v>0.25</v>
      </c>
    </row>
    <row r="245">
      <c r="A245" t="n">
        <v>52</v>
      </c>
      <c r="B245" t="inlineStr">
        <is>
          <t>Unassigned Associate 52</t>
        </is>
      </c>
      <c r="C245" t="inlineStr">
        <is>
          <t>Wed</t>
        </is>
      </c>
      <c r="D245" t="inlineStr">
        <is>
          <t>17:00 - 02:00</t>
        </is>
      </c>
      <c r="E245" t="inlineStr">
        <is>
          <t>Short 1</t>
        </is>
      </c>
      <c r="F245" t="inlineStr">
        <is>
          <t>19:15</t>
        </is>
      </c>
      <c r="G245" t="inlineStr">
        <is>
          <t>Wed</t>
        </is>
      </c>
      <c r="H245" t="inlineStr">
        <is>
          <t>19:00</t>
        </is>
      </c>
      <c r="I245" t="n">
        <v>0.25</v>
      </c>
      <c r="J245" t="inlineStr">
        <is>
          <t>Lunch</t>
        </is>
      </c>
      <c r="K245" t="inlineStr">
        <is>
          <t>22:00</t>
        </is>
      </c>
      <c r="L245" t="inlineStr">
        <is>
          <t>Wed</t>
        </is>
      </c>
      <c r="M245" t="inlineStr">
        <is>
          <t>22:00</t>
        </is>
      </c>
      <c r="N245" t="n">
        <v>0.5</v>
      </c>
      <c r="O245" t="inlineStr">
        <is>
          <t>Short 2</t>
        </is>
      </c>
      <c r="P245" t="inlineStr">
        <is>
          <t>00:15</t>
        </is>
      </c>
      <c r="Q245" t="inlineStr">
        <is>
          <t>Thu</t>
        </is>
      </c>
      <c r="R245" t="inlineStr">
        <is>
          <t>00:00</t>
        </is>
      </c>
      <c r="S245" t="n">
        <v>0.25</v>
      </c>
    </row>
    <row r="246">
      <c r="A246" t="n">
        <v>52</v>
      </c>
      <c r="B246" t="inlineStr">
        <is>
          <t>Unassigned Associate 52</t>
        </is>
      </c>
      <c r="C246" t="inlineStr">
        <is>
          <t>Thu</t>
        </is>
      </c>
      <c r="D246" t="inlineStr">
        <is>
          <t>17:00 - 02:00</t>
        </is>
      </c>
      <c r="E246" t="inlineStr">
        <is>
          <t>Short 1</t>
        </is>
      </c>
      <c r="F246" t="inlineStr">
        <is>
          <t>19:15</t>
        </is>
      </c>
      <c r="G246" t="inlineStr">
        <is>
          <t>Thu</t>
        </is>
      </c>
      <c r="H246" t="inlineStr">
        <is>
          <t>19:00</t>
        </is>
      </c>
      <c r="I246" t="n">
        <v>0.25</v>
      </c>
      <c r="J246" t="inlineStr">
        <is>
          <t>Lunch</t>
        </is>
      </c>
      <c r="K246" t="inlineStr">
        <is>
          <t>22:00</t>
        </is>
      </c>
      <c r="L246" t="inlineStr">
        <is>
          <t>Thu</t>
        </is>
      </c>
      <c r="M246" t="inlineStr">
        <is>
          <t>22:00</t>
        </is>
      </c>
      <c r="N246" t="n">
        <v>0.5</v>
      </c>
      <c r="O246" t="inlineStr">
        <is>
          <t>Short 2</t>
        </is>
      </c>
      <c r="P246" t="inlineStr">
        <is>
          <t>00:15</t>
        </is>
      </c>
      <c r="Q246" t="inlineStr">
        <is>
          <t>Fri</t>
        </is>
      </c>
      <c r="R246" t="inlineStr">
        <is>
          <t>00:00</t>
        </is>
      </c>
      <c r="S246" t="n">
        <v>0.25</v>
      </c>
    </row>
    <row r="247">
      <c r="A247" t="n">
        <v>52</v>
      </c>
      <c r="B247" t="inlineStr">
        <is>
          <t>Unassigned Associate 52</t>
        </is>
      </c>
      <c r="C247" t="inlineStr">
        <is>
          <t>Fri</t>
        </is>
      </c>
      <c r="D247" t="inlineStr">
        <is>
          <t>17:00 - 02:00</t>
        </is>
      </c>
      <c r="E247" t="inlineStr">
        <is>
          <t>Short 1</t>
        </is>
      </c>
      <c r="F247" t="inlineStr">
        <is>
          <t>19:15</t>
        </is>
      </c>
      <c r="G247" t="inlineStr">
        <is>
          <t>Fri</t>
        </is>
      </c>
      <c r="H247" t="inlineStr">
        <is>
          <t>19:00</t>
        </is>
      </c>
      <c r="I247" t="n">
        <v>0.25</v>
      </c>
      <c r="J247" t="inlineStr">
        <is>
          <t>Lunch</t>
        </is>
      </c>
      <c r="K247" t="inlineStr">
        <is>
          <t>22:00</t>
        </is>
      </c>
      <c r="L247" t="inlineStr">
        <is>
          <t>Fri</t>
        </is>
      </c>
      <c r="M247" t="inlineStr">
        <is>
          <t>22:00</t>
        </is>
      </c>
      <c r="N247" t="n">
        <v>0.5</v>
      </c>
      <c r="O247" t="inlineStr">
        <is>
          <t>Short 2</t>
        </is>
      </c>
      <c r="P247" t="inlineStr">
        <is>
          <t>00:15</t>
        </is>
      </c>
      <c r="Q247" t="inlineStr">
        <is>
          <t>Sat</t>
        </is>
      </c>
      <c r="R247" t="inlineStr">
        <is>
          <t>00:00</t>
        </is>
      </c>
      <c r="S247" t="n">
        <v>0.25</v>
      </c>
    </row>
    <row r="248">
      <c r="A248" t="n">
        <v>53</v>
      </c>
      <c r="B248" t="inlineStr">
        <is>
          <t>Unassigned Associate 53</t>
        </is>
      </c>
      <c r="C248" t="inlineStr">
        <is>
          <t>Mon</t>
        </is>
      </c>
      <c r="D248" t="inlineStr">
        <is>
          <t>17:00 - 02:00</t>
        </is>
      </c>
      <c r="E248" t="inlineStr">
        <is>
          <t>Short 1</t>
        </is>
      </c>
      <c r="F248" t="inlineStr">
        <is>
          <t>19:15</t>
        </is>
      </c>
      <c r="G248" t="inlineStr">
        <is>
          <t>Mon</t>
        </is>
      </c>
      <c r="H248" t="inlineStr">
        <is>
          <t>19:00</t>
        </is>
      </c>
      <c r="I248" t="n">
        <v>0.25</v>
      </c>
      <c r="J248" t="inlineStr">
        <is>
          <t>Lunch</t>
        </is>
      </c>
      <c r="K248" t="inlineStr">
        <is>
          <t>22:00</t>
        </is>
      </c>
      <c r="L248" t="inlineStr">
        <is>
          <t>Mon</t>
        </is>
      </c>
      <c r="M248" t="inlineStr">
        <is>
          <t>22:00</t>
        </is>
      </c>
      <c r="N248" t="n">
        <v>0.5</v>
      </c>
      <c r="O248" t="inlineStr">
        <is>
          <t>Short 2</t>
        </is>
      </c>
      <c r="P248" t="inlineStr">
        <is>
          <t>00:15</t>
        </is>
      </c>
      <c r="Q248" t="inlineStr">
        <is>
          <t>Tue</t>
        </is>
      </c>
      <c r="R248" t="inlineStr">
        <is>
          <t>00:00</t>
        </is>
      </c>
      <c r="S248" t="n">
        <v>0.25</v>
      </c>
    </row>
    <row r="249">
      <c r="A249" t="n">
        <v>53</v>
      </c>
      <c r="B249" t="inlineStr">
        <is>
          <t>Unassigned Associate 53</t>
        </is>
      </c>
      <c r="C249" t="inlineStr">
        <is>
          <t>Tue</t>
        </is>
      </c>
      <c r="D249" t="inlineStr">
        <is>
          <t>17:00 - 02:00</t>
        </is>
      </c>
      <c r="E249" t="inlineStr">
        <is>
          <t>Short 1</t>
        </is>
      </c>
      <c r="F249" t="inlineStr">
        <is>
          <t>19:15</t>
        </is>
      </c>
      <c r="G249" t="inlineStr">
        <is>
          <t>Tue</t>
        </is>
      </c>
      <c r="H249" t="inlineStr">
        <is>
          <t>19:00</t>
        </is>
      </c>
      <c r="I249" t="n">
        <v>0.25</v>
      </c>
      <c r="J249" t="inlineStr">
        <is>
          <t>Lunch</t>
        </is>
      </c>
      <c r="K249" t="inlineStr">
        <is>
          <t>22:00</t>
        </is>
      </c>
      <c r="L249" t="inlineStr">
        <is>
          <t>Tue</t>
        </is>
      </c>
      <c r="M249" t="inlineStr">
        <is>
          <t>22:00</t>
        </is>
      </c>
      <c r="N249" t="n">
        <v>0.5</v>
      </c>
      <c r="O249" t="inlineStr">
        <is>
          <t>Short 2</t>
        </is>
      </c>
      <c r="P249" t="inlineStr">
        <is>
          <t>00:15</t>
        </is>
      </c>
      <c r="Q249" t="inlineStr">
        <is>
          <t>Wed</t>
        </is>
      </c>
      <c r="R249" t="inlineStr">
        <is>
          <t>00:00</t>
        </is>
      </c>
      <c r="S249" t="n">
        <v>0.25</v>
      </c>
    </row>
    <row r="250">
      <c r="A250" t="n">
        <v>53</v>
      </c>
      <c r="B250" t="inlineStr">
        <is>
          <t>Unassigned Associate 53</t>
        </is>
      </c>
      <c r="C250" t="inlineStr">
        <is>
          <t>Wed</t>
        </is>
      </c>
      <c r="D250" t="inlineStr">
        <is>
          <t>17:00 - 02:00</t>
        </is>
      </c>
      <c r="E250" t="inlineStr">
        <is>
          <t>Short 1</t>
        </is>
      </c>
      <c r="F250" t="inlineStr">
        <is>
          <t>19:15</t>
        </is>
      </c>
      <c r="G250" t="inlineStr">
        <is>
          <t>Wed</t>
        </is>
      </c>
      <c r="H250" t="inlineStr">
        <is>
          <t>19:00</t>
        </is>
      </c>
      <c r="I250" t="n">
        <v>0.25</v>
      </c>
      <c r="J250" t="inlineStr">
        <is>
          <t>Lunch</t>
        </is>
      </c>
      <c r="K250" t="inlineStr">
        <is>
          <t>22:00</t>
        </is>
      </c>
      <c r="L250" t="inlineStr">
        <is>
          <t>Wed</t>
        </is>
      </c>
      <c r="M250" t="inlineStr">
        <is>
          <t>22:00</t>
        </is>
      </c>
      <c r="N250" t="n">
        <v>0.5</v>
      </c>
      <c r="O250" t="inlineStr">
        <is>
          <t>Short 2</t>
        </is>
      </c>
      <c r="P250" t="inlineStr">
        <is>
          <t>00:15</t>
        </is>
      </c>
      <c r="Q250" t="inlineStr">
        <is>
          <t>Thu</t>
        </is>
      </c>
      <c r="R250" t="inlineStr">
        <is>
          <t>00:00</t>
        </is>
      </c>
      <c r="S250" t="n">
        <v>0.25</v>
      </c>
    </row>
    <row r="251">
      <c r="A251" t="n">
        <v>53</v>
      </c>
      <c r="B251" t="inlineStr">
        <is>
          <t>Unassigned Associate 53</t>
        </is>
      </c>
      <c r="C251" t="inlineStr">
        <is>
          <t>Thu</t>
        </is>
      </c>
      <c r="D251" t="inlineStr">
        <is>
          <t>17:00 - 02:00</t>
        </is>
      </c>
      <c r="E251" t="inlineStr">
        <is>
          <t>Short 1</t>
        </is>
      </c>
      <c r="F251" t="inlineStr">
        <is>
          <t>19:15</t>
        </is>
      </c>
      <c r="G251" t="inlineStr">
        <is>
          <t>Thu</t>
        </is>
      </c>
      <c r="H251" t="inlineStr">
        <is>
          <t>19:00</t>
        </is>
      </c>
      <c r="I251" t="n">
        <v>0.25</v>
      </c>
      <c r="J251" t="inlineStr">
        <is>
          <t>Lunch</t>
        </is>
      </c>
      <c r="K251" t="inlineStr">
        <is>
          <t>22:00</t>
        </is>
      </c>
      <c r="L251" t="inlineStr">
        <is>
          <t>Thu</t>
        </is>
      </c>
      <c r="M251" t="inlineStr">
        <is>
          <t>22:00</t>
        </is>
      </c>
      <c r="N251" t="n">
        <v>0.5</v>
      </c>
      <c r="O251" t="inlineStr">
        <is>
          <t>Short 2</t>
        </is>
      </c>
      <c r="P251" t="inlineStr">
        <is>
          <t>00:15</t>
        </is>
      </c>
      <c r="Q251" t="inlineStr">
        <is>
          <t>Fri</t>
        </is>
      </c>
      <c r="R251" t="inlineStr">
        <is>
          <t>00:00</t>
        </is>
      </c>
      <c r="S251" t="n">
        <v>0.25</v>
      </c>
    </row>
    <row r="252">
      <c r="A252" t="n">
        <v>53</v>
      </c>
      <c r="B252" t="inlineStr">
        <is>
          <t>Unassigned Associate 53</t>
        </is>
      </c>
      <c r="C252" t="inlineStr">
        <is>
          <t>Fri</t>
        </is>
      </c>
      <c r="D252" t="inlineStr">
        <is>
          <t>17:00 - 02:00</t>
        </is>
      </c>
      <c r="E252" t="inlineStr">
        <is>
          <t>Short 1</t>
        </is>
      </c>
      <c r="F252" t="inlineStr">
        <is>
          <t>19:15</t>
        </is>
      </c>
      <c r="G252" t="inlineStr">
        <is>
          <t>Fri</t>
        </is>
      </c>
      <c r="H252" t="inlineStr">
        <is>
          <t>19:00</t>
        </is>
      </c>
      <c r="I252" t="n">
        <v>0.25</v>
      </c>
      <c r="J252" t="inlineStr">
        <is>
          <t>Lunch</t>
        </is>
      </c>
      <c r="K252" t="inlineStr">
        <is>
          <t>22:00</t>
        </is>
      </c>
      <c r="L252" t="inlineStr">
        <is>
          <t>Fri</t>
        </is>
      </c>
      <c r="M252" t="inlineStr">
        <is>
          <t>22:00</t>
        </is>
      </c>
      <c r="N252" t="n">
        <v>0.5</v>
      </c>
      <c r="O252" t="inlineStr">
        <is>
          <t>Short 2</t>
        </is>
      </c>
      <c r="P252" t="inlineStr">
        <is>
          <t>00:15</t>
        </is>
      </c>
      <c r="Q252" t="inlineStr">
        <is>
          <t>Sat</t>
        </is>
      </c>
      <c r="R252" t="inlineStr">
        <is>
          <t>00:00</t>
        </is>
      </c>
      <c r="S252" t="n">
        <v>0.25</v>
      </c>
    </row>
    <row r="253">
      <c r="A253" t="n">
        <v>54</v>
      </c>
      <c r="B253" t="inlineStr">
        <is>
          <t>Unassigned Associate 54</t>
        </is>
      </c>
      <c r="C253" t="inlineStr">
        <is>
          <t>Mon</t>
        </is>
      </c>
      <c r="D253" t="inlineStr">
        <is>
          <t>17:00 - 02:00</t>
        </is>
      </c>
      <c r="E253" t="inlineStr">
        <is>
          <t>Short 1</t>
        </is>
      </c>
      <c r="F253" t="inlineStr">
        <is>
          <t>19:15</t>
        </is>
      </c>
      <c r="G253" t="inlineStr">
        <is>
          <t>Mon</t>
        </is>
      </c>
      <c r="H253" t="inlineStr">
        <is>
          <t>19:00</t>
        </is>
      </c>
      <c r="I253" t="n">
        <v>0.25</v>
      </c>
      <c r="J253" t="inlineStr">
        <is>
          <t>Lunch</t>
        </is>
      </c>
      <c r="K253" t="inlineStr">
        <is>
          <t>22:00</t>
        </is>
      </c>
      <c r="L253" t="inlineStr">
        <is>
          <t>Mon</t>
        </is>
      </c>
      <c r="M253" t="inlineStr">
        <is>
          <t>22:00</t>
        </is>
      </c>
      <c r="N253" t="n">
        <v>0.5</v>
      </c>
      <c r="O253" t="inlineStr">
        <is>
          <t>Short 2</t>
        </is>
      </c>
      <c r="P253" t="inlineStr">
        <is>
          <t>00:15</t>
        </is>
      </c>
      <c r="Q253" t="inlineStr">
        <is>
          <t>Tue</t>
        </is>
      </c>
      <c r="R253" t="inlineStr">
        <is>
          <t>00:00</t>
        </is>
      </c>
      <c r="S253" t="n">
        <v>0.25</v>
      </c>
    </row>
    <row r="254">
      <c r="A254" t="n">
        <v>54</v>
      </c>
      <c r="B254" t="inlineStr">
        <is>
          <t>Unassigned Associate 54</t>
        </is>
      </c>
      <c r="C254" t="inlineStr">
        <is>
          <t>Tue</t>
        </is>
      </c>
      <c r="D254" t="inlineStr">
        <is>
          <t>17:00 - 02:00</t>
        </is>
      </c>
      <c r="E254" t="inlineStr">
        <is>
          <t>Short 1</t>
        </is>
      </c>
      <c r="F254" t="inlineStr">
        <is>
          <t>19:15</t>
        </is>
      </c>
      <c r="G254" t="inlineStr">
        <is>
          <t>Tue</t>
        </is>
      </c>
      <c r="H254" t="inlineStr">
        <is>
          <t>19:00</t>
        </is>
      </c>
      <c r="I254" t="n">
        <v>0.25</v>
      </c>
      <c r="J254" t="inlineStr">
        <is>
          <t>Lunch</t>
        </is>
      </c>
      <c r="K254" t="inlineStr">
        <is>
          <t>22:00</t>
        </is>
      </c>
      <c r="L254" t="inlineStr">
        <is>
          <t>Tue</t>
        </is>
      </c>
      <c r="M254" t="inlineStr">
        <is>
          <t>22:00</t>
        </is>
      </c>
      <c r="N254" t="n">
        <v>0.5</v>
      </c>
      <c r="O254" t="inlineStr">
        <is>
          <t>Short 2</t>
        </is>
      </c>
      <c r="P254" t="inlineStr">
        <is>
          <t>00:15</t>
        </is>
      </c>
      <c r="Q254" t="inlineStr">
        <is>
          <t>Wed</t>
        </is>
      </c>
      <c r="R254" t="inlineStr">
        <is>
          <t>00:00</t>
        </is>
      </c>
      <c r="S254" t="n">
        <v>0.25</v>
      </c>
    </row>
    <row r="255">
      <c r="A255" t="n">
        <v>54</v>
      </c>
      <c r="B255" t="inlineStr">
        <is>
          <t>Unassigned Associate 54</t>
        </is>
      </c>
      <c r="C255" t="inlineStr">
        <is>
          <t>Wed</t>
        </is>
      </c>
      <c r="D255" t="inlineStr">
        <is>
          <t>17:00 - 02:00</t>
        </is>
      </c>
      <c r="E255" t="inlineStr">
        <is>
          <t>Short 1</t>
        </is>
      </c>
      <c r="F255" t="inlineStr">
        <is>
          <t>19:15</t>
        </is>
      </c>
      <c r="G255" t="inlineStr">
        <is>
          <t>Wed</t>
        </is>
      </c>
      <c r="H255" t="inlineStr">
        <is>
          <t>19:00</t>
        </is>
      </c>
      <c r="I255" t="n">
        <v>0.25</v>
      </c>
      <c r="J255" t="inlineStr">
        <is>
          <t>Lunch</t>
        </is>
      </c>
      <c r="K255" t="inlineStr">
        <is>
          <t>22:00</t>
        </is>
      </c>
      <c r="L255" t="inlineStr">
        <is>
          <t>Wed</t>
        </is>
      </c>
      <c r="M255" t="inlineStr">
        <is>
          <t>22:00</t>
        </is>
      </c>
      <c r="N255" t="n">
        <v>0.5</v>
      </c>
      <c r="O255" t="inlineStr">
        <is>
          <t>Short 2</t>
        </is>
      </c>
      <c r="P255" t="inlineStr">
        <is>
          <t>00:15</t>
        </is>
      </c>
      <c r="Q255" t="inlineStr">
        <is>
          <t>Thu</t>
        </is>
      </c>
      <c r="R255" t="inlineStr">
        <is>
          <t>00:00</t>
        </is>
      </c>
      <c r="S255" t="n">
        <v>0.25</v>
      </c>
    </row>
    <row r="256">
      <c r="A256" t="n">
        <v>54</v>
      </c>
      <c r="B256" t="inlineStr">
        <is>
          <t>Unassigned Associate 54</t>
        </is>
      </c>
      <c r="C256" t="inlineStr">
        <is>
          <t>Thu</t>
        </is>
      </c>
      <c r="D256" t="inlineStr">
        <is>
          <t>17:00 - 02:00</t>
        </is>
      </c>
      <c r="E256" t="inlineStr">
        <is>
          <t>Short 1</t>
        </is>
      </c>
      <c r="F256" t="inlineStr">
        <is>
          <t>19:15</t>
        </is>
      </c>
      <c r="G256" t="inlineStr">
        <is>
          <t>Thu</t>
        </is>
      </c>
      <c r="H256" t="inlineStr">
        <is>
          <t>19:00</t>
        </is>
      </c>
      <c r="I256" t="n">
        <v>0.25</v>
      </c>
      <c r="J256" t="inlineStr">
        <is>
          <t>Lunch</t>
        </is>
      </c>
      <c r="K256" t="inlineStr">
        <is>
          <t>22:00</t>
        </is>
      </c>
      <c r="L256" t="inlineStr">
        <is>
          <t>Thu</t>
        </is>
      </c>
      <c r="M256" t="inlineStr">
        <is>
          <t>22:00</t>
        </is>
      </c>
      <c r="N256" t="n">
        <v>0.5</v>
      </c>
      <c r="O256" t="inlineStr">
        <is>
          <t>Short 2</t>
        </is>
      </c>
      <c r="P256" t="inlineStr">
        <is>
          <t>00:15</t>
        </is>
      </c>
      <c r="Q256" t="inlineStr">
        <is>
          <t>Fri</t>
        </is>
      </c>
      <c r="R256" t="inlineStr">
        <is>
          <t>00:00</t>
        </is>
      </c>
      <c r="S256" t="n">
        <v>0.25</v>
      </c>
    </row>
    <row r="257">
      <c r="A257" t="n">
        <v>54</v>
      </c>
      <c r="B257" t="inlineStr">
        <is>
          <t>Unassigned Associate 54</t>
        </is>
      </c>
      <c r="C257" t="inlineStr">
        <is>
          <t>Fri</t>
        </is>
      </c>
      <c r="D257" t="inlineStr">
        <is>
          <t>17:00 - 02:00</t>
        </is>
      </c>
      <c r="E257" t="inlineStr">
        <is>
          <t>Short 1</t>
        </is>
      </c>
      <c r="F257" t="inlineStr">
        <is>
          <t>19:15</t>
        </is>
      </c>
      <c r="G257" t="inlineStr">
        <is>
          <t>Fri</t>
        </is>
      </c>
      <c r="H257" t="inlineStr">
        <is>
          <t>19:00</t>
        </is>
      </c>
      <c r="I257" t="n">
        <v>0.25</v>
      </c>
      <c r="J257" t="inlineStr">
        <is>
          <t>Lunch</t>
        </is>
      </c>
      <c r="K257" t="inlineStr">
        <is>
          <t>22:00</t>
        </is>
      </c>
      <c r="L257" t="inlineStr">
        <is>
          <t>Fri</t>
        </is>
      </c>
      <c r="M257" t="inlineStr">
        <is>
          <t>22:00</t>
        </is>
      </c>
      <c r="N257" t="n">
        <v>0.5</v>
      </c>
      <c r="O257" t="inlineStr">
        <is>
          <t>Short 2</t>
        </is>
      </c>
      <c r="P257" t="inlineStr">
        <is>
          <t>00:15</t>
        </is>
      </c>
      <c r="Q257" t="inlineStr">
        <is>
          <t>Sat</t>
        </is>
      </c>
      <c r="R257" t="inlineStr">
        <is>
          <t>00:00</t>
        </is>
      </c>
      <c r="S257" t="n">
        <v>0.25</v>
      </c>
    </row>
    <row r="258">
      <c r="A258" t="n">
        <v>55</v>
      </c>
      <c r="B258" t="inlineStr">
        <is>
          <t>Unassigned Associate 55</t>
        </is>
      </c>
      <c r="C258" t="inlineStr">
        <is>
          <t>Mon</t>
        </is>
      </c>
      <c r="D258" t="inlineStr">
        <is>
          <t>17:00 - 02:00</t>
        </is>
      </c>
      <c r="E258" t="inlineStr">
        <is>
          <t>Short 1</t>
        </is>
      </c>
      <c r="F258" t="inlineStr">
        <is>
          <t>19:15</t>
        </is>
      </c>
      <c r="G258" t="inlineStr">
        <is>
          <t>Mon</t>
        </is>
      </c>
      <c r="H258" t="inlineStr">
        <is>
          <t>19:00</t>
        </is>
      </c>
      <c r="I258" t="n">
        <v>0.25</v>
      </c>
      <c r="J258" t="inlineStr">
        <is>
          <t>Lunch</t>
        </is>
      </c>
      <c r="K258" t="inlineStr">
        <is>
          <t>22:00</t>
        </is>
      </c>
      <c r="L258" t="inlineStr">
        <is>
          <t>Mon</t>
        </is>
      </c>
      <c r="M258" t="inlineStr">
        <is>
          <t>22:00</t>
        </is>
      </c>
      <c r="N258" t="n">
        <v>0.5</v>
      </c>
      <c r="O258" t="inlineStr">
        <is>
          <t>Short 2</t>
        </is>
      </c>
      <c r="P258" t="inlineStr">
        <is>
          <t>00:15</t>
        </is>
      </c>
      <c r="Q258" t="inlineStr">
        <is>
          <t>Tue</t>
        </is>
      </c>
      <c r="R258" t="inlineStr">
        <is>
          <t>00:00</t>
        </is>
      </c>
      <c r="S258" t="n">
        <v>0.25</v>
      </c>
    </row>
    <row r="259">
      <c r="A259" t="n">
        <v>55</v>
      </c>
      <c r="B259" t="inlineStr">
        <is>
          <t>Unassigned Associate 55</t>
        </is>
      </c>
      <c r="C259" t="inlineStr">
        <is>
          <t>Tue</t>
        </is>
      </c>
      <c r="D259" t="inlineStr">
        <is>
          <t>17:00 - 02:00</t>
        </is>
      </c>
      <c r="E259" t="inlineStr">
        <is>
          <t>Short 1</t>
        </is>
      </c>
      <c r="F259" t="inlineStr">
        <is>
          <t>19:15</t>
        </is>
      </c>
      <c r="G259" t="inlineStr">
        <is>
          <t>Tue</t>
        </is>
      </c>
      <c r="H259" t="inlineStr">
        <is>
          <t>19:00</t>
        </is>
      </c>
      <c r="I259" t="n">
        <v>0.25</v>
      </c>
      <c r="J259" t="inlineStr">
        <is>
          <t>Lunch</t>
        </is>
      </c>
      <c r="K259" t="inlineStr">
        <is>
          <t>22:00</t>
        </is>
      </c>
      <c r="L259" t="inlineStr">
        <is>
          <t>Tue</t>
        </is>
      </c>
      <c r="M259" t="inlineStr">
        <is>
          <t>22:00</t>
        </is>
      </c>
      <c r="N259" t="n">
        <v>0.5</v>
      </c>
      <c r="O259" t="inlineStr">
        <is>
          <t>Short 2</t>
        </is>
      </c>
      <c r="P259" t="inlineStr">
        <is>
          <t>00:15</t>
        </is>
      </c>
      <c r="Q259" t="inlineStr">
        <is>
          <t>Wed</t>
        </is>
      </c>
      <c r="R259" t="inlineStr">
        <is>
          <t>00:00</t>
        </is>
      </c>
      <c r="S259" t="n">
        <v>0.25</v>
      </c>
    </row>
    <row r="260">
      <c r="A260" t="n">
        <v>55</v>
      </c>
      <c r="B260" t="inlineStr">
        <is>
          <t>Unassigned Associate 55</t>
        </is>
      </c>
      <c r="C260" t="inlineStr">
        <is>
          <t>Wed</t>
        </is>
      </c>
      <c r="D260" t="inlineStr">
        <is>
          <t>17:00 - 02:00</t>
        </is>
      </c>
      <c r="E260" t="inlineStr">
        <is>
          <t>Short 1</t>
        </is>
      </c>
      <c r="F260" t="inlineStr">
        <is>
          <t>19:15</t>
        </is>
      </c>
      <c r="G260" t="inlineStr">
        <is>
          <t>Wed</t>
        </is>
      </c>
      <c r="H260" t="inlineStr">
        <is>
          <t>19:00</t>
        </is>
      </c>
      <c r="I260" t="n">
        <v>0.25</v>
      </c>
      <c r="J260" t="inlineStr">
        <is>
          <t>Lunch</t>
        </is>
      </c>
      <c r="K260" t="inlineStr">
        <is>
          <t>22:00</t>
        </is>
      </c>
      <c r="L260" t="inlineStr">
        <is>
          <t>Wed</t>
        </is>
      </c>
      <c r="M260" t="inlineStr">
        <is>
          <t>22:00</t>
        </is>
      </c>
      <c r="N260" t="n">
        <v>0.5</v>
      </c>
      <c r="O260" t="inlineStr">
        <is>
          <t>Short 2</t>
        </is>
      </c>
      <c r="P260" t="inlineStr">
        <is>
          <t>00:15</t>
        </is>
      </c>
      <c r="Q260" t="inlineStr">
        <is>
          <t>Thu</t>
        </is>
      </c>
      <c r="R260" t="inlineStr">
        <is>
          <t>00:00</t>
        </is>
      </c>
      <c r="S260" t="n">
        <v>0.25</v>
      </c>
    </row>
    <row r="261">
      <c r="A261" t="n">
        <v>55</v>
      </c>
      <c r="B261" t="inlineStr">
        <is>
          <t>Unassigned Associate 55</t>
        </is>
      </c>
      <c r="C261" t="inlineStr">
        <is>
          <t>Thu</t>
        </is>
      </c>
      <c r="D261" t="inlineStr">
        <is>
          <t>17:00 - 02:00</t>
        </is>
      </c>
      <c r="E261" t="inlineStr">
        <is>
          <t>Short 1</t>
        </is>
      </c>
      <c r="F261" t="inlineStr">
        <is>
          <t>19:15</t>
        </is>
      </c>
      <c r="G261" t="inlineStr">
        <is>
          <t>Thu</t>
        </is>
      </c>
      <c r="H261" t="inlineStr">
        <is>
          <t>19:00</t>
        </is>
      </c>
      <c r="I261" t="n">
        <v>0.25</v>
      </c>
      <c r="J261" t="inlineStr">
        <is>
          <t>Lunch</t>
        </is>
      </c>
      <c r="K261" t="inlineStr">
        <is>
          <t>22:00</t>
        </is>
      </c>
      <c r="L261" t="inlineStr">
        <is>
          <t>Thu</t>
        </is>
      </c>
      <c r="M261" t="inlineStr">
        <is>
          <t>22:00</t>
        </is>
      </c>
      <c r="N261" t="n">
        <v>0.5</v>
      </c>
      <c r="O261" t="inlineStr">
        <is>
          <t>Short 2</t>
        </is>
      </c>
      <c r="P261" t="inlineStr">
        <is>
          <t>00:15</t>
        </is>
      </c>
      <c r="Q261" t="inlineStr">
        <is>
          <t>Fri</t>
        </is>
      </c>
      <c r="R261" t="inlineStr">
        <is>
          <t>00:00</t>
        </is>
      </c>
      <c r="S261" t="n">
        <v>0.25</v>
      </c>
    </row>
    <row r="262">
      <c r="A262" t="n">
        <v>55</v>
      </c>
      <c r="B262" t="inlineStr">
        <is>
          <t>Unassigned Associate 55</t>
        </is>
      </c>
      <c r="C262" t="inlineStr">
        <is>
          <t>Fri</t>
        </is>
      </c>
      <c r="D262" t="inlineStr">
        <is>
          <t>17:00 - 02:00</t>
        </is>
      </c>
      <c r="E262" t="inlineStr">
        <is>
          <t>Short 1</t>
        </is>
      </c>
      <c r="F262" t="inlineStr">
        <is>
          <t>19:15</t>
        </is>
      </c>
      <c r="G262" t="inlineStr">
        <is>
          <t>Fri</t>
        </is>
      </c>
      <c r="H262" t="inlineStr">
        <is>
          <t>19:00</t>
        </is>
      </c>
      <c r="I262" t="n">
        <v>0.25</v>
      </c>
      <c r="J262" t="inlineStr">
        <is>
          <t>Lunch</t>
        </is>
      </c>
      <c r="K262" t="inlineStr">
        <is>
          <t>22:00</t>
        </is>
      </c>
      <c r="L262" t="inlineStr">
        <is>
          <t>Fri</t>
        </is>
      </c>
      <c r="M262" t="inlineStr">
        <is>
          <t>22:00</t>
        </is>
      </c>
      <c r="N262" t="n">
        <v>0.5</v>
      </c>
      <c r="O262" t="inlineStr">
        <is>
          <t>Short 2</t>
        </is>
      </c>
      <c r="P262" t="inlineStr">
        <is>
          <t>00:15</t>
        </is>
      </c>
      <c r="Q262" t="inlineStr">
        <is>
          <t>Sat</t>
        </is>
      </c>
      <c r="R262" t="inlineStr">
        <is>
          <t>00:00</t>
        </is>
      </c>
      <c r="S262" t="n">
        <v>0.25</v>
      </c>
    </row>
    <row r="263">
      <c r="A263" t="n">
        <v>56</v>
      </c>
      <c r="B263" t="inlineStr">
        <is>
          <t>Unassigned Associate 56</t>
        </is>
      </c>
      <c r="C263" t="inlineStr">
        <is>
          <t>Mon</t>
        </is>
      </c>
      <c r="D263" t="inlineStr">
        <is>
          <t>17:00 - 02:00</t>
        </is>
      </c>
      <c r="E263" t="inlineStr">
        <is>
          <t>Short 1</t>
        </is>
      </c>
      <c r="F263" t="inlineStr">
        <is>
          <t>19:15</t>
        </is>
      </c>
      <c r="G263" t="inlineStr">
        <is>
          <t>Mon</t>
        </is>
      </c>
      <c r="H263" t="inlineStr">
        <is>
          <t>19:00</t>
        </is>
      </c>
      <c r="I263" t="n">
        <v>0.25</v>
      </c>
      <c r="J263" t="inlineStr">
        <is>
          <t>Lunch</t>
        </is>
      </c>
      <c r="K263" t="inlineStr">
        <is>
          <t>22:00</t>
        </is>
      </c>
      <c r="L263" t="inlineStr">
        <is>
          <t>Mon</t>
        </is>
      </c>
      <c r="M263" t="inlineStr">
        <is>
          <t>22:00</t>
        </is>
      </c>
      <c r="N263" t="n">
        <v>0.5</v>
      </c>
      <c r="O263" t="inlineStr">
        <is>
          <t>Short 2</t>
        </is>
      </c>
      <c r="P263" t="inlineStr">
        <is>
          <t>00:15</t>
        </is>
      </c>
      <c r="Q263" t="inlineStr">
        <is>
          <t>Tue</t>
        </is>
      </c>
      <c r="R263" t="inlineStr">
        <is>
          <t>00:00</t>
        </is>
      </c>
      <c r="S263" t="n">
        <v>0.25</v>
      </c>
    </row>
    <row r="264">
      <c r="A264" t="n">
        <v>56</v>
      </c>
      <c r="B264" t="inlineStr">
        <is>
          <t>Unassigned Associate 56</t>
        </is>
      </c>
      <c r="C264" t="inlineStr">
        <is>
          <t>Tue</t>
        </is>
      </c>
      <c r="D264" t="inlineStr">
        <is>
          <t>17:00 - 02:00</t>
        </is>
      </c>
      <c r="E264" t="inlineStr">
        <is>
          <t>Short 1</t>
        </is>
      </c>
      <c r="F264" t="inlineStr">
        <is>
          <t>19:15</t>
        </is>
      </c>
      <c r="G264" t="inlineStr">
        <is>
          <t>Tue</t>
        </is>
      </c>
      <c r="H264" t="inlineStr">
        <is>
          <t>19:00</t>
        </is>
      </c>
      <c r="I264" t="n">
        <v>0.25</v>
      </c>
      <c r="J264" t="inlineStr">
        <is>
          <t>Lunch</t>
        </is>
      </c>
      <c r="K264" t="inlineStr">
        <is>
          <t>22:00</t>
        </is>
      </c>
      <c r="L264" t="inlineStr">
        <is>
          <t>Tue</t>
        </is>
      </c>
      <c r="M264" t="inlineStr">
        <is>
          <t>22:00</t>
        </is>
      </c>
      <c r="N264" t="n">
        <v>0.5</v>
      </c>
      <c r="O264" t="inlineStr">
        <is>
          <t>Short 2</t>
        </is>
      </c>
      <c r="P264" t="inlineStr">
        <is>
          <t>00:15</t>
        </is>
      </c>
      <c r="Q264" t="inlineStr">
        <is>
          <t>Wed</t>
        </is>
      </c>
      <c r="R264" t="inlineStr">
        <is>
          <t>00:00</t>
        </is>
      </c>
      <c r="S264" t="n">
        <v>0.25</v>
      </c>
    </row>
    <row r="265">
      <c r="A265" t="n">
        <v>56</v>
      </c>
      <c r="B265" t="inlineStr">
        <is>
          <t>Unassigned Associate 56</t>
        </is>
      </c>
      <c r="C265" t="inlineStr">
        <is>
          <t>Wed</t>
        </is>
      </c>
      <c r="D265" t="inlineStr">
        <is>
          <t>17:00 - 02:00</t>
        </is>
      </c>
      <c r="E265" t="inlineStr">
        <is>
          <t>Short 1</t>
        </is>
      </c>
      <c r="F265" t="inlineStr">
        <is>
          <t>19:15</t>
        </is>
      </c>
      <c r="G265" t="inlineStr">
        <is>
          <t>Wed</t>
        </is>
      </c>
      <c r="H265" t="inlineStr">
        <is>
          <t>19:00</t>
        </is>
      </c>
      <c r="I265" t="n">
        <v>0.25</v>
      </c>
      <c r="J265" t="inlineStr">
        <is>
          <t>Lunch</t>
        </is>
      </c>
      <c r="K265" t="inlineStr">
        <is>
          <t>22:00</t>
        </is>
      </c>
      <c r="L265" t="inlineStr">
        <is>
          <t>Wed</t>
        </is>
      </c>
      <c r="M265" t="inlineStr">
        <is>
          <t>22:00</t>
        </is>
      </c>
      <c r="N265" t="n">
        <v>0.5</v>
      </c>
      <c r="O265" t="inlineStr">
        <is>
          <t>Short 2</t>
        </is>
      </c>
      <c r="P265" t="inlineStr">
        <is>
          <t>00:15</t>
        </is>
      </c>
      <c r="Q265" t="inlineStr">
        <is>
          <t>Thu</t>
        </is>
      </c>
      <c r="R265" t="inlineStr">
        <is>
          <t>00:00</t>
        </is>
      </c>
      <c r="S265" t="n">
        <v>0.25</v>
      </c>
    </row>
    <row r="266">
      <c r="A266" t="n">
        <v>56</v>
      </c>
      <c r="B266" t="inlineStr">
        <is>
          <t>Unassigned Associate 56</t>
        </is>
      </c>
      <c r="C266" t="inlineStr">
        <is>
          <t>Thu</t>
        </is>
      </c>
      <c r="D266" t="inlineStr">
        <is>
          <t>17:00 - 02:00</t>
        </is>
      </c>
      <c r="E266" t="inlineStr">
        <is>
          <t>Short 1</t>
        </is>
      </c>
      <c r="F266" t="inlineStr">
        <is>
          <t>19:15</t>
        </is>
      </c>
      <c r="G266" t="inlineStr">
        <is>
          <t>Thu</t>
        </is>
      </c>
      <c r="H266" t="inlineStr">
        <is>
          <t>19:00</t>
        </is>
      </c>
      <c r="I266" t="n">
        <v>0.25</v>
      </c>
      <c r="J266" t="inlineStr">
        <is>
          <t>Lunch</t>
        </is>
      </c>
      <c r="K266" t="inlineStr">
        <is>
          <t>22:00</t>
        </is>
      </c>
      <c r="L266" t="inlineStr">
        <is>
          <t>Thu</t>
        </is>
      </c>
      <c r="M266" t="inlineStr">
        <is>
          <t>22:00</t>
        </is>
      </c>
      <c r="N266" t="n">
        <v>0.5</v>
      </c>
      <c r="O266" t="inlineStr">
        <is>
          <t>Short 2</t>
        </is>
      </c>
      <c r="P266" t="inlineStr">
        <is>
          <t>00:15</t>
        </is>
      </c>
      <c r="Q266" t="inlineStr">
        <is>
          <t>Fri</t>
        </is>
      </c>
      <c r="R266" t="inlineStr">
        <is>
          <t>00:00</t>
        </is>
      </c>
      <c r="S266" t="n">
        <v>0.25</v>
      </c>
    </row>
    <row r="267">
      <c r="A267" t="n">
        <v>56</v>
      </c>
      <c r="B267" t="inlineStr">
        <is>
          <t>Unassigned Associate 56</t>
        </is>
      </c>
      <c r="C267" t="inlineStr">
        <is>
          <t>Fri</t>
        </is>
      </c>
      <c r="D267" t="inlineStr">
        <is>
          <t>17:00 - 02:00</t>
        </is>
      </c>
      <c r="E267" t="inlineStr">
        <is>
          <t>Short 1</t>
        </is>
      </c>
      <c r="F267" t="inlineStr">
        <is>
          <t>19:15</t>
        </is>
      </c>
      <c r="G267" t="inlineStr">
        <is>
          <t>Fri</t>
        </is>
      </c>
      <c r="H267" t="inlineStr">
        <is>
          <t>19:00</t>
        </is>
      </c>
      <c r="I267" t="n">
        <v>0.25</v>
      </c>
      <c r="J267" t="inlineStr">
        <is>
          <t>Lunch</t>
        </is>
      </c>
      <c r="K267" t="inlineStr">
        <is>
          <t>22:00</t>
        </is>
      </c>
      <c r="L267" t="inlineStr">
        <is>
          <t>Fri</t>
        </is>
      </c>
      <c r="M267" t="inlineStr">
        <is>
          <t>22:00</t>
        </is>
      </c>
      <c r="N267" t="n">
        <v>0.5</v>
      </c>
      <c r="O267" t="inlineStr">
        <is>
          <t>Short 2</t>
        </is>
      </c>
      <c r="P267" t="inlineStr">
        <is>
          <t>00:15</t>
        </is>
      </c>
      <c r="Q267" t="inlineStr">
        <is>
          <t>Sat</t>
        </is>
      </c>
      <c r="R267" t="inlineStr">
        <is>
          <t>00:00</t>
        </is>
      </c>
      <c r="S267" t="n">
        <v>0.25</v>
      </c>
    </row>
    <row r="268">
      <c r="A268" t="n">
        <v>57</v>
      </c>
      <c r="B268" t="inlineStr">
        <is>
          <t>Unassigned Associate 57</t>
        </is>
      </c>
      <c r="C268" t="inlineStr">
        <is>
          <t>Mon</t>
        </is>
      </c>
      <c r="D268" t="inlineStr">
        <is>
          <t>17:00 - 02:00</t>
        </is>
      </c>
      <c r="E268" t="inlineStr">
        <is>
          <t>Short 1</t>
        </is>
      </c>
      <c r="F268" t="inlineStr">
        <is>
          <t>19:15</t>
        </is>
      </c>
      <c r="G268" t="inlineStr">
        <is>
          <t>Mon</t>
        </is>
      </c>
      <c r="H268" t="inlineStr">
        <is>
          <t>19:00</t>
        </is>
      </c>
      <c r="I268" t="n">
        <v>0.25</v>
      </c>
      <c r="J268" t="inlineStr">
        <is>
          <t>Lunch</t>
        </is>
      </c>
      <c r="K268" t="inlineStr">
        <is>
          <t>22:00</t>
        </is>
      </c>
      <c r="L268" t="inlineStr">
        <is>
          <t>Mon</t>
        </is>
      </c>
      <c r="M268" t="inlineStr">
        <is>
          <t>22:00</t>
        </is>
      </c>
      <c r="N268" t="n">
        <v>0.5</v>
      </c>
      <c r="O268" t="inlineStr">
        <is>
          <t>Short 2</t>
        </is>
      </c>
      <c r="P268" t="inlineStr">
        <is>
          <t>00:15</t>
        </is>
      </c>
      <c r="Q268" t="inlineStr">
        <is>
          <t>Tue</t>
        </is>
      </c>
      <c r="R268" t="inlineStr">
        <is>
          <t>00:00</t>
        </is>
      </c>
      <c r="S268" t="n">
        <v>0.25</v>
      </c>
    </row>
    <row r="269">
      <c r="A269" t="n">
        <v>57</v>
      </c>
      <c r="B269" t="inlineStr">
        <is>
          <t>Unassigned Associate 57</t>
        </is>
      </c>
      <c r="C269" t="inlineStr">
        <is>
          <t>Tue</t>
        </is>
      </c>
      <c r="D269" t="inlineStr">
        <is>
          <t>17:00 - 02:00</t>
        </is>
      </c>
      <c r="E269" t="inlineStr">
        <is>
          <t>Short 1</t>
        </is>
      </c>
      <c r="F269" t="inlineStr">
        <is>
          <t>19:15</t>
        </is>
      </c>
      <c r="G269" t="inlineStr">
        <is>
          <t>Tue</t>
        </is>
      </c>
      <c r="H269" t="inlineStr">
        <is>
          <t>19:00</t>
        </is>
      </c>
      <c r="I269" t="n">
        <v>0.25</v>
      </c>
      <c r="J269" t="inlineStr">
        <is>
          <t>Lunch</t>
        </is>
      </c>
      <c r="K269" t="inlineStr">
        <is>
          <t>22:00</t>
        </is>
      </c>
      <c r="L269" t="inlineStr">
        <is>
          <t>Tue</t>
        </is>
      </c>
      <c r="M269" t="inlineStr">
        <is>
          <t>22:00</t>
        </is>
      </c>
      <c r="N269" t="n">
        <v>0.5</v>
      </c>
      <c r="O269" t="inlineStr">
        <is>
          <t>Short 2</t>
        </is>
      </c>
      <c r="P269" t="inlineStr">
        <is>
          <t>00:15</t>
        </is>
      </c>
      <c r="Q269" t="inlineStr">
        <is>
          <t>Wed</t>
        </is>
      </c>
      <c r="R269" t="inlineStr">
        <is>
          <t>00:00</t>
        </is>
      </c>
      <c r="S269" t="n">
        <v>0.25</v>
      </c>
    </row>
    <row r="270">
      <c r="A270" t="n">
        <v>57</v>
      </c>
      <c r="B270" t="inlineStr">
        <is>
          <t>Unassigned Associate 57</t>
        </is>
      </c>
      <c r="C270" t="inlineStr">
        <is>
          <t>Wed</t>
        </is>
      </c>
      <c r="D270" t="inlineStr">
        <is>
          <t>17:00 - 02:00</t>
        </is>
      </c>
      <c r="E270" t="inlineStr">
        <is>
          <t>Short 1</t>
        </is>
      </c>
      <c r="F270" t="inlineStr">
        <is>
          <t>19:15</t>
        </is>
      </c>
      <c r="G270" t="inlineStr">
        <is>
          <t>Wed</t>
        </is>
      </c>
      <c r="H270" t="inlineStr">
        <is>
          <t>19:00</t>
        </is>
      </c>
      <c r="I270" t="n">
        <v>0.25</v>
      </c>
      <c r="J270" t="inlineStr">
        <is>
          <t>Lunch</t>
        </is>
      </c>
      <c r="K270" t="inlineStr">
        <is>
          <t>22:00</t>
        </is>
      </c>
      <c r="L270" t="inlineStr">
        <is>
          <t>Wed</t>
        </is>
      </c>
      <c r="M270" t="inlineStr">
        <is>
          <t>22:00</t>
        </is>
      </c>
      <c r="N270" t="n">
        <v>0.5</v>
      </c>
      <c r="O270" t="inlineStr">
        <is>
          <t>Short 2</t>
        </is>
      </c>
      <c r="P270" t="inlineStr">
        <is>
          <t>00:15</t>
        </is>
      </c>
      <c r="Q270" t="inlineStr">
        <is>
          <t>Thu</t>
        </is>
      </c>
      <c r="R270" t="inlineStr">
        <is>
          <t>00:00</t>
        </is>
      </c>
      <c r="S270" t="n">
        <v>0.25</v>
      </c>
    </row>
    <row r="271">
      <c r="A271" t="n">
        <v>57</v>
      </c>
      <c r="B271" t="inlineStr">
        <is>
          <t>Unassigned Associate 57</t>
        </is>
      </c>
      <c r="C271" t="inlineStr">
        <is>
          <t>Thu</t>
        </is>
      </c>
      <c r="D271" t="inlineStr">
        <is>
          <t>17:00 - 02:00</t>
        </is>
      </c>
      <c r="E271" t="inlineStr">
        <is>
          <t>Short 1</t>
        </is>
      </c>
      <c r="F271" t="inlineStr">
        <is>
          <t>19:15</t>
        </is>
      </c>
      <c r="G271" t="inlineStr">
        <is>
          <t>Thu</t>
        </is>
      </c>
      <c r="H271" t="inlineStr">
        <is>
          <t>19:00</t>
        </is>
      </c>
      <c r="I271" t="n">
        <v>0.25</v>
      </c>
      <c r="J271" t="inlineStr">
        <is>
          <t>Lunch</t>
        </is>
      </c>
      <c r="K271" t="inlineStr">
        <is>
          <t>22:00</t>
        </is>
      </c>
      <c r="L271" t="inlineStr">
        <is>
          <t>Thu</t>
        </is>
      </c>
      <c r="M271" t="inlineStr">
        <is>
          <t>22:00</t>
        </is>
      </c>
      <c r="N271" t="n">
        <v>0.5</v>
      </c>
      <c r="O271" t="inlineStr">
        <is>
          <t>Short 2</t>
        </is>
      </c>
      <c r="P271" t="inlineStr">
        <is>
          <t>00:15</t>
        </is>
      </c>
      <c r="Q271" t="inlineStr">
        <is>
          <t>Fri</t>
        </is>
      </c>
      <c r="R271" t="inlineStr">
        <is>
          <t>00:00</t>
        </is>
      </c>
      <c r="S271" t="n">
        <v>0.25</v>
      </c>
    </row>
    <row r="272">
      <c r="A272" t="n">
        <v>57</v>
      </c>
      <c r="B272" t="inlineStr">
        <is>
          <t>Unassigned Associate 57</t>
        </is>
      </c>
      <c r="C272" t="inlineStr">
        <is>
          <t>Fri</t>
        </is>
      </c>
      <c r="D272" t="inlineStr">
        <is>
          <t>17:00 - 02:00</t>
        </is>
      </c>
      <c r="E272" t="inlineStr">
        <is>
          <t>Short 1</t>
        </is>
      </c>
      <c r="F272" t="inlineStr">
        <is>
          <t>19:15</t>
        </is>
      </c>
      <c r="G272" t="inlineStr">
        <is>
          <t>Fri</t>
        </is>
      </c>
      <c r="H272" t="inlineStr">
        <is>
          <t>19:00</t>
        </is>
      </c>
      <c r="I272" t="n">
        <v>0.25</v>
      </c>
      <c r="J272" t="inlineStr">
        <is>
          <t>Lunch</t>
        </is>
      </c>
      <c r="K272" t="inlineStr">
        <is>
          <t>22:00</t>
        </is>
      </c>
      <c r="L272" t="inlineStr">
        <is>
          <t>Fri</t>
        </is>
      </c>
      <c r="M272" t="inlineStr">
        <is>
          <t>22:00</t>
        </is>
      </c>
      <c r="N272" t="n">
        <v>0.5</v>
      </c>
      <c r="O272" t="inlineStr">
        <is>
          <t>Short 2</t>
        </is>
      </c>
      <c r="P272" t="inlineStr">
        <is>
          <t>00:15</t>
        </is>
      </c>
      <c r="Q272" t="inlineStr">
        <is>
          <t>Sat</t>
        </is>
      </c>
      <c r="R272" t="inlineStr">
        <is>
          <t>00:00</t>
        </is>
      </c>
      <c r="S272" t="n">
        <v>0.25</v>
      </c>
    </row>
    <row r="273">
      <c r="A273" t="n">
        <v>58</v>
      </c>
      <c r="B273" t="inlineStr">
        <is>
          <t>Unassigned Associate 58</t>
        </is>
      </c>
      <c r="C273" t="inlineStr">
        <is>
          <t>Mon</t>
        </is>
      </c>
      <c r="D273" t="inlineStr">
        <is>
          <t>17:00 - 02:00</t>
        </is>
      </c>
      <c r="E273" t="inlineStr">
        <is>
          <t>Short 1</t>
        </is>
      </c>
      <c r="F273" t="inlineStr">
        <is>
          <t>19:15</t>
        </is>
      </c>
      <c r="G273" t="inlineStr">
        <is>
          <t>Mon</t>
        </is>
      </c>
      <c r="H273" t="inlineStr">
        <is>
          <t>19:00</t>
        </is>
      </c>
      <c r="I273" t="n">
        <v>0.25</v>
      </c>
      <c r="J273" t="inlineStr">
        <is>
          <t>Lunch</t>
        </is>
      </c>
      <c r="K273" t="inlineStr">
        <is>
          <t>22:00</t>
        </is>
      </c>
      <c r="L273" t="inlineStr">
        <is>
          <t>Mon</t>
        </is>
      </c>
      <c r="M273" t="inlineStr">
        <is>
          <t>22:00</t>
        </is>
      </c>
      <c r="N273" t="n">
        <v>0.5</v>
      </c>
      <c r="O273" t="inlineStr">
        <is>
          <t>Short 2</t>
        </is>
      </c>
      <c r="P273" t="inlineStr">
        <is>
          <t>00:15</t>
        </is>
      </c>
      <c r="Q273" t="inlineStr">
        <is>
          <t>Tue</t>
        </is>
      </c>
      <c r="R273" t="inlineStr">
        <is>
          <t>00:00</t>
        </is>
      </c>
      <c r="S273" t="n">
        <v>0.25</v>
      </c>
    </row>
    <row r="274">
      <c r="A274" t="n">
        <v>58</v>
      </c>
      <c r="B274" t="inlineStr">
        <is>
          <t>Unassigned Associate 58</t>
        </is>
      </c>
      <c r="C274" t="inlineStr">
        <is>
          <t>Tue</t>
        </is>
      </c>
      <c r="D274" t="inlineStr">
        <is>
          <t>17:00 - 02:00</t>
        </is>
      </c>
      <c r="E274" t="inlineStr">
        <is>
          <t>Short 1</t>
        </is>
      </c>
      <c r="F274" t="inlineStr">
        <is>
          <t>19:15</t>
        </is>
      </c>
      <c r="G274" t="inlineStr">
        <is>
          <t>Tue</t>
        </is>
      </c>
      <c r="H274" t="inlineStr">
        <is>
          <t>19:00</t>
        </is>
      </c>
      <c r="I274" t="n">
        <v>0.25</v>
      </c>
      <c r="J274" t="inlineStr">
        <is>
          <t>Lunch</t>
        </is>
      </c>
      <c r="K274" t="inlineStr">
        <is>
          <t>22:00</t>
        </is>
      </c>
      <c r="L274" t="inlineStr">
        <is>
          <t>Tue</t>
        </is>
      </c>
      <c r="M274" t="inlineStr">
        <is>
          <t>22:00</t>
        </is>
      </c>
      <c r="N274" t="n">
        <v>0.5</v>
      </c>
      <c r="O274" t="inlineStr">
        <is>
          <t>Short 2</t>
        </is>
      </c>
      <c r="P274" t="inlineStr">
        <is>
          <t>00:15</t>
        </is>
      </c>
      <c r="Q274" t="inlineStr">
        <is>
          <t>Wed</t>
        </is>
      </c>
      <c r="R274" t="inlineStr">
        <is>
          <t>00:00</t>
        </is>
      </c>
      <c r="S274" t="n">
        <v>0.25</v>
      </c>
    </row>
    <row r="275">
      <c r="A275" t="n">
        <v>58</v>
      </c>
      <c r="B275" t="inlineStr">
        <is>
          <t>Unassigned Associate 58</t>
        </is>
      </c>
      <c r="C275" t="inlineStr">
        <is>
          <t>Wed</t>
        </is>
      </c>
      <c r="D275" t="inlineStr">
        <is>
          <t>17:00 - 02:00</t>
        </is>
      </c>
      <c r="E275" t="inlineStr">
        <is>
          <t>Short 1</t>
        </is>
      </c>
      <c r="F275" t="inlineStr">
        <is>
          <t>19:15</t>
        </is>
      </c>
      <c r="G275" t="inlineStr">
        <is>
          <t>Wed</t>
        </is>
      </c>
      <c r="H275" t="inlineStr">
        <is>
          <t>19:00</t>
        </is>
      </c>
      <c r="I275" t="n">
        <v>0.25</v>
      </c>
      <c r="J275" t="inlineStr">
        <is>
          <t>Lunch</t>
        </is>
      </c>
      <c r="K275" t="inlineStr">
        <is>
          <t>22:00</t>
        </is>
      </c>
      <c r="L275" t="inlineStr">
        <is>
          <t>Wed</t>
        </is>
      </c>
      <c r="M275" t="inlineStr">
        <is>
          <t>22:00</t>
        </is>
      </c>
      <c r="N275" t="n">
        <v>0.5</v>
      </c>
      <c r="O275" t="inlineStr">
        <is>
          <t>Short 2</t>
        </is>
      </c>
      <c r="P275" t="inlineStr">
        <is>
          <t>00:15</t>
        </is>
      </c>
      <c r="Q275" t="inlineStr">
        <is>
          <t>Thu</t>
        </is>
      </c>
      <c r="R275" t="inlineStr">
        <is>
          <t>00:00</t>
        </is>
      </c>
      <c r="S275" t="n">
        <v>0.25</v>
      </c>
    </row>
    <row r="276">
      <c r="A276" t="n">
        <v>58</v>
      </c>
      <c r="B276" t="inlineStr">
        <is>
          <t>Unassigned Associate 58</t>
        </is>
      </c>
      <c r="C276" t="inlineStr">
        <is>
          <t>Thu</t>
        </is>
      </c>
      <c r="D276" t="inlineStr">
        <is>
          <t>17:00 - 02:00</t>
        </is>
      </c>
      <c r="E276" t="inlineStr">
        <is>
          <t>Short 1</t>
        </is>
      </c>
      <c r="F276" t="inlineStr">
        <is>
          <t>19:15</t>
        </is>
      </c>
      <c r="G276" t="inlineStr">
        <is>
          <t>Thu</t>
        </is>
      </c>
      <c r="H276" t="inlineStr">
        <is>
          <t>19:00</t>
        </is>
      </c>
      <c r="I276" t="n">
        <v>0.25</v>
      </c>
      <c r="J276" t="inlineStr">
        <is>
          <t>Lunch</t>
        </is>
      </c>
      <c r="K276" t="inlineStr">
        <is>
          <t>22:00</t>
        </is>
      </c>
      <c r="L276" t="inlineStr">
        <is>
          <t>Thu</t>
        </is>
      </c>
      <c r="M276" t="inlineStr">
        <is>
          <t>22:00</t>
        </is>
      </c>
      <c r="N276" t="n">
        <v>0.5</v>
      </c>
      <c r="O276" t="inlineStr">
        <is>
          <t>Short 2</t>
        </is>
      </c>
      <c r="P276" t="inlineStr">
        <is>
          <t>00:15</t>
        </is>
      </c>
      <c r="Q276" t="inlineStr">
        <is>
          <t>Fri</t>
        </is>
      </c>
      <c r="R276" t="inlineStr">
        <is>
          <t>00:00</t>
        </is>
      </c>
      <c r="S276" t="n">
        <v>0.25</v>
      </c>
    </row>
    <row r="277">
      <c r="A277" t="n">
        <v>58</v>
      </c>
      <c r="B277" t="inlineStr">
        <is>
          <t>Unassigned Associate 58</t>
        </is>
      </c>
      <c r="C277" t="inlineStr">
        <is>
          <t>Fri</t>
        </is>
      </c>
      <c r="D277" t="inlineStr">
        <is>
          <t>17:00 - 02:00</t>
        </is>
      </c>
      <c r="E277" t="inlineStr">
        <is>
          <t>Short 1</t>
        </is>
      </c>
      <c r="F277" t="inlineStr">
        <is>
          <t>19:15</t>
        </is>
      </c>
      <c r="G277" t="inlineStr">
        <is>
          <t>Fri</t>
        </is>
      </c>
      <c r="H277" t="inlineStr">
        <is>
          <t>19:00</t>
        </is>
      </c>
      <c r="I277" t="n">
        <v>0.25</v>
      </c>
      <c r="J277" t="inlineStr">
        <is>
          <t>Lunch</t>
        </is>
      </c>
      <c r="K277" t="inlineStr">
        <is>
          <t>22:00</t>
        </is>
      </c>
      <c r="L277" t="inlineStr">
        <is>
          <t>Fri</t>
        </is>
      </c>
      <c r="M277" t="inlineStr">
        <is>
          <t>22:00</t>
        </is>
      </c>
      <c r="N277" t="n">
        <v>0.5</v>
      </c>
      <c r="O277" t="inlineStr">
        <is>
          <t>Short 2</t>
        </is>
      </c>
      <c r="P277" t="inlineStr">
        <is>
          <t>00:15</t>
        </is>
      </c>
      <c r="Q277" t="inlineStr">
        <is>
          <t>Sat</t>
        </is>
      </c>
      <c r="R277" t="inlineStr">
        <is>
          <t>00:00</t>
        </is>
      </c>
      <c r="S277" t="n">
        <v>0.25</v>
      </c>
    </row>
    <row r="278">
      <c r="A278" t="n">
        <v>59</v>
      </c>
      <c r="B278" t="inlineStr">
        <is>
          <t>Unassigned Associate 59</t>
        </is>
      </c>
      <c r="C278" t="inlineStr">
        <is>
          <t>Mon</t>
        </is>
      </c>
      <c r="D278" t="inlineStr">
        <is>
          <t>17:00 - 02:00</t>
        </is>
      </c>
      <c r="E278" t="inlineStr">
        <is>
          <t>Short 1</t>
        </is>
      </c>
      <c r="F278" t="inlineStr">
        <is>
          <t>19:15</t>
        </is>
      </c>
      <c r="G278" t="inlineStr">
        <is>
          <t>Mon</t>
        </is>
      </c>
      <c r="H278" t="inlineStr">
        <is>
          <t>19:00</t>
        </is>
      </c>
      <c r="I278" t="n">
        <v>0.25</v>
      </c>
      <c r="J278" t="inlineStr">
        <is>
          <t>Lunch</t>
        </is>
      </c>
      <c r="K278" t="inlineStr">
        <is>
          <t>22:00</t>
        </is>
      </c>
      <c r="L278" t="inlineStr">
        <is>
          <t>Mon</t>
        </is>
      </c>
      <c r="M278" t="inlineStr">
        <is>
          <t>22:00</t>
        </is>
      </c>
      <c r="N278" t="n">
        <v>0.5</v>
      </c>
      <c r="O278" t="inlineStr">
        <is>
          <t>Short 2</t>
        </is>
      </c>
      <c r="P278" t="inlineStr">
        <is>
          <t>00:15</t>
        </is>
      </c>
      <c r="Q278" t="inlineStr">
        <is>
          <t>Tue</t>
        </is>
      </c>
      <c r="R278" t="inlineStr">
        <is>
          <t>00:00</t>
        </is>
      </c>
      <c r="S278" t="n">
        <v>0.25</v>
      </c>
    </row>
    <row r="279">
      <c r="A279" t="n">
        <v>59</v>
      </c>
      <c r="B279" t="inlineStr">
        <is>
          <t>Unassigned Associate 59</t>
        </is>
      </c>
      <c r="C279" t="inlineStr">
        <is>
          <t>Tue</t>
        </is>
      </c>
      <c r="D279" t="inlineStr">
        <is>
          <t>17:00 - 02:00</t>
        </is>
      </c>
      <c r="E279" t="inlineStr">
        <is>
          <t>Short 1</t>
        </is>
      </c>
      <c r="F279" t="inlineStr">
        <is>
          <t>19:15</t>
        </is>
      </c>
      <c r="G279" t="inlineStr">
        <is>
          <t>Tue</t>
        </is>
      </c>
      <c r="H279" t="inlineStr">
        <is>
          <t>19:00</t>
        </is>
      </c>
      <c r="I279" t="n">
        <v>0.25</v>
      </c>
      <c r="J279" t="inlineStr">
        <is>
          <t>Lunch</t>
        </is>
      </c>
      <c r="K279" t="inlineStr">
        <is>
          <t>22:00</t>
        </is>
      </c>
      <c r="L279" t="inlineStr">
        <is>
          <t>Tue</t>
        </is>
      </c>
      <c r="M279" t="inlineStr">
        <is>
          <t>22:00</t>
        </is>
      </c>
      <c r="N279" t="n">
        <v>0.5</v>
      </c>
      <c r="O279" t="inlineStr">
        <is>
          <t>Short 2</t>
        </is>
      </c>
      <c r="P279" t="inlineStr">
        <is>
          <t>00:15</t>
        </is>
      </c>
      <c r="Q279" t="inlineStr">
        <is>
          <t>Wed</t>
        </is>
      </c>
      <c r="R279" t="inlineStr">
        <is>
          <t>00:00</t>
        </is>
      </c>
      <c r="S279" t="n">
        <v>0.25</v>
      </c>
    </row>
    <row r="280">
      <c r="A280" t="n">
        <v>59</v>
      </c>
      <c r="B280" t="inlineStr">
        <is>
          <t>Unassigned Associate 59</t>
        </is>
      </c>
      <c r="C280" t="inlineStr">
        <is>
          <t>Wed</t>
        </is>
      </c>
      <c r="D280" t="inlineStr">
        <is>
          <t>17:00 - 02:00</t>
        </is>
      </c>
      <c r="E280" t="inlineStr">
        <is>
          <t>Short 1</t>
        </is>
      </c>
      <c r="F280" t="inlineStr">
        <is>
          <t>19:15</t>
        </is>
      </c>
      <c r="G280" t="inlineStr">
        <is>
          <t>Wed</t>
        </is>
      </c>
      <c r="H280" t="inlineStr">
        <is>
          <t>19:00</t>
        </is>
      </c>
      <c r="I280" t="n">
        <v>0.25</v>
      </c>
      <c r="J280" t="inlineStr">
        <is>
          <t>Lunch</t>
        </is>
      </c>
      <c r="K280" t="inlineStr">
        <is>
          <t>22:00</t>
        </is>
      </c>
      <c r="L280" t="inlineStr">
        <is>
          <t>Wed</t>
        </is>
      </c>
      <c r="M280" t="inlineStr">
        <is>
          <t>22:00</t>
        </is>
      </c>
      <c r="N280" t="n">
        <v>0.5</v>
      </c>
      <c r="O280" t="inlineStr">
        <is>
          <t>Short 2</t>
        </is>
      </c>
      <c r="P280" t="inlineStr">
        <is>
          <t>00:15</t>
        </is>
      </c>
      <c r="Q280" t="inlineStr">
        <is>
          <t>Thu</t>
        </is>
      </c>
      <c r="R280" t="inlineStr">
        <is>
          <t>00:00</t>
        </is>
      </c>
      <c r="S280" t="n">
        <v>0.25</v>
      </c>
    </row>
    <row r="281">
      <c r="A281" t="n">
        <v>59</v>
      </c>
      <c r="B281" t="inlineStr">
        <is>
          <t>Unassigned Associate 59</t>
        </is>
      </c>
      <c r="C281" t="inlineStr">
        <is>
          <t>Thu</t>
        </is>
      </c>
      <c r="D281" t="inlineStr">
        <is>
          <t>17:00 - 02:00</t>
        </is>
      </c>
      <c r="E281" t="inlineStr">
        <is>
          <t>Short 1</t>
        </is>
      </c>
      <c r="F281" t="inlineStr">
        <is>
          <t>19:15</t>
        </is>
      </c>
      <c r="G281" t="inlineStr">
        <is>
          <t>Thu</t>
        </is>
      </c>
      <c r="H281" t="inlineStr">
        <is>
          <t>19:00</t>
        </is>
      </c>
      <c r="I281" t="n">
        <v>0.25</v>
      </c>
      <c r="J281" t="inlineStr">
        <is>
          <t>Lunch</t>
        </is>
      </c>
      <c r="K281" t="inlineStr">
        <is>
          <t>22:00</t>
        </is>
      </c>
      <c r="L281" t="inlineStr">
        <is>
          <t>Thu</t>
        </is>
      </c>
      <c r="M281" t="inlineStr">
        <is>
          <t>22:00</t>
        </is>
      </c>
      <c r="N281" t="n">
        <v>0.5</v>
      </c>
      <c r="O281" t="inlineStr">
        <is>
          <t>Short 2</t>
        </is>
      </c>
      <c r="P281" t="inlineStr">
        <is>
          <t>00:15</t>
        </is>
      </c>
      <c r="Q281" t="inlineStr">
        <is>
          <t>Fri</t>
        </is>
      </c>
      <c r="R281" t="inlineStr">
        <is>
          <t>00:00</t>
        </is>
      </c>
      <c r="S281" t="n">
        <v>0.25</v>
      </c>
    </row>
    <row r="282">
      <c r="A282" t="n">
        <v>59</v>
      </c>
      <c r="B282" t="inlineStr">
        <is>
          <t>Unassigned Associate 59</t>
        </is>
      </c>
      <c r="C282" t="inlineStr">
        <is>
          <t>Fri</t>
        </is>
      </c>
      <c r="D282" t="inlineStr">
        <is>
          <t>17:00 - 02:00</t>
        </is>
      </c>
      <c r="E282" t="inlineStr">
        <is>
          <t>Short 1</t>
        </is>
      </c>
      <c r="F282" t="inlineStr">
        <is>
          <t>19:15</t>
        </is>
      </c>
      <c r="G282" t="inlineStr">
        <is>
          <t>Fri</t>
        </is>
      </c>
      <c r="H282" t="inlineStr">
        <is>
          <t>19:00</t>
        </is>
      </c>
      <c r="I282" t="n">
        <v>0.25</v>
      </c>
      <c r="J282" t="inlineStr">
        <is>
          <t>Lunch</t>
        </is>
      </c>
      <c r="K282" t="inlineStr">
        <is>
          <t>22:00</t>
        </is>
      </c>
      <c r="L282" t="inlineStr">
        <is>
          <t>Fri</t>
        </is>
      </c>
      <c r="M282" t="inlineStr">
        <is>
          <t>22:00</t>
        </is>
      </c>
      <c r="N282" t="n">
        <v>0.5</v>
      </c>
      <c r="O282" t="inlineStr">
        <is>
          <t>Short 2</t>
        </is>
      </c>
      <c r="P282" t="inlineStr">
        <is>
          <t>00:15</t>
        </is>
      </c>
      <c r="Q282" t="inlineStr">
        <is>
          <t>Sat</t>
        </is>
      </c>
      <c r="R282" t="inlineStr">
        <is>
          <t>00:00</t>
        </is>
      </c>
      <c r="S282" t="n">
        <v>0.25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8" customWidth="1" style="45" min="1" max="1"/>
    <col width="90" customWidth="1" style="45" min="2" max="2"/>
  </cols>
  <sheetData>
    <row r="1">
      <c r="A1" s="48" t="inlineStr">
        <is>
          <t>Dynamic 1H / 30M Setup</t>
        </is>
      </c>
      <c r="B1" s="48" t="n"/>
    </row>
    <row r="2">
      <c r="A2" t="inlineStr">
        <is>
          <t>Use hourly requirements</t>
        </is>
      </c>
      <c r="B2" t="inlineStr">
        <is>
          <t>Fill FT Wise, leave FT Wise 30 Min blank, set Requirements Source = Auto or FT Wise.</t>
        </is>
      </c>
    </row>
    <row r="3">
      <c r="A3" t="inlineStr">
        <is>
          <t>Use 30-minute requirements</t>
        </is>
      </c>
      <c r="B3" t="inlineStr">
        <is>
          <t>Fill FT Wise 30 Min, set Requirements Source = Auto or FT Wise 30 Min.</t>
        </is>
      </c>
    </row>
    <row r="4">
      <c r="A4" t="inlineStr">
        <is>
          <t>Shrinkage source</t>
        </is>
      </c>
      <c r="B4" t="inlineStr">
        <is>
          <t>If Shrinkage Source = Shrinkage Sheet, hourly uses Shrinkage and 30-minute uses Shrinkage 30 Min when available.</t>
        </is>
      </c>
    </row>
    <row r="5">
      <c r="A5" t="inlineStr">
        <is>
          <t>Shift starts</t>
        </is>
      </c>
      <c r="B5" t="inlineStr">
        <is>
          <t>Shift Start Step Minutes controls whether starts are hourly only (60) or half-hour (30).</t>
        </is>
      </c>
    </row>
    <row r="6">
      <c r="A6" t="inlineStr">
        <is>
          <t>Output</t>
        </is>
      </c>
      <c r="B6" t="inlineStr">
        <is>
          <t>FT Wise Active and FT Wise After Breaks Active rebuild based on the selected interval grid.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14" customWidth="1" style="45" min="2" max="2"/>
    <col width="14" customWidth="1" style="45" min="3" max="3"/>
    <col width="14" customWidth="1" style="45" min="4" max="4"/>
    <col width="36" customWidth="1" style="45" min="5" max="5"/>
    <col width="14" customWidth="1" style="45" min="6" max="6"/>
    <col width="14" customWidth="1" style="45" min="7" max="7"/>
    <col width="16" customWidth="1" style="45" min="8" max="8"/>
    <col width="18" customWidth="1" style="45" min="9" max="9"/>
  </cols>
  <sheetData>
    <row r="1">
      <c r="A1" t="inlineStr">
        <is>
          <t>YES_NO</t>
        </is>
      </c>
      <c r="B1" t="inlineStr">
        <is>
          <t>YES_NO_AUTO</t>
        </is>
      </c>
      <c r="C1" t="inlineStr">
        <is>
          <t>INTERVAL</t>
        </is>
      </c>
      <c r="D1" t="inlineStr">
        <is>
          <t>SHIFT_DUR</t>
        </is>
      </c>
      <c r="E1" t="inlineStr">
        <is>
          <t>BLANK_RULE</t>
        </is>
      </c>
      <c r="F1" t="inlineStr">
        <is>
          <t>BREAK_DUR</t>
        </is>
      </c>
      <c r="G1" t="inlineStr">
        <is>
          <t>GATE</t>
        </is>
      </c>
      <c r="H1" t="inlineStr">
        <is>
          <t>REQ_SHEETS</t>
        </is>
      </c>
      <c r="I1" t="inlineStr">
        <is>
          <t>SHR_SHEETS</t>
        </is>
      </c>
    </row>
    <row r="2">
      <c r="A2" t="inlineStr">
        <is>
          <t>Yes</t>
        </is>
      </c>
      <c r="B2" t="inlineStr">
        <is>
          <t>Yes</t>
        </is>
      </c>
      <c r="C2" t="inlineStr">
        <is>
          <t>15</t>
        </is>
      </c>
      <c r="D2" t="inlineStr">
        <is>
          <t>9</t>
        </is>
      </c>
      <c r="E2" t="inlineStr">
        <is>
          <t>No new staffing in blank intervals</t>
        </is>
      </c>
      <c r="F2" t="inlineStr">
        <is>
          <t>15</t>
        </is>
      </c>
      <c r="G2" t="inlineStr">
        <is>
          <t>Fail</t>
        </is>
      </c>
      <c r="H2" t="inlineStr">
        <is>
          <t>FT Wise 15 Min</t>
        </is>
      </c>
      <c r="I2" t="inlineStr">
        <is>
          <t>Shrinkage 15 Min</t>
        </is>
      </c>
    </row>
    <row r="3">
      <c r="A3" t="inlineStr">
        <is>
          <t>No</t>
        </is>
      </c>
      <c r="B3" t="inlineStr">
        <is>
          <t>No</t>
        </is>
      </c>
      <c r="C3" t="inlineStr">
        <is>
          <t>30</t>
        </is>
      </c>
      <c r="D3" t="inlineStr">
        <is>
          <t>11</t>
        </is>
      </c>
      <c r="E3" t="inlineStr">
        <is>
          <t>Allow staffing in blank intervals</t>
        </is>
      </c>
      <c r="F3" t="inlineStr">
        <is>
          <t>30</t>
        </is>
      </c>
      <c r="G3" t="inlineStr">
        <is>
          <t>Warn</t>
        </is>
      </c>
      <c r="H3" t="inlineStr">
        <is>
          <t>FT Wise 30 Min</t>
        </is>
      </c>
      <c r="I3" t="inlineStr">
        <is>
          <t>Shrinkage 30 Min</t>
        </is>
      </c>
    </row>
    <row r="4">
      <c r="B4" t="inlineStr">
        <is>
          <t>Auto</t>
        </is>
      </c>
      <c r="C4" t="inlineStr">
        <is>
          <t>60</t>
        </is>
      </c>
      <c r="D4" t="inlineStr">
        <is>
          <t>9,11</t>
        </is>
      </c>
      <c r="F4" t="inlineStr">
        <is>
          <t>45</t>
        </is>
      </c>
      <c r="G4" t="inlineStr">
        <is>
          <t>Off</t>
        </is>
      </c>
      <c r="H4" t="inlineStr">
        <is>
          <t>FT Wise 60 Min</t>
        </is>
      </c>
      <c r="I4" t="inlineStr">
        <is>
          <t>Shrinkage 60 Min</t>
        </is>
      </c>
    </row>
    <row r="5">
      <c r="F5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OpenAI ChatGPT</dc:creator>
  <dc:title>SAKS New 51HC Production Test - 90 Interval KPI</dc:title>
  <dc:subject>51HC, no fixed/nesting, 90% interval KPI, 80% floor</dc:subject>
  <dcterms:created xsi:type="dcterms:W3CDTF">2026-06-27T00:50:57Z</dcterms:created>
  <dcterms:modified xsi:type="dcterms:W3CDTF">2026-09-02T04:51:15Z</dcterms:modified>
  <cp:lastModifiedBy>Omar Mokhtar</cp:lastModifiedBy>
</cp:coreProperties>
</file>